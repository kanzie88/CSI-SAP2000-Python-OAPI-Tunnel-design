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surbanajurong-my.sharepoint.com/personal/johanna_enriquez_ktpworld_com/Documents/C-SG-003399_CAG Intra Tunnel/Calculations/CST/Section Test/"/>
    </mc:Choice>
  </mc:AlternateContent>
  <xr:revisionPtr revIDLastSave="5" documentId="13_ncr:1_{226C1AFE-43CE-4510-A62E-7C8CCFB58DCA}" xr6:coauthVersionLast="47" xr6:coauthVersionMax="47" xr10:uidLastSave="{53E41EF4-842D-4AA5-BB5B-0694B3FE96F8}"/>
  <bookViews>
    <workbookView xWindow="-108" yWindow="-108" windowWidth="23256" windowHeight="13896" activeTab="3" xr2:uid="{00000000-000D-0000-FFFF-FFFF00000000}"/>
  </bookViews>
  <sheets>
    <sheet name="Summary-input" sheetId="4" r:id="rId1"/>
    <sheet name="Summary-output-SLS" sheetId="7" r:id="rId2"/>
    <sheet name="Summary-output-ULS" sheetId="6" r:id="rId3"/>
    <sheet name="Wall" sheetId="1" r:id="rId4"/>
    <sheet name="BASE SLAB" sheetId="3" state="hidden" r:id="rId5"/>
  </sheets>
  <definedNames>
    <definedName name="_xlnm.Print_Area" localSheetId="4">'BASE SLAB'!$B$1:$CH$113</definedName>
    <definedName name="_xlnm.Print_Area" localSheetId="3">Wall!$B$1:$CF$154</definedName>
    <definedName name="_xlnm.Print_Titles" localSheetId="4">'BASE SLAB'!$B:$R,'BASE SLAB'!$1:$23</definedName>
    <definedName name="_xlnm.Print_Titles" localSheetId="3">Wall!$B:$R,Wall!$1:$23</definedName>
    <definedName name="solver_adj" localSheetId="4" hidden="1">'BASE SLAB'!#REF!,'BASE SLAB'!#REF!</definedName>
    <definedName name="solver_adj" localSheetId="3" hidden="1">Wall!#REF!,Wall!#REF!</definedName>
    <definedName name="solver_cvg" localSheetId="4" hidden="1">0.0001</definedName>
    <definedName name="solver_cvg" localSheetId="3" hidden="1">0.0001</definedName>
    <definedName name="solver_drv" localSheetId="4" hidden="1">1</definedName>
    <definedName name="solver_drv" localSheetId="3" hidden="1">1</definedName>
    <definedName name="solver_est" localSheetId="4" hidden="1">1</definedName>
    <definedName name="solver_est" localSheetId="3" hidden="1">1</definedName>
    <definedName name="solver_itr" localSheetId="4" hidden="1">100</definedName>
    <definedName name="solver_itr" localSheetId="3" hidden="1">100</definedName>
    <definedName name="solver_lhs1" localSheetId="4" hidden="1">'BASE SLAB'!#REF!</definedName>
    <definedName name="solver_lhs1" localSheetId="3" hidden="1">Wall!#REF!</definedName>
    <definedName name="solver_lin" localSheetId="4" hidden="1">2</definedName>
    <definedName name="solver_lin" localSheetId="3" hidden="1">2</definedName>
    <definedName name="solver_neg" localSheetId="4" hidden="1">2</definedName>
    <definedName name="solver_neg" localSheetId="3" hidden="1">2</definedName>
    <definedName name="solver_num" localSheetId="4" hidden="1">1</definedName>
    <definedName name="solver_num" localSheetId="3" hidden="1">1</definedName>
    <definedName name="solver_nwt" localSheetId="4" hidden="1">1</definedName>
    <definedName name="solver_nwt" localSheetId="3" hidden="1">1</definedName>
    <definedName name="solver_opt" localSheetId="4" hidden="1">'BASE SLAB'!#REF!</definedName>
    <definedName name="solver_opt" localSheetId="3" hidden="1">Wall!#REF!</definedName>
    <definedName name="solver_pre" localSheetId="4" hidden="1">0.000001</definedName>
    <definedName name="solver_pre" localSheetId="3" hidden="1">0.000001</definedName>
    <definedName name="solver_rel1" localSheetId="4" hidden="1">2</definedName>
    <definedName name="solver_rel1" localSheetId="3" hidden="1">2</definedName>
    <definedName name="solver_rhs1" localSheetId="4" hidden="1">0</definedName>
    <definedName name="solver_rhs1" localSheetId="3" hidden="1">0</definedName>
    <definedName name="solver_scl" localSheetId="4" hidden="1">2</definedName>
    <definedName name="solver_scl" localSheetId="3" hidden="1">2</definedName>
    <definedName name="solver_sho" localSheetId="4" hidden="1">2</definedName>
    <definedName name="solver_sho" localSheetId="3" hidden="1">2</definedName>
    <definedName name="solver_tim" localSheetId="4" hidden="1">100</definedName>
    <definedName name="solver_tim" localSheetId="3" hidden="1">100</definedName>
    <definedName name="solver_tol" localSheetId="4" hidden="1">0.05</definedName>
    <definedName name="solver_tol" localSheetId="3" hidden="1">0.05</definedName>
    <definedName name="solver_typ" localSheetId="4" hidden="1">3</definedName>
    <definedName name="solver_typ" localSheetId="3" hidden="1">3</definedName>
    <definedName name="solver_val" localSheetId="4" hidden="1">0.2</definedName>
    <definedName name="solver_val" localSheetId="3" hidden="1">0.2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V118" i="1" l="1"/>
  <c r="CM118" i="1" s="1"/>
  <c r="F118" i="1" s="1"/>
  <c r="CU118" i="1"/>
  <c r="CK118" i="1" s="1"/>
  <c r="D118" i="1" s="1"/>
  <c r="CS118" i="1"/>
  <c r="M118" i="1" s="1"/>
  <c r="Q118" i="1" s="1"/>
  <c r="CR118" i="1"/>
  <c r="L118" i="1" s="1"/>
  <c r="P118" i="1" s="1"/>
  <c r="CQ118" i="1"/>
  <c r="K118" i="1" s="1"/>
  <c r="O118" i="1" s="1"/>
  <c r="CH118" i="1" s="1"/>
  <c r="CP118" i="1"/>
  <c r="CO118" i="1" s="1"/>
  <c r="BJ118" i="1"/>
  <c r="BI118" i="1"/>
  <c r="BH118" i="1"/>
  <c r="BG118" i="1"/>
  <c r="BF118" i="1"/>
  <c r="BE118" i="1"/>
  <c r="BA118" i="1"/>
  <c r="AW118" i="1"/>
  <c r="AT118" i="1"/>
  <c r="AS118" i="1"/>
  <c r="AR118" i="1"/>
  <c r="AQ118" i="1"/>
  <c r="AP118" i="1"/>
  <c r="AO118" i="1"/>
  <c r="AN118" i="1"/>
  <c r="AM118" i="1"/>
  <c r="AL118" i="1"/>
  <c r="AK118" i="1"/>
  <c r="AJ118" i="1"/>
  <c r="R118" i="1"/>
  <c r="G118" i="1"/>
  <c r="E118" i="1"/>
  <c r="C118" i="1"/>
  <c r="B118" i="1"/>
  <c r="CV117" i="1"/>
  <c r="CM117" i="1" s="1"/>
  <c r="F117" i="1" s="1"/>
  <c r="CU117" i="1"/>
  <c r="CK117" i="1" s="1"/>
  <c r="D117" i="1" s="1"/>
  <c r="CS117" i="1"/>
  <c r="M117" i="1" s="1"/>
  <c r="Q117" i="1" s="1"/>
  <c r="CR117" i="1"/>
  <c r="L117" i="1" s="1"/>
  <c r="P117" i="1" s="1"/>
  <c r="CQ117" i="1"/>
  <c r="K117" i="1" s="1"/>
  <c r="O117" i="1" s="1"/>
  <c r="CH117" i="1" s="1"/>
  <c r="CP117" i="1"/>
  <c r="CO117" i="1" s="1"/>
  <c r="BJ117" i="1"/>
  <c r="BI117" i="1"/>
  <c r="BH117" i="1"/>
  <c r="BG117" i="1"/>
  <c r="BF117" i="1"/>
  <c r="BE117" i="1"/>
  <c r="BA117" i="1"/>
  <c r="AW117" i="1"/>
  <c r="AT117" i="1"/>
  <c r="AS117" i="1"/>
  <c r="AR117" i="1"/>
  <c r="AQ117" i="1"/>
  <c r="AP117" i="1"/>
  <c r="AO117" i="1"/>
  <c r="AN117" i="1"/>
  <c r="AM117" i="1"/>
  <c r="AL117" i="1"/>
  <c r="AK117" i="1"/>
  <c r="AJ117" i="1"/>
  <c r="R117" i="1"/>
  <c r="G117" i="1"/>
  <c r="E117" i="1"/>
  <c r="C117" i="1"/>
  <c r="B117" i="1"/>
  <c r="CV116" i="1"/>
  <c r="CM116" i="1" s="1"/>
  <c r="F116" i="1" s="1"/>
  <c r="CU116" i="1"/>
  <c r="CK116" i="1" s="1"/>
  <c r="D116" i="1" s="1"/>
  <c r="CS116" i="1"/>
  <c r="M116" i="1" s="1"/>
  <c r="Q116" i="1" s="1"/>
  <c r="CR116" i="1"/>
  <c r="L116" i="1" s="1"/>
  <c r="P116" i="1" s="1"/>
  <c r="CQ116" i="1"/>
  <c r="K116" i="1" s="1"/>
  <c r="O116" i="1" s="1"/>
  <c r="CH116" i="1" s="1"/>
  <c r="CP116" i="1"/>
  <c r="CO116" i="1" s="1"/>
  <c r="BJ116" i="1"/>
  <c r="BI116" i="1"/>
  <c r="BH116" i="1"/>
  <c r="BG116" i="1"/>
  <c r="BF116" i="1"/>
  <c r="BE116" i="1"/>
  <c r="BA116" i="1"/>
  <c r="AW116" i="1"/>
  <c r="AT116" i="1"/>
  <c r="AS116" i="1"/>
  <c r="AR116" i="1"/>
  <c r="AQ116" i="1"/>
  <c r="AP116" i="1"/>
  <c r="AO116" i="1"/>
  <c r="AN116" i="1"/>
  <c r="AM116" i="1"/>
  <c r="AL116" i="1"/>
  <c r="AK116" i="1"/>
  <c r="AJ116" i="1"/>
  <c r="R116" i="1"/>
  <c r="G116" i="1"/>
  <c r="E116" i="1"/>
  <c r="C116" i="1"/>
  <c r="B116" i="1"/>
  <c r="DM115" i="1"/>
  <c r="CX115" i="1"/>
  <c r="CV115" i="1"/>
  <c r="CM115" i="1" s="1"/>
  <c r="F115" i="1" s="1"/>
  <c r="CU115" i="1"/>
  <c r="CK115" i="1" s="1"/>
  <c r="D115" i="1" s="1"/>
  <c r="CS115" i="1"/>
  <c r="M115" i="1" s="1"/>
  <c r="Q115" i="1" s="1"/>
  <c r="CR115" i="1"/>
  <c r="L115" i="1" s="1"/>
  <c r="P115" i="1" s="1"/>
  <c r="CQ115" i="1"/>
  <c r="K115" i="1" s="1"/>
  <c r="O115" i="1" s="1"/>
  <c r="CH115" i="1" s="1"/>
  <c r="CP115" i="1"/>
  <c r="CO115" i="1" s="1"/>
  <c r="BJ115" i="1"/>
  <c r="BI115" i="1"/>
  <c r="BH115" i="1"/>
  <c r="BG115" i="1"/>
  <c r="BF115" i="1"/>
  <c r="BE115" i="1"/>
  <c r="BA115" i="1"/>
  <c r="AW115" i="1"/>
  <c r="AT115" i="1"/>
  <c r="AS115" i="1"/>
  <c r="AR115" i="1"/>
  <c r="AQ115" i="1"/>
  <c r="AP115" i="1"/>
  <c r="AO115" i="1"/>
  <c r="AN115" i="1"/>
  <c r="AM115" i="1"/>
  <c r="AL115" i="1"/>
  <c r="AK115" i="1"/>
  <c r="AJ115" i="1"/>
  <c r="R115" i="1"/>
  <c r="G115" i="1"/>
  <c r="E115" i="1"/>
  <c r="C115" i="1"/>
  <c r="B115" i="1"/>
  <c r="CV114" i="1"/>
  <c r="CM114" i="1" s="1"/>
  <c r="CU114" i="1"/>
  <c r="CK114" i="1" s="1"/>
  <c r="CS114" i="1"/>
  <c r="CR114" i="1"/>
  <c r="CQ114" i="1"/>
  <c r="CP114" i="1"/>
  <c r="CO114" i="1"/>
  <c r="R114" i="1"/>
  <c r="B114" i="1"/>
  <c r="CV98" i="1"/>
  <c r="CM98" i="1" s="1"/>
  <c r="F98" i="1" s="1"/>
  <c r="CU98" i="1"/>
  <c r="CK98" i="1" s="1"/>
  <c r="D98" i="1" s="1"/>
  <c r="CS98" i="1"/>
  <c r="M98" i="1" s="1"/>
  <c r="Q98" i="1" s="1"/>
  <c r="CR98" i="1"/>
  <c r="L98" i="1" s="1"/>
  <c r="P98" i="1" s="1"/>
  <c r="CQ98" i="1"/>
  <c r="K98" i="1" s="1"/>
  <c r="O98" i="1" s="1"/>
  <c r="CH98" i="1" s="1"/>
  <c r="CP98" i="1"/>
  <c r="CO98" i="1" s="1"/>
  <c r="BJ98" i="1"/>
  <c r="BI98" i="1"/>
  <c r="BH98" i="1"/>
  <c r="BG98" i="1"/>
  <c r="BF98" i="1"/>
  <c r="BE98" i="1"/>
  <c r="BA98" i="1"/>
  <c r="AW98" i="1"/>
  <c r="AT98" i="1"/>
  <c r="AS98" i="1"/>
  <c r="AR98" i="1"/>
  <c r="AQ98" i="1"/>
  <c r="AP98" i="1"/>
  <c r="AO98" i="1"/>
  <c r="AN98" i="1"/>
  <c r="AM98" i="1"/>
  <c r="AL98" i="1"/>
  <c r="AK98" i="1"/>
  <c r="AJ98" i="1"/>
  <c r="R98" i="1"/>
  <c r="G98" i="1"/>
  <c r="E98" i="1"/>
  <c r="C98" i="1"/>
  <c r="B98" i="1"/>
  <c r="CV97" i="1"/>
  <c r="CM97" i="1" s="1"/>
  <c r="F97" i="1" s="1"/>
  <c r="CU97" i="1"/>
  <c r="CK97" i="1" s="1"/>
  <c r="D97" i="1" s="1"/>
  <c r="CS97" i="1"/>
  <c r="M97" i="1" s="1"/>
  <c r="Q97" i="1" s="1"/>
  <c r="CR97" i="1"/>
  <c r="L97" i="1" s="1"/>
  <c r="P97" i="1" s="1"/>
  <c r="CQ97" i="1"/>
  <c r="K97" i="1" s="1"/>
  <c r="O97" i="1" s="1"/>
  <c r="CH97" i="1" s="1"/>
  <c r="CP97" i="1"/>
  <c r="CO97" i="1" s="1"/>
  <c r="BJ97" i="1"/>
  <c r="BI97" i="1"/>
  <c r="BH97" i="1"/>
  <c r="BG97" i="1"/>
  <c r="BF97" i="1"/>
  <c r="BA97" i="1"/>
  <c r="AW97" i="1"/>
  <c r="AT97" i="1"/>
  <c r="AS97" i="1"/>
  <c r="AR97" i="1"/>
  <c r="AQ97" i="1"/>
  <c r="AP97" i="1"/>
  <c r="AO97" i="1"/>
  <c r="AN97" i="1"/>
  <c r="AM97" i="1"/>
  <c r="AL97" i="1"/>
  <c r="AK97" i="1"/>
  <c r="AJ97" i="1"/>
  <c r="R97" i="1"/>
  <c r="BE97" i="1" s="1"/>
  <c r="G97" i="1"/>
  <c r="E97" i="1"/>
  <c r="C97" i="1"/>
  <c r="B97" i="1"/>
  <c r="CV96" i="1"/>
  <c r="CM96" i="1" s="1"/>
  <c r="F96" i="1" s="1"/>
  <c r="CU96" i="1"/>
  <c r="CK96" i="1" s="1"/>
  <c r="D96" i="1" s="1"/>
  <c r="CS96" i="1"/>
  <c r="M96" i="1" s="1"/>
  <c r="Q96" i="1" s="1"/>
  <c r="CR96" i="1"/>
  <c r="L96" i="1" s="1"/>
  <c r="P96" i="1" s="1"/>
  <c r="CQ96" i="1"/>
  <c r="K96" i="1" s="1"/>
  <c r="O96" i="1" s="1"/>
  <c r="CH96" i="1" s="1"/>
  <c r="CP96" i="1"/>
  <c r="J96" i="1" s="1"/>
  <c r="N96" i="1" s="1"/>
  <c r="BJ96" i="1"/>
  <c r="BI96" i="1"/>
  <c r="BH96" i="1"/>
  <c r="BG96" i="1"/>
  <c r="BF96" i="1"/>
  <c r="BA96" i="1"/>
  <c r="AW96" i="1"/>
  <c r="AT96" i="1"/>
  <c r="AS96" i="1"/>
  <c r="AR96" i="1"/>
  <c r="AQ96" i="1"/>
  <c r="AP96" i="1"/>
  <c r="AO96" i="1"/>
  <c r="AN96" i="1"/>
  <c r="AM96" i="1"/>
  <c r="AL96" i="1"/>
  <c r="AK96" i="1"/>
  <c r="AJ96" i="1"/>
  <c r="R96" i="1"/>
  <c r="BE96" i="1" s="1"/>
  <c r="G96" i="1"/>
  <c r="E96" i="1"/>
  <c r="C96" i="1"/>
  <c r="B96" i="1"/>
  <c r="DM95" i="1"/>
  <c r="CX95" i="1"/>
  <c r="CV95" i="1"/>
  <c r="CM95" i="1" s="1"/>
  <c r="F95" i="1" s="1"/>
  <c r="CU95" i="1"/>
  <c r="CK95" i="1" s="1"/>
  <c r="D95" i="1" s="1"/>
  <c r="CS95" i="1"/>
  <c r="M95" i="1" s="1"/>
  <c r="Q95" i="1" s="1"/>
  <c r="CR95" i="1"/>
  <c r="L95" i="1" s="1"/>
  <c r="P95" i="1" s="1"/>
  <c r="CQ95" i="1"/>
  <c r="K95" i="1" s="1"/>
  <c r="O95" i="1" s="1"/>
  <c r="CH95" i="1" s="1"/>
  <c r="CP95" i="1"/>
  <c r="CO95" i="1" s="1"/>
  <c r="BJ95" i="1"/>
  <c r="BI95" i="1"/>
  <c r="BH95" i="1"/>
  <c r="BA95" i="1"/>
  <c r="AW95" i="1"/>
  <c r="AT95" i="1"/>
  <c r="AS95" i="1"/>
  <c r="AR95" i="1"/>
  <c r="AQ95" i="1"/>
  <c r="AP95" i="1"/>
  <c r="AO95" i="1"/>
  <c r="AN95" i="1"/>
  <c r="AM95" i="1"/>
  <c r="AL95" i="1"/>
  <c r="AK95" i="1"/>
  <c r="AJ95" i="1"/>
  <c r="R95" i="1"/>
  <c r="BG95" i="1" s="1"/>
  <c r="G95" i="1"/>
  <c r="E95" i="1"/>
  <c r="C95" i="1"/>
  <c r="B95" i="1"/>
  <c r="CV94" i="1"/>
  <c r="CM94" i="1" s="1"/>
  <c r="CU94" i="1"/>
  <c r="CK94" i="1" s="1"/>
  <c r="CS94" i="1"/>
  <c r="CR94" i="1"/>
  <c r="CQ94" i="1"/>
  <c r="CP94" i="1"/>
  <c r="CO94" i="1"/>
  <c r="R94" i="1"/>
  <c r="B92" i="1"/>
  <c r="B50" i="1"/>
  <c r="CV53" i="1"/>
  <c r="CM53" i="1" s="1"/>
  <c r="F53" i="1" s="1"/>
  <c r="CU53" i="1"/>
  <c r="CK53" i="1" s="1"/>
  <c r="D53" i="1" s="1"/>
  <c r="CS53" i="1"/>
  <c r="M53" i="1" s="1"/>
  <c r="Q53" i="1" s="1"/>
  <c r="CR53" i="1"/>
  <c r="L53" i="1" s="1"/>
  <c r="P53" i="1" s="1"/>
  <c r="CQ53" i="1"/>
  <c r="K53" i="1" s="1"/>
  <c r="O53" i="1" s="1"/>
  <c r="CP53" i="1"/>
  <c r="CO53" i="1" s="1"/>
  <c r="BJ53" i="1"/>
  <c r="BI53" i="1"/>
  <c r="BH53" i="1"/>
  <c r="BG53" i="1"/>
  <c r="BF53" i="1"/>
  <c r="BA53" i="1"/>
  <c r="AW53" i="1"/>
  <c r="AT53" i="1"/>
  <c r="AS53" i="1"/>
  <c r="AR53" i="1"/>
  <c r="AQ53" i="1"/>
  <c r="AP53" i="1"/>
  <c r="AO53" i="1"/>
  <c r="AN53" i="1"/>
  <c r="AM53" i="1"/>
  <c r="AL53" i="1"/>
  <c r="AK53" i="1"/>
  <c r="AJ53" i="1"/>
  <c r="R53" i="1"/>
  <c r="BE53" i="1" s="1"/>
  <c r="G53" i="1"/>
  <c r="E53" i="1"/>
  <c r="C53" i="1"/>
  <c r="B53" i="1"/>
  <c r="CV52" i="1"/>
  <c r="CM52" i="1" s="1"/>
  <c r="F52" i="1" s="1"/>
  <c r="CU52" i="1"/>
  <c r="CK52" i="1" s="1"/>
  <c r="D52" i="1" s="1"/>
  <c r="CS52" i="1"/>
  <c r="M52" i="1" s="1"/>
  <c r="Q52" i="1" s="1"/>
  <c r="CR52" i="1"/>
  <c r="L52" i="1" s="1"/>
  <c r="P52" i="1" s="1"/>
  <c r="CQ52" i="1"/>
  <c r="K52" i="1" s="1"/>
  <c r="O52" i="1" s="1"/>
  <c r="CH52" i="1" s="1"/>
  <c r="CP52" i="1"/>
  <c r="CO52" i="1" s="1"/>
  <c r="BJ52" i="1"/>
  <c r="BI52" i="1"/>
  <c r="BH52" i="1"/>
  <c r="BG52" i="1"/>
  <c r="BF52" i="1"/>
  <c r="BA52" i="1"/>
  <c r="AW52" i="1"/>
  <c r="AT52" i="1"/>
  <c r="AS52" i="1"/>
  <c r="AR52" i="1"/>
  <c r="AQ52" i="1"/>
  <c r="AP52" i="1"/>
  <c r="AO52" i="1"/>
  <c r="AN52" i="1"/>
  <c r="AM52" i="1"/>
  <c r="AL52" i="1"/>
  <c r="AK52" i="1"/>
  <c r="AJ52" i="1"/>
  <c r="R52" i="1"/>
  <c r="BE52" i="1" s="1"/>
  <c r="G52" i="1"/>
  <c r="E52" i="1"/>
  <c r="C52" i="1"/>
  <c r="B52" i="1"/>
  <c r="CV51" i="1"/>
  <c r="CM51" i="1" s="1"/>
  <c r="F51" i="1" s="1"/>
  <c r="CU51" i="1"/>
  <c r="CK51" i="1" s="1"/>
  <c r="D51" i="1" s="1"/>
  <c r="CS51" i="1"/>
  <c r="M51" i="1" s="1"/>
  <c r="Q51" i="1" s="1"/>
  <c r="CR51" i="1"/>
  <c r="L51" i="1" s="1"/>
  <c r="P51" i="1" s="1"/>
  <c r="CQ51" i="1"/>
  <c r="K51" i="1" s="1"/>
  <c r="O51" i="1" s="1"/>
  <c r="CH51" i="1" s="1"/>
  <c r="CP51" i="1"/>
  <c r="J51" i="1" s="1"/>
  <c r="N51" i="1" s="1"/>
  <c r="BJ51" i="1"/>
  <c r="BI51" i="1"/>
  <c r="BH51" i="1"/>
  <c r="BG51" i="1"/>
  <c r="BF51" i="1"/>
  <c r="BA51" i="1"/>
  <c r="AW51" i="1"/>
  <c r="AT51" i="1"/>
  <c r="AS51" i="1"/>
  <c r="AR51" i="1"/>
  <c r="AQ51" i="1"/>
  <c r="AP51" i="1"/>
  <c r="AO51" i="1"/>
  <c r="AN51" i="1"/>
  <c r="AM51" i="1"/>
  <c r="AL51" i="1"/>
  <c r="AK51" i="1"/>
  <c r="AJ51" i="1"/>
  <c r="R51" i="1"/>
  <c r="BE51" i="1" s="1"/>
  <c r="G51" i="1"/>
  <c r="E51" i="1"/>
  <c r="C51" i="1"/>
  <c r="B51" i="1"/>
  <c r="DM50" i="1"/>
  <c r="CX50" i="1"/>
  <c r="CV50" i="1"/>
  <c r="CM50" i="1" s="1"/>
  <c r="F50" i="1" s="1"/>
  <c r="CU50" i="1"/>
  <c r="CK50" i="1" s="1"/>
  <c r="D50" i="1" s="1"/>
  <c r="CS50" i="1"/>
  <c r="M50" i="1" s="1"/>
  <c r="Q50" i="1" s="1"/>
  <c r="CR50" i="1"/>
  <c r="L50" i="1" s="1"/>
  <c r="P50" i="1" s="1"/>
  <c r="CQ50" i="1"/>
  <c r="K50" i="1" s="1"/>
  <c r="O50" i="1" s="1"/>
  <c r="CH50" i="1" s="1"/>
  <c r="CP50" i="1"/>
  <c r="CO50" i="1" s="1"/>
  <c r="BJ50" i="1"/>
  <c r="BI50" i="1"/>
  <c r="BH50" i="1"/>
  <c r="BA50" i="1"/>
  <c r="AW50" i="1"/>
  <c r="AT50" i="1"/>
  <c r="AS50" i="1"/>
  <c r="AR50" i="1"/>
  <c r="AQ50" i="1"/>
  <c r="AP50" i="1"/>
  <c r="AO50" i="1"/>
  <c r="AN50" i="1"/>
  <c r="AM50" i="1"/>
  <c r="AL50" i="1"/>
  <c r="AK50" i="1"/>
  <c r="AJ50" i="1"/>
  <c r="R50" i="1"/>
  <c r="BG50" i="1" s="1"/>
  <c r="G50" i="1"/>
  <c r="E50" i="1"/>
  <c r="C50" i="1"/>
  <c r="CV49" i="1"/>
  <c r="CM49" i="1" s="1"/>
  <c r="CU49" i="1"/>
  <c r="CK49" i="1" s="1"/>
  <c r="CS49" i="1"/>
  <c r="CR49" i="1"/>
  <c r="CQ49" i="1"/>
  <c r="CP49" i="1"/>
  <c r="CO49" i="1"/>
  <c r="CV33" i="1"/>
  <c r="CM33" i="1" s="1"/>
  <c r="F33" i="1" s="1"/>
  <c r="CU33" i="1"/>
  <c r="CK33" i="1" s="1"/>
  <c r="D33" i="1" s="1"/>
  <c r="CS33" i="1"/>
  <c r="M33" i="1" s="1"/>
  <c r="Q33" i="1" s="1"/>
  <c r="CR33" i="1"/>
  <c r="L33" i="1" s="1"/>
  <c r="P33" i="1" s="1"/>
  <c r="CQ33" i="1"/>
  <c r="K33" i="1" s="1"/>
  <c r="O33" i="1" s="1"/>
  <c r="CP33" i="1"/>
  <c r="CO33" i="1" s="1"/>
  <c r="BJ33" i="1"/>
  <c r="BI33" i="1"/>
  <c r="BH33" i="1"/>
  <c r="BG33" i="1"/>
  <c r="BF33" i="1"/>
  <c r="BA33" i="1"/>
  <c r="AW33" i="1"/>
  <c r="AT33" i="1"/>
  <c r="AS33" i="1"/>
  <c r="AR33" i="1"/>
  <c r="AQ33" i="1"/>
  <c r="AP33" i="1"/>
  <c r="AO33" i="1"/>
  <c r="AN33" i="1"/>
  <c r="AM33" i="1"/>
  <c r="AL33" i="1"/>
  <c r="AK33" i="1"/>
  <c r="AJ33" i="1"/>
  <c r="R33" i="1"/>
  <c r="BE33" i="1" s="1"/>
  <c r="G33" i="1"/>
  <c r="E33" i="1"/>
  <c r="C33" i="1"/>
  <c r="B33" i="1"/>
  <c r="CV32" i="1"/>
  <c r="CM32" i="1" s="1"/>
  <c r="F32" i="1" s="1"/>
  <c r="CU32" i="1"/>
  <c r="CK32" i="1" s="1"/>
  <c r="D32" i="1" s="1"/>
  <c r="CS32" i="1"/>
  <c r="M32" i="1" s="1"/>
  <c r="Q32" i="1" s="1"/>
  <c r="CR32" i="1"/>
  <c r="L32" i="1" s="1"/>
  <c r="P32" i="1" s="1"/>
  <c r="CQ32" i="1"/>
  <c r="K32" i="1" s="1"/>
  <c r="O32" i="1" s="1"/>
  <c r="CP32" i="1"/>
  <c r="CO32" i="1" s="1"/>
  <c r="BJ32" i="1"/>
  <c r="BI32" i="1"/>
  <c r="BH32" i="1"/>
  <c r="BG32" i="1"/>
  <c r="BF32" i="1"/>
  <c r="BA32" i="1"/>
  <c r="AW32" i="1"/>
  <c r="AT32" i="1"/>
  <c r="AS32" i="1"/>
  <c r="AR32" i="1"/>
  <c r="AQ32" i="1"/>
  <c r="AP32" i="1"/>
  <c r="AO32" i="1"/>
  <c r="AN32" i="1"/>
  <c r="AM32" i="1"/>
  <c r="AL32" i="1"/>
  <c r="AK32" i="1"/>
  <c r="AJ32" i="1"/>
  <c r="R32" i="1"/>
  <c r="BE32" i="1" s="1"/>
  <c r="G32" i="1"/>
  <c r="E32" i="1"/>
  <c r="C32" i="1"/>
  <c r="B32" i="1"/>
  <c r="CV31" i="1"/>
  <c r="CM31" i="1" s="1"/>
  <c r="F31" i="1" s="1"/>
  <c r="CU31" i="1"/>
  <c r="CK31" i="1" s="1"/>
  <c r="D31" i="1" s="1"/>
  <c r="CS31" i="1"/>
  <c r="M31" i="1" s="1"/>
  <c r="Q31" i="1" s="1"/>
  <c r="CR31" i="1"/>
  <c r="L31" i="1" s="1"/>
  <c r="P31" i="1" s="1"/>
  <c r="CQ31" i="1"/>
  <c r="K31" i="1" s="1"/>
  <c r="O31" i="1" s="1"/>
  <c r="CP31" i="1"/>
  <c r="CO31" i="1" s="1"/>
  <c r="BJ31" i="1"/>
  <c r="BI31" i="1"/>
  <c r="BH31" i="1"/>
  <c r="BG31" i="1"/>
  <c r="BF31" i="1"/>
  <c r="BA31" i="1"/>
  <c r="AW31" i="1"/>
  <c r="AT31" i="1"/>
  <c r="AS31" i="1"/>
  <c r="AR31" i="1"/>
  <c r="AQ31" i="1"/>
  <c r="AP31" i="1"/>
  <c r="AO31" i="1"/>
  <c r="AN31" i="1"/>
  <c r="AM31" i="1"/>
  <c r="AL31" i="1"/>
  <c r="AK31" i="1"/>
  <c r="AJ31" i="1"/>
  <c r="R31" i="1"/>
  <c r="BE31" i="1" s="1"/>
  <c r="G31" i="1"/>
  <c r="E31" i="1"/>
  <c r="C31" i="1"/>
  <c r="B31" i="1"/>
  <c r="DM30" i="1"/>
  <c r="CX30" i="1"/>
  <c r="CV30" i="1"/>
  <c r="CM30" i="1" s="1"/>
  <c r="F30" i="1" s="1"/>
  <c r="CU30" i="1"/>
  <c r="CK30" i="1" s="1"/>
  <c r="D30" i="1" s="1"/>
  <c r="CS30" i="1"/>
  <c r="M30" i="1" s="1"/>
  <c r="Q30" i="1" s="1"/>
  <c r="CR30" i="1"/>
  <c r="L30" i="1" s="1"/>
  <c r="P30" i="1" s="1"/>
  <c r="CQ30" i="1"/>
  <c r="K30" i="1" s="1"/>
  <c r="O30" i="1" s="1"/>
  <c r="CP30" i="1"/>
  <c r="CO30" i="1" s="1"/>
  <c r="BJ30" i="1"/>
  <c r="BI30" i="1"/>
  <c r="BH30" i="1"/>
  <c r="BG30" i="1"/>
  <c r="BF30" i="1"/>
  <c r="BA30" i="1"/>
  <c r="AW30" i="1"/>
  <c r="AT30" i="1"/>
  <c r="AS30" i="1"/>
  <c r="AR30" i="1"/>
  <c r="AQ30" i="1"/>
  <c r="AP30" i="1"/>
  <c r="AO30" i="1"/>
  <c r="AN30" i="1"/>
  <c r="AM30" i="1"/>
  <c r="AL30" i="1"/>
  <c r="AK30" i="1"/>
  <c r="AJ30" i="1"/>
  <c r="R30" i="1"/>
  <c r="BE30" i="1" s="1"/>
  <c r="G30" i="1"/>
  <c r="E30" i="1"/>
  <c r="C30" i="1"/>
  <c r="B30" i="1"/>
  <c r="CV29" i="1"/>
  <c r="CM29" i="1" s="1"/>
  <c r="CU29" i="1"/>
  <c r="CK29" i="1" s="1"/>
  <c r="CS29" i="1"/>
  <c r="CR29" i="1"/>
  <c r="CQ29" i="1"/>
  <c r="CP29" i="1"/>
  <c r="CO29" i="1"/>
  <c r="R29" i="1"/>
  <c r="AV98" i="1" l="1"/>
  <c r="BK98" i="1" s="1"/>
  <c r="AX98" i="1" s="1"/>
  <c r="BD98" i="1" s="1"/>
  <c r="AV53" i="1"/>
  <c r="BK53" i="1" s="1"/>
  <c r="AX53" i="1" s="1"/>
  <c r="BD53" i="1" s="1"/>
  <c r="J116" i="1"/>
  <c r="N116" i="1" s="1"/>
  <c r="J97" i="1"/>
  <c r="N97" i="1" s="1"/>
  <c r="J117" i="1"/>
  <c r="N117" i="1" s="1"/>
  <c r="AV95" i="1"/>
  <c r="AV115" i="1"/>
  <c r="BK115" i="1" s="1"/>
  <c r="AX115" i="1" s="1"/>
  <c r="BD115" i="1" s="1"/>
  <c r="AV96" i="1"/>
  <c r="BK96" i="1" s="1"/>
  <c r="AX96" i="1" s="1"/>
  <c r="BD96" i="1" s="1"/>
  <c r="AV32" i="1"/>
  <c r="BK32" i="1" s="1"/>
  <c r="AX32" i="1" s="1"/>
  <c r="BD32" i="1" s="1"/>
  <c r="AV50" i="1"/>
  <c r="AV97" i="1"/>
  <c r="BK97" i="1" s="1"/>
  <c r="AX97" i="1" s="1"/>
  <c r="BD97" i="1" s="1"/>
  <c r="AV52" i="1"/>
  <c r="BK52" i="1" s="1"/>
  <c r="AV31" i="1"/>
  <c r="BK31" i="1" s="1"/>
  <c r="AX31" i="1" s="1"/>
  <c r="BD31" i="1" s="1"/>
  <c r="AV116" i="1"/>
  <c r="BK116" i="1" s="1"/>
  <c r="AV30" i="1"/>
  <c r="BK30" i="1" s="1"/>
  <c r="AX30" i="1" s="1"/>
  <c r="BD30" i="1" s="1"/>
  <c r="AV117" i="1"/>
  <c r="BK117" i="1" s="1"/>
  <c r="CB117" i="1" s="1"/>
  <c r="CC117" i="1" s="1"/>
  <c r="AV33" i="1"/>
  <c r="BK33" i="1" s="1"/>
  <c r="CB33" i="1" s="1"/>
  <c r="CC33" i="1" s="1"/>
  <c r="AV51" i="1"/>
  <c r="BK51" i="1" s="1"/>
  <c r="AX51" i="1" s="1"/>
  <c r="BD51" i="1" s="1"/>
  <c r="AV118" i="1"/>
  <c r="BK118" i="1" s="1"/>
  <c r="AX118" i="1" s="1"/>
  <c r="BD118" i="1" s="1"/>
  <c r="J118" i="1"/>
  <c r="N118" i="1" s="1"/>
  <c r="J98" i="1"/>
  <c r="N98" i="1" s="1"/>
  <c r="BQ117" i="1"/>
  <c r="DZ118" i="1"/>
  <c r="DQ118" i="1"/>
  <c r="DY118" i="1"/>
  <c r="DP118" i="1"/>
  <c r="H118" i="1"/>
  <c r="DX118" i="1"/>
  <c r="DO118" i="1"/>
  <c r="DW118" i="1"/>
  <c r="DN118" i="1"/>
  <c r="DV118" i="1"/>
  <c r="DU118" i="1"/>
  <c r="DS118" i="1"/>
  <c r="DR118" i="1"/>
  <c r="DZ116" i="1"/>
  <c r="DQ116" i="1"/>
  <c r="DY116" i="1"/>
  <c r="DP116" i="1"/>
  <c r="H116" i="1"/>
  <c r="DX116" i="1"/>
  <c r="DO116" i="1"/>
  <c r="DW116" i="1"/>
  <c r="DN116" i="1"/>
  <c r="DV116" i="1"/>
  <c r="DU116" i="1"/>
  <c r="DR116" i="1"/>
  <c r="DS116" i="1"/>
  <c r="BQ118" i="1"/>
  <c r="DZ115" i="1"/>
  <c r="DQ115" i="1"/>
  <c r="DY115" i="1"/>
  <c r="DP115" i="1"/>
  <c r="DR115" i="1"/>
  <c r="DX115" i="1"/>
  <c r="DO115" i="1"/>
  <c r="DW115" i="1"/>
  <c r="DN115" i="1"/>
  <c r="DV115" i="1"/>
  <c r="DU115" i="1"/>
  <c r="DS115" i="1"/>
  <c r="H115" i="1"/>
  <c r="DZ117" i="1"/>
  <c r="DQ117" i="1"/>
  <c r="DY117" i="1"/>
  <c r="DP117" i="1"/>
  <c r="H117" i="1"/>
  <c r="DX117" i="1"/>
  <c r="DO117" i="1"/>
  <c r="DW117" i="1"/>
  <c r="DN117" i="1"/>
  <c r="DR117" i="1"/>
  <c r="DV117" i="1"/>
  <c r="DU117" i="1"/>
  <c r="DS117" i="1"/>
  <c r="J115" i="1"/>
  <c r="N115" i="1" s="1"/>
  <c r="BQ116" i="1"/>
  <c r="CH31" i="1"/>
  <c r="CH53" i="1"/>
  <c r="BQ115" i="1"/>
  <c r="J50" i="1"/>
  <c r="N50" i="1" s="1"/>
  <c r="DZ98" i="1"/>
  <c r="DQ98" i="1"/>
  <c r="DY98" i="1"/>
  <c r="DP98" i="1"/>
  <c r="H98" i="1"/>
  <c r="DR98" i="1"/>
  <c r="DX98" i="1"/>
  <c r="DO98" i="1"/>
  <c r="DW98" i="1"/>
  <c r="DN98" i="1"/>
  <c r="DV98" i="1"/>
  <c r="DU98" i="1"/>
  <c r="DS98" i="1"/>
  <c r="DZ95" i="1"/>
  <c r="DQ95" i="1"/>
  <c r="DY95" i="1"/>
  <c r="DP95" i="1"/>
  <c r="DX95" i="1"/>
  <c r="DO95" i="1"/>
  <c r="DW95" i="1"/>
  <c r="DN95" i="1"/>
  <c r="DR95" i="1"/>
  <c r="H95" i="1"/>
  <c r="DV95" i="1"/>
  <c r="DU95" i="1"/>
  <c r="DS95" i="1"/>
  <c r="DZ97" i="1"/>
  <c r="DQ97" i="1"/>
  <c r="DY97" i="1"/>
  <c r="DP97" i="1"/>
  <c r="H97" i="1"/>
  <c r="DR97" i="1"/>
  <c r="DX97" i="1"/>
  <c r="DO97" i="1"/>
  <c r="DW97" i="1"/>
  <c r="DN97" i="1"/>
  <c r="DV97" i="1"/>
  <c r="DU97" i="1"/>
  <c r="DS97" i="1"/>
  <c r="J53" i="1"/>
  <c r="N53" i="1" s="1"/>
  <c r="J95" i="1"/>
  <c r="N95" i="1" s="1"/>
  <c r="J31" i="1"/>
  <c r="N31" i="1" s="1"/>
  <c r="BE95" i="1"/>
  <c r="BF95" i="1"/>
  <c r="BQ96" i="1"/>
  <c r="BQ97" i="1"/>
  <c r="BQ98" i="1"/>
  <c r="CH32" i="1"/>
  <c r="CO96" i="1"/>
  <c r="CH33" i="1"/>
  <c r="J52" i="1"/>
  <c r="N52" i="1" s="1"/>
  <c r="BQ52" i="1"/>
  <c r="DZ53" i="1"/>
  <c r="DQ53" i="1"/>
  <c r="DY53" i="1"/>
  <c r="DP53" i="1"/>
  <c r="H53" i="1"/>
  <c r="DX53" i="1"/>
  <c r="DO53" i="1"/>
  <c r="DW53" i="1"/>
  <c r="DN53" i="1"/>
  <c r="DV53" i="1"/>
  <c r="DU53" i="1"/>
  <c r="DS53" i="1"/>
  <c r="DR53" i="1"/>
  <c r="BQ53" i="1"/>
  <c r="BQ51" i="1"/>
  <c r="DZ50" i="1"/>
  <c r="DQ50" i="1"/>
  <c r="DY50" i="1"/>
  <c r="DP50" i="1"/>
  <c r="DX50" i="1"/>
  <c r="DO50" i="1"/>
  <c r="DS50" i="1"/>
  <c r="DW50" i="1"/>
  <c r="DN50" i="1"/>
  <c r="DV50" i="1"/>
  <c r="DU50" i="1"/>
  <c r="DR50" i="1"/>
  <c r="H50" i="1"/>
  <c r="DZ52" i="1"/>
  <c r="DQ52" i="1"/>
  <c r="DY52" i="1"/>
  <c r="DP52" i="1"/>
  <c r="H52" i="1"/>
  <c r="DX52" i="1"/>
  <c r="DO52" i="1"/>
  <c r="DS52" i="1"/>
  <c r="DW52" i="1"/>
  <c r="DN52" i="1"/>
  <c r="DV52" i="1"/>
  <c r="DU52" i="1"/>
  <c r="DR52" i="1"/>
  <c r="BE50" i="1"/>
  <c r="CH30" i="1"/>
  <c r="BF50" i="1"/>
  <c r="CO51" i="1"/>
  <c r="DZ33" i="1"/>
  <c r="DS33" i="1"/>
  <c r="DR33" i="1"/>
  <c r="H33" i="1"/>
  <c r="J33" i="1"/>
  <c r="N33" i="1" s="1"/>
  <c r="J32" i="1"/>
  <c r="N32" i="1" s="1"/>
  <c r="BQ30" i="1"/>
  <c r="DZ31" i="1"/>
  <c r="DQ31" i="1"/>
  <c r="DY31" i="1"/>
  <c r="DP31" i="1"/>
  <c r="H31" i="1"/>
  <c r="DR31" i="1"/>
  <c r="DX31" i="1"/>
  <c r="DO31" i="1"/>
  <c r="DW31" i="1"/>
  <c r="DN31" i="1"/>
  <c r="DV31" i="1"/>
  <c r="DS31" i="1"/>
  <c r="DU31" i="1"/>
  <c r="DZ32" i="1"/>
  <c r="DQ32" i="1"/>
  <c r="DY32" i="1"/>
  <c r="DP32" i="1"/>
  <c r="H32" i="1"/>
  <c r="DX32" i="1"/>
  <c r="DO32" i="1"/>
  <c r="DW32" i="1"/>
  <c r="DN32" i="1"/>
  <c r="DV32" i="1"/>
  <c r="DR32" i="1"/>
  <c r="DU32" i="1"/>
  <c r="DS32" i="1"/>
  <c r="BQ33" i="1"/>
  <c r="DZ30" i="1"/>
  <c r="DQ30" i="1"/>
  <c r="DY30" i="1"/>
  <c r="DP30" i="1"/>
  <c r="DX30" i="1"/>
  <c r="DO30" i="1"/>
  <c r="DW30" i="1"/>
  <c r="DN30" i="1"/>
  <c r="DR30" i="1"/>
  <c r="DV30" i="1"/>
  <c r="DS30" i="1"/>
  <c r="DU30" i="1"/>
  <c r="H30" i="1"/>
  <c r="BQ31" i="1"/>
  <c r="BQ32" i="1"/>
  <c r="DU33" i="1"/>
  <c r="J30" i="1"/>
  <c r="N30" i="1" s="1"/>
  <c r="DV33" i="1"/>
  <c r="DN33" i="1"/>
  <c r="DW33" i="1"/>
  <c r="DO33" i="1"/>
  <c r="DX33" i="1"/>
  <c r="DP33" i="1"/>
  <c r="DY33" i="1"/>
  <c r="DQ33" i="1"/>
  <c r="DC115" i="1" l="1"/>
  <c r="AX52" i="1"/>
  <c r="BD52" i="1" s="1"/>
  <c r="CA52" i="1"/>
  <c r="CB52" i="1"/>
  <c r="CC52" i="1" s="1"/>
  <c r="CA98" i="1"/>
  <c r="CB98" i="1"/>
  <c r="CC98" i="1" s="1"/>
  <c r="CA115" i="1"/>
  <c r="AX116" i="1"/>
  <c r="BD116" i="1" s="1"/>
  <c r="CA116" i="1"/>
  <c r="BL98" i="1"/>
  <c r="BM98" i="1" s="1"/>
  <c r="BN98" i="1" s="1"/>
  <c r="BO98" i="1" s="1"/>
  <c r="BL96" i="1"/>
  <c r="BM96" i="1" s="1"/>
  <c r="BN96" i="1" s="1"/>
  <c r="BO96" i="1" s="1"/>
  <c r="CB96" i="1"/>
  <c r="CC96" i="1" s="1"/>
  <c r="BL118" i="1"/>
  <c r="BM118" i="1" s="1"/>
  <c r="BN118" i="1" s="1"/>
  <c r="BO118" i="1" s="1"/>
  <c r="CB118" i="1"/>
  <c r="CC118" i="1" s="1"/>
  <c r="CA118" i="1"/>
  <c r="BL116" i="1"/>
  <c r="BM116" i="1" s="1"/>
  <c r="BN116" i="1" s="1"/>
  <c r="BO116" i="1" s="1"/>
  <c r="CB115" i="1"/>
  <c r="CC115" i="1" s="1"/>
  <c r="AX33" i="1"/>
  <c r="BD33" i="1" s="1"/>
  <c r="BK50" i="1"/>
  <c r="AX50" i="1" s="1"/>
  <c r="BD50" i="1" s="1"/>
  <c r="CB53" i="1"/>
  <c r="CC53" i="1" s="1"/>
  <c r="BL51" i="1"/>
  <c r="BM51" i="1" s="1"/>
  <c r="BN51" i="1" s="1"/>
  <c r="BO51" i="1" s="1"/>
  <c r="BL52" i="1"/>
  <c r="BM52" i="1" s="1"/>
  <c r="BN52" i="1" s="1"/>
  <c r="BO52" i="1" s="1"/>
  <c r="BQ95" i="1"/>
  <c r="BU95" i="1" s="1"/>
  <c r="CB97" i="1"/>
  <c r="CC97" i="1" s="1"/>
  <c r="CA117" i="1"/>
  <c r="CD117" i="1" s="1"/>
  <c r="CE117" i="1" s="1"/>
  <c r="CA96" i="1"/>
  <c r="BL117" i="1"/>
  <c r="BM117" i="1" s="1"/>
  <c r="BN117" i="1" s="1"/>
  <c r="BO117" i="1" s="1"/>
  <c r="AX117" i="1"/>
  <c r="BD117" i="1" s="1"/>
  <c r="CY115" i="1"/>
  <c r="DK115" i="1"/>
  <c r="DD115" i="1"/>
  <c r="BL31" i="1"/>
  <c r="BM31" i="1" s="1"/>
  <c r="BN31" i="1" s="1"/>
  <c r="BO31" i="1" s="1"/>
  <c r="BS115" i="1"/>
  <c r="BR115" i="1"/>
  <c r="BX115" i="1"/>
  <c r="BW115" i="1"/>
  <c r="BV115" i="1"/>
  <c r="BT115" i="1"/>
  <c r="BU115" i="1"/>
  <c r="DG115" i="1"/>
  <c r="DB115" i="1"/>
  <c r="DH115" i="1"/>
  <c r="BU116" i="1"/>
  <c r="BT116" i="1"/>
  <c r="BS116" i="1"/>
  <c r="BR116" i="1"/>
  <c r="BX116" i="1"/>
  <c r="BV116" i="1"/>
  <c r="BW116" i="1"/>
  <c r="CZ115" i="1"/>
  <c r="DI115" i="1"/>
  <c r="BU118" i="1"/>
  <c r="BT118" i="1"/>
  <c r="BS118" i="1"/>
  <c r="BR118" i="1"/>
  <c r="BV118" i="1"/>
  <c r="BX118" i="1"/>
  <c r="BW118" i="1"/>
  <c r="BL115" i="1"/>
  <c r="BM115" i="1" s="1"/>
  <c r="BN115" i="1" s="1"/>
  <c r="BO115" i="1" s="1"/>
  <c r="DA115" i="1"/>
  <c r="BU117" i="1"/>
  <c r="BT117" i="1"/>
  <c r="BV117" i="1"/>
  <c r="BS117" i="1"/>
  <c r="BR117" i="1"/>
  <c r="BX117" i="1"/>
  <c r="BW117" i="1"/>
  <c r="CB31" i="1"/>
  <c r="CC31" i="1" s="1"/>
  <c r="CA31" i="1"/>
  <c r="CA53" i="1"/>
  <c r="CB116" i="1"/>
  <c r="CC116" i="1" s="1"/>
  <c r="DF115" i="1"/>
  <c r="DJ115" i="1"/>
  <c r="BU97" i="1"/>
  <c r="BT97" i="1"/>
  <c r="BS97" i="1"/>
  <c r="BR97" i="1"/>
  <c r="BV97" i="1"/>
  <c r="BX97" i="1"/>
  <c r="BW97" i="1"/>
  <c r="DK30" i="1"/>
  <c r="BU96" i="1"/>
  <c r="BT96" i="1"/>
  <c r="BS96" i="1"/>
  <c r="BR96" i="1"/>
  <c r="BV96" i="1"/>
  <c r="BX96" i="1"/>
  <c r="BW96" i="1"/>
  <c r="BL97" i="1"/>
  <c r="BM97" i="1" s="1"/>
  <c r="BN97" i="1" s="1"/>
  <c r="BO97" i="1" s="1"/>
  <c r="CB30" i="1"/>
  <c r="CC30" i="1" s="1"/>
  <c r="CA33" i="1"/>
  <c r="CD33" i="1" s="1"/>
  <c r="CE33" i="1" s="1"/>
  <c r="DZ96" i="1"/>
  <c r="DK95" i="1" s="1"/>
  <c r="DQ96" i="1"/>
  <c r="DB95" i="1" s="1"/>
  <c r="DY96" i="1"/>
  <c r="DJ95" i="1" s="1"/>
  <c r="DP96" i="1"/>
  <c r="DA95" i="1" s="1"/>
  <c r="H96" i="1"/>
  <c r="DX96" i="1"/>
  <c r="DI95" i="1" s="1"/>
  <c r="DO96" i="1"/>
  <c r="CZ95" i="1" s="1"/>
  <c r="DR96" i="1"/>
  <c r="DC95" i="1" s="1"/>
  <c r="DW96" i="1"/>
  <c r="DH95" i="1" s="1"/>
  <c r="DN96" i="1"/>
  <c r="CY95" i="1" s="1"/>
  <c r="DV96" i="1"/>
  <c r="DG95" i="1" s="1"/>
  <c r="DU96" i="1"/>
  <c r="DF95" i="1" s="1"/>
  <c r="DS96" i="1"/>
  <c r="DD95" i="1" s="1"/>
  <c r="BK95" i="1"/>
  <c r="BL95" i="1" s="1"/>
  <c r="BM95" i="1" s="1"/>
  <c r="BN95" i="1" s="1"/>
  <c r="BO95" i="1" s="1"/>
  <c r="BU98" i="1"/>
  <c r="BT98" i="1"/>
  <c r="BS98" i="1"/>
  <c r="BR98" i="1"/>
  <c r="BV98" i="1"/>
  <c r="BX98" i="1"/>
  <c r="BW98" i="1"/>
  <c r="BL33" i="1"/>
  <c r="BM33" i="1" s="1"/>
  <c r="BN33" i="1" s="1"/>
  <c r="BO33" i="1" s="1"/>
  <c r="CB51" i="1"/>
  <c r="CC51" i="1" s="1"/>
  <c r="CA97" i="1"/>
  <c r="CA51" i="1"/>
  <c r="BL53" i="1"/>
  <c r="BM53" i="1" s="1"/>
  <c r="BN53" i="1" s="1"/>
  <c r="BO53" i="1" s="1"/>
  <c r="BU52" i="1"/>
  <c r="BT52" i="1"/>
  <c r="BS52" i="1"/>
  <c r="BR52" i="1"/>
  <c r="BX52" i="1"/>
  <c r="BW52" i="1"/>
  <c r="BV52" i="1"/>
  <c r="BQ50" i="1"/>
  <c r="BU51" i="1"/>
  <c r="BW51" i="1"/>
  <c r="BT51" i="1"/>
  <c r="BS51" i="1"/>
  <c r="BR51" i="1"/>
  <c r="BX51" i="1"/>
  <c r="BV51" i="1"/>
  <c r="DZ51" i="1"/>
  <c r="DK50" i="1" s="1"/>
  <c r="DQ51" i="1"/>
  <c r="DB50" i="1" s="1"/>
  <c r="DY51" i="1"/>
  <c r="DJ50" i="1" s="1"/>
  <c r="DP51" i="1"/>
  <c r="DA50" i="1" s="1"/>
  <c r="H51" i="1"/>
  <c r="DX51" i="1"/>
  <c r="DI50" i="1" s="1"/>
  <c r="DO51" i="1"/>
  <c r="CZ50" i="1" s="1"/>
  <c r="DW51" i="1"/>
  <c r="DH50" i="1" s="1"/>
  <c r="DN51" i="1"/>
  <c r="CY50" i="1" s="1"/>
  <c r="DV51" i="1"/>
  <c r="DG50" i="1" s="1"/>
  <c r="DU51" i="1"/>
  <c r="DF50" i="1" s="1"/>
  <c r="DS51" i="1"/>
  <c r="DD50" i="1" s="1"/>
  <c r="DR51" i="1"/>
  <c r="DC50" i="1" s="1"/>
  <c r="BU53" i="1"/>
  <c r="BW53" i="1"/>
  <c r="BT53" i="1"/>
  <c r="BS53" i="1"/>
  <c r="BR53" i="1"/>
  <c r="BX53" i="1"/>
  <c r="BV53" i="1"/>
  <c r="DH30" i="1"/>
  <c r="DI30" i="1"/>
  <c r="DD30" i="1"/>
  <c r="DC30" i="1"/>
  <c r="BU32" i="1"/>
  <c r="BT32" i="1"/>
  <c r="BV32" i="1"/>
  <c r="BS32" i="1"/>
  <c r="BR32" i="1"/>
  <c r="BW32" i="1"/>
  <c r="BX32" i="1"/>
  <c r="CZ30" i="1"/>
  <c r="BU31" i="1"/>
  <c r="BT31" i="1"/>
  <c r="BV31" i="1"/>
  <c r="BS31" i="1"/>
  <c r="BR31" i="1"/>
  <c r="BW31" i="1"/>
  <c r="BX31" i="1"/>
  <c r="BL30" i="1"/>
  <c r="BM30" i="1" s="1"/>
  <c r="BN30" i="1" s="1"/>
  <c r="BO30" i="1" s="1"/>
  <c r="BL32" i="1"/>
  <c r="BM32" i="1" s="1"/>
  <c r="BN32" i="1" s="1"/>
  <c r="BO32" i="1" s="1"/>
  <c r="DF30" i="1"/>
  <c r="DA30" i="1"/>
  <c r="BU33" i="1"/>
  <c r="BW33" i="1"/>
  <c r="BT33" i="1"/>
  <c r="BV33" i="1"/>
  <c r="BS33" i="1"/>
  <c r="BR33" i="1"/>
  <c r="BX33" i="1"/>
  <c r="CA30" i="1"/>
  <c r="DJ30" i="1"/>
  <c r="DG30" i="1"/>
  <c r="DB30" i="1"/>
  <c r="CB32" i="1"/>
  <c r="CC32" i="1" s="1"/>
  <c r="CA32" i="1"/>
  <c r="BS30" i="1"/>
  <c r="BR30" i="1"/>
  <c r="BT30" i="1"/>
  <c r="BU30" i="1"/>
  <c r="BX30" i="1"/>
  <c r="BW30" i="1"/>
  <c r="BV30" i="1"/>
  <c r="CY30" i="1"/>
  <c r="CD31" i="1" l="1"/>
  <c r="CE31" i="1" s="1"/>
  <c r="CF31" i="1" s="1"/>
  <c r="CD98" i="1"/>
  <c r="CE98" i="1" s="1"/>
  <c r="CF98" i="1" s="1"/>
  <c r="CD96" i="1"/>
  <c r="CE96" i="1" s="1"/>
  <c r="CF96" i="1" s="1"/>
  <c r="CD53" i="1"/>
  <c r="CE53" i="1" s="1"/>
  <c r="CF53" i="1" s="1"/>
  <c r="CD52" i="1"/>
  <c r="CE52" i="1" s="1"/>
  <c r="CF52" i="1" s="1"/>
  <c r="CA50" i="1"/>
  <c r="CB50" i="1"/>
  <c r="CC50" i="1" s="1"/>
  <c r="BL50" i="1"/>
  <c r="BM50" i="1" s="1"/>
  <c r="BN50" i="1" s="1"/>
  <c r="BO50" i="1" s="1"/>
  <c r="CF117" i="1"/>
  <c r="BV95" i="1"/>
  <c r="BW95" i="1"/>
  <c r="BX95" i="1"/>
  <c r="BT95" i="1"/>
  <c r="CD115" i="1"/>
  <c r="CE115" i="1" s="1"/>
  <c r="CF115" i="1" s="1"/>
  <c r="CD118" i="1"/>
  <c r="CE118" i="1" s="1"/>
  <c r="CF118" i="1" s="1"/>
  <c r="CD51" i="1"/>
  <c r="CE51" i="1" s="1"/>
  <c r="CF51" i="1" s="1"/>
  <c r="BR95" i="1"/>
  <c r="BS95" i="1"/>
  <c r="CD97" i="1"/>
  <c r="CE97" i="1" s="1"/>
  <c r="CF97" i="1" s="1"/>
  <c r="CD116" i="1"/>
  <c r="CE116" i="1" s="1"/>
  <c r="CF116" i="1" s="1"/>
  <c r="CD30" i="1"/>
  <c r="CE30" i="1" s="1"/>
  <c r="CF30" i="1" s="1"/>
  <c r="BY118" i="1"/>
  <c r="BY116" i="1"/>
  <c r="BY117" i="1"/>
  <c r="BY98" i="1"/>
  <c r="BY115" i="1"/>
  <c r="CF33" i="1"/>
  <c r="BY96" i="1"/>
  <c r="BY97" i="1"/>
  <c r="BY51" i="1"/>
  <c r="BY31" i="1"/>
  <c r="CA95" i="1"/>
  <c r="AX95" i="1"/>
  <c r="BD95" i="1" s="1"/>
  <c r="CB95" i="1"/>
  <c r="CC95" i="1" s="1"/>
  <c r="BY52" i="1"/>
  <c r="BY53" i="1"/>
  <c r="BS50" i="1"/>
  <c r="BR50" i="1"/>
  <c r="BX50" i="1"/>
  <c r="BW50" i="1"/>
  <c r="BV50" i="1"/>
  <c r="BT50" i="1"/>
  <c r="BU50" i="1"/>
  <c r="CD32" i="1"/>
  <c r="CE32" i="1" s="1"/>
  <c r="CF32" i="1" s="1"/>
  <c r="BY32" i="1"/>
  <c r="BY30" i="1"/>
  <c r="BY33" i="1"/>
  <c r="CD50" i="1" l="1"/>
  <c r="CE50" i="1" s="1"/>
  <c r="CF50" i="1" s="1"/>
  <c r="BY95" i="1"/>
  <c r="CD95" i="1"/>
  <c r="CE95" i="1" s="1"/>
  <c r="CF95" i="1" s="1"/>
  <c r="BY50" i="1"/>
  <c r="CO34" i="1" l="1"/>
  <c r="CO39" i="1"/>
  <c r="CO44" i="1"/>
  <c r="CO54" i="1"/>
  <c r="CO59" i="1"/>
  <c r="CO64" i="1"/>
  <c r="CO69" i="1"/>
  <c r="CO74" i="1"/>
  <c r="CO79" i="1"/>
  <c r="CO84" i="1"/>
  <c r="CO89" i="1"/>
  <c r="CO99" i="1"/>
  <c r="CO104" i="1"/>
  <c r="CO109" i="1"/>
  <c r="CO119" i="1"/>
  <c r="CO124" i="1"/>
  <c r="CO125" i="1"/>
  <c r="CO130" i="1"/>
  <c r="CO135" i="1"/>
  <c r="CO140" i="1"/>
  <c r="CO145" i="1"/>
  <c r="CO150" i="1"/>
  <c r="CM154" i="1" l="1"/>
  <c r="F154" i="1" s="1"/>
  <c r="CK154" i="1"/>
  <c r="D154" i="1" s="1"/>
  <c r="M154" i="1"/>
  <c r="Q154" i="1" s="1"/>
  <c r="L154" i="1"/>
  <c r="P154" i="1" s="1"/>
  <c r="K154" i="1"/>
  <c r="O154" i="1" s="1"/>
  <c r="CH154" i="1" s="1"/>
  <c r="BJ154" i="1"/>
  <c r="BI154" i="1"/>
  <c r="BH154" i="1"/>
  <c r="BG154" i="1"/>
  <c r="BF154" i="1"/>
  <c r="BA154" i="1"/>
  <c r="AW154" i="1"/>
  <c r="AT154" i="1"/>
  <c r="AS154" i="1"/>
  <c r="AR154" i="1"/>
  <c r="AQ154" i="1"/>
  <c r="AP154" i="1"/>
  <c r="AO154" i="1"/>
  <c r="AN154" i="1"/>
  <c r="AM154" i="1"/>
  <c r="AL154" i="1"/>
  <c r="AK154" i="1"/>
  <c r="AJ154" i="1"/>
  <c r="R154" i="1"/>
  <c r="BE154" i="1" s="1"/>
  <c r="G154" i="1"/>
  <c r="E154" i="1"/>
  <c r="C154" i="1"/>
  <c r="B154" i="1"/>
  <c r="CM153" i="1"/>
  <c r="F153" i="1" s="1"/>
  <c r="CK153" i="1"/>
  <c r="D153" i="1" s="1"/>
  <c r="L153" i="1"/>
  <c r="P153" i="1" s="1"/>
  <c r="K153" i="1"/>
  <c r="O153" i="1" s="1"/>
  <c r="CH153" i="1" s="1"/>
  <c r="BJ153" i="1"/>
  <c r="BI153" i="1"/>
  <c r="BH153" i="1"/>
  <c r="BG153" i="1"/>
  <c r="BF153" i="1"/>
  <c r="BE153" i="1"/>
  <c r="BA153" i="1"/>
  <c r="AW153" i="1"/>
  <c r="AT153" i="1"/>
  <c r="AS153" i="1"/>
  <c r="AR153" i="1"/>
  <c r="AQ153" i="1"/>
  <c r="AP153" i="1"/>
  <c r="AO153" i="1"/>
  <c r="AN153" i="1"/>
  <c r="AM153" i="1"/>
  <c r="AL153" i="1"/>
  <c r="AK153" i="1"/>
  <c r="AJ153" i="1"/>
  <c r="R153" i="1"/>
  <c r="M153" i="1"/>
  <c r="Q153" i="1" s="1"/>
  <c r="G153" i="1"/>
  <c r="E153" i="1"/>
  <c r="C153" i="1"/>
  <c r="B153" i="1"/>
  <c r="CM152" i="1"/>
  <c r="F152" i="1" s="1"/>
  <c r="CK152" i="1"/>
  <c r="D152" i="1" s="1"/>
  <c r="M152" i="1"/>
  <c r="Q152" i="1" s="1"/>
  <c r="L152" i="1"/>
  <c r="P152" i="1" s="1"/>
  <c r="K152" i="1"/>
  <c r="O152" i="1" s="1"/>
  <c r="CH152" i="1" s="1"/>
  <c r="BJ152" i="1"/>
  <c r="BI152" i="1"/>
  <c r="BH152" i="1"/>
  <c r="BG152" i="1"/>
  <c r="BF152" i="1"/>
  <c r="BA152" i="1"/>
  <c r="AW152" i="1"/>
  <c r="AT152" i="1"/>
  <c r="AS152" i="1"/>
  <c r="AR152" i="1"/>
  <c r="AQ152" i="1"/>
  <c r="AP152" i="1"/>
  <c r="AO152" i="1"/>
  <c r="AN152" i="1"/>
  <c r="AM152" i="1"/>
  <c r="AL152" i="1"/>
  <c r="AK152" i="1"/>
  <c r="AJ152" i="1"/>
  <c r="R152" i="1"/>
  <c r="BE152" i="1" s="1"/>
  <c r="G152" i="1"/>
  <c r="E152" i="1"/>
  <c r="C152" i="1"/>
  <c r="B152" i="1"/>
  <c r="DM151" i="1"/>
  <c r="CX151" i="1"/>
  <c r="CM151" i="1"/>
  <c r="F151" i="1" s="1"/>
  <c r="CK151" i="1"/>
  <c r="D151" i="1" s="1"/>
  <c r="M151" i="1"/>
  <c r="Q151" i="1" s="1"/>
  <c r="L151" i="1"/>
  <c r="P151" i="1" s="1"/>
  <c r="K151" i="1"/>
  <c r="O151" i="1" s="1"/>
  <c r="CH151" i="1" s="1"/>
  <c r="BJ151" i="1"/>
  <c r="BI151" i="1"/>
  <c r="BH151" i="1"/>
  <c r="BG151" i="1"/>
  <c r="BF151" i="1"/>
  <c r="BE151" i="1"/>
  <c r="BA151" i="1"/>
  <c r="AW151" i="1"/>
  <c r="AT151" i="1"/>
  <c r="AS151" i="1"/>
  <c r="AR151" i="1"/>
  <c r="AQ151" i="1"/>
  <c r="AP151" i="1"/>
  <c r="AO151" i="1"/>
  <c r="AN151" i="1"/>
  <c r="AM151" i="1"/>
  <c r="AL151" i="1"/>
  <c r="AK151" i="1"/>
  <c r="AJ151" i="1"/>
  <c r="R151" i="1"/>
  <c r="G151" i="1"/>
  <c r="E151" i="1"/>
  <c r="C151" i="1"/>
  <c r="B151" i="1"/>
  <c r="CM149" i="1"/>
  <c r="F149" i="1" s="1"/>
  <c r="CK149" i="1"/>
  <c r="D149" i="1" s="1"/>
  <c r="M149" i="1"/>
  <c r="Q149" i="1" s="1"/>
  <c r="L149" i="1"/>
  <c r="P149" i="1" s="1"/>
  <c r="K149" i="1"/>
  <c r="O149" i="1" s="1"/>
  <c r="CH149" i="1" s="1"/>
  <c r="BJ149" i="1"/>
  <c r="BI149" i="1"/>
  <c r="BH149" i="1"/>
  <c r="BG149" i="1"/>
  <c r="BF149" i="1"/>
  <c r="BE149" i="1"/>
  <c r="BA149" i="1"/>
  <c r="AW149" i="1"/>
  <c r="AT149" i="1"/>
  <c r="AS149" i="1"/>
  <c r="AR149" i="1"/>
  <c r="AQ149" i="1"/>
  <c r="AP149" i="1"/>
  <c r="AO149" i="1"/>
  <c r="AN149" i="1"/>
  <c r="AM149" i="1"/>
  <c r="AL149" i="1"/>
  <c r="AK149" i="1"/>
  <c r="AJ149" i="1"/>
  <c r="R149" i="1"/>
  <c r="G149" i="1"/>
  <c r="E149" i="1"/>
  <c r="C149" i="1"/>
  <c r="B149" i="1"/>
  <c r="CM148" i="1"/>
  <c r="F148" i="1" s="1"/>
  <c r="CK148" i="1"/>
  <c r="D148" i="1" s="1"/>
  <c r="M148" i="1"/>
  <c r="Q148" i="1" s="1"/>
  <c r="L148" i="1"/>
  <c r="P148" i="1" s="1"/>
  <c r="K148" i="1"/>
  <c r="O148" i="1" s="1"/>
  <c r="CH148" i="1" s="1"/>
  <c r="BJ148" i="1"/>
  <c r="BI148" i="1"/>
  <c r="BH148" i="1"/>
  <c r="BG148" i="1"/>
  <c r="BF148" i="1"/>
  <c r="BE148" i="1"/>
  <c r="BA148" i="1"/>
  <c r="AW148" i="1"/>
  <c r="AT148" i="1"/>
  <c r="AS148" i="1"/>
  <c r="AR148" i="1"/>
  <c r="AQ148" i="1"/>
  <c r="AP148" i="1"/>
  <c r="AO148" i="1"/>
  <c r="AN148" i="1"/>
  <c r="AM148" i="1"/>
  <c r="AL148" i="1"/>
  <c r="AK148" i="1"/>
  <c r="AJ148" i="1"/>
  <c r="R148" i="1"/>
  <c r="G148" i="1"/>
  <c r="E148" i="1"/>
  <c r="C148" i="1"/>
  <c r="B148" i="1"/>
  <c r="CM147" i="1"/>
  <c r="F147" i="1" s="1"/>
  <c r="CK147" i="1"/>
  <c r="D147" i="1" s="1"/>
  <c r="M147" i="1"/>
  <c r="Q147" i="1" s="1"/>
  <c r="L147" i="1"/>
  <c r="P147" i="1" s="1"/>
  <c r="K147" i="1"/>
  <c r="O147" i="1" s="1"/>
  <c r="CH147" i="1" s="1"/>
  <c r="BJ147" i="1"/>
  <c r="BI147" i="1"/>
  <c r="BH147" i="1"/>
  <c r="BG147" i="1"/>
  <c r="BF147" i="1"/>
  <c r="BA147" i="1"/>
  <c r="AW147" i="1"/>
  <c r="AT147" i="1"/>
  <c r="AS147" i="1"/>
  <c r="AR147" i="1"/>
  <c r="AQ147" i="1"/>
  <c r="AP147" i="1"/>
  <c r="AO147" i="1"/>
  <c r="AN147" i="1"/>
  <c r="AM147" i="1"/>
  <c r="AL147" i="1"/>
  <c r="AK147" i="1"/>
  <c r="AJ147" i="1"/>
  <c r="R147" i="1"/>
  <c r="BE147" i="1" s="1"/>
  <c r="G147" i="1"/>
  <c r="E147" i="1"/>
  <c r="C147" i="1"/>
  <c r="B147" i="1"/>
  <c r="DM146" i="1"/>
  <c r="CX146" i="1"/>
  <c r="CM146" i="1"/>
  <c r="F146" i="1" s="1"/>
  <c r="CK146" i="1"/>
  <c r="D146" i="1" s="1"/>
  <c r="M146" i="1"/>
  <c r="Q146" i="1" s="1"/>
  <c r="L146" i="1"/>
  <c r="P146" i="1" s="1"/>
  <c r="K146" i="1"/>
  <c r="O146" i="1" s="1"/>
  <c r="CH146" i="1" s="1"/>
  <c r="BJ146" i="1"/>
  <c r="BI146" i="1"/>
  <c r="BH146" i="1"/>
  <c r="BG146" i="1"/>
  <c r="BF146" i="1"/>
  <c r="BE146" i="1"/>
  <c r="BA146" i="1"/>
  <c r="AW146" i="1"/>
  <c r="AT146" i="1"/>
  <c r="AS146" i="1"/>
  <c r="AR146" i="1"/>
  <c r="AQ146" i="1"/>
  <c r="AP146" i="1"/>
  <c r="AO146" i="1"/>
  <c r="AN146" i="1"/>
  <c r="AM146" i="1"/>
  <c r="AL146" i="1"/>
  <c r="AK146" i="1"/>
  <c r="AJ146" i="1"/>
  <c r="R146" i="1"/>
  <c r="G146" i="1"/>
  <c r="E146" i="1"/>
  <c r="C146" i="1"/>
  <c r="B146" i="1"/>
  <c r="CM144" i="1"/>
  <c r="F144" i="1" s="1"/>
  <c r="CK144" i="1"/>
  <c r="D144" i="1" s="1"/>
  <c r="M144" i="1"/>
  <c r="Q144" i="1" s="1"/>
  <c r="L144" i="1"/>
  <c r="P144" i="1" s="1"/>
  <c r="K144" i="1"/>
  <c r="O144" i="1" s="1"/>
  <c r="CH144" i="1" s="1"/>
  <c r="BJ144" i="1"/>
  <c r="BI144" i="1"/>
  <c r="BH144" i="1"/>
  <c r="BG144" i="1"/>
  <c r="BF144" i="1"/>
  <c r="BA144" i="1"/>
  <c r="AW144" i="1"/>
  <c r="AT144" i="1"/>
  <c r="AS144" i="1"/>
  <c r="AR144" i="1"/>
  <c r="AQ144" i="1"/>
  <c r="AP144" i="1"/>
  <c r="AO144" i="1"/>
  <c r="AN144" i="1"/>
  <c r="AM144" i="1"/>
  <c r="AL144" i="1"/>
  <c r="AK144" i="1"/>
  <c r="AJ144" i="1"/>
  <c r="R144" i="1"/>
  <c r="BE144" i="1" s="1"/>
  <c r="G144" i="1"/>
  <c r="E144" i="1"/>
  <c r="C144" i="1"/>
  <c r="B144" i="1"/>
  <c r="CM143" i="1"/>
  <c r="F143" i="1" s="1"/>
  <c r="CK143" i="1"/>
  <c r="D143" i="1" s="1"/>
  <c r="M143" i="1"/>
  <c r="Q143" i="1" s="1"/>
  <c r="L143" i="1"/>
  <c r="P143" i="1" s="1"/>
  <c r="K143" i="1"/>
  <c r="O143" i="1" s="1"/>
  <c r="CH143" i="1" s="1"/>
  <c r="BJ143" i="1"/>
  <c r="BI143" i="1"/>
  <c r="BH143" i="1"/>
  <c r="BG143" i="1"/>
  <c r="BF143" i="1"/>
  <c r="BE143" i="1"/>
  <c r="BA143" i="1"/>
  <c r="AW143" i="1"/>
  <c r="AT143" i="1"/>
  <c r="AS143" i="1"/>
  <c r="AR143" i="1"/>
  <c r="AQ143" i="1"/>
  <c r="AP143" i="1"/>
  <c r="AO143" i="1"/>
  <c r="AN143" i="1"/>
  <c r="AM143" i="1"/>
  <c r="AL143" i="1"/>
  <c r="AK143" i="1"/>
  <c r="AJ143" i="1"/>
  <c r="R143" i="1"/>
  <c r="G143" i="1"/>
  <c r="E143" i="1"/>
  <c r="C143" i="1"/>
  <c r="B143" i="1"/>
  <c r="CM142" i="1"/>
  <c r="F142" i="1" s="1"/>
  <c r="CK142" i="1"/>
  <c r="D142" i="1" s="1"/>
  <c r="M142" i="1"/>
  <c r="Q142" i="1" s="1"/>
  <c r="L142" i="1"/>
  <c r="P142" i="1" s="1"/>
  <c r="K142" i="1"/>
  <c r="O142" i="1" s="1"/>
  <c r="CH142" i="1" s="1"/>
  <c r="BJ142" i="1"/>
  <c r="BI142" i="1"/>
  <c r="BH142" i="1"/>
  <c r="BG142" i="1"/>
  <c r="BF142" i="1"/>
  <c r="BA142" i="1"/>
  <c r="AW142" i="1"/>
  <c r="AT142" i="1"/>
  <c r="AS142" i="1"/>
  <c r="AR142" i="1"/>
  <c r="AQ142" i="1"/>
  <c r="AP142" i="1"/>
  <c r="AO142" i="1"/>
  <c r="AN142" i="1"/>
  <c r="AM142" i="1"/>
  <c r="AL142" i="1"/>
  <c r="AK142" i="1"/>
  <c r="AJ142" i="1"/>
  <c r="R142" i="1"/>
  <c r="BE142" i="1" s="1"/>
  <c r="G142" i="1"/>
  <c r="E142" i="1"/>
  <c r="C142" i="1"/>
  <c r="B142" i="1"/>
  <c r="DM141" i="1"/>
  <c r="CX141" i="1"/>
  <c r="CM141" i="1"/>
  <c r="F141" i="1" s="1"/>
  <c r="CK141" i="1"/>
  <c r="D141" i="1" s="1"/>
  <c r="M141" i="1"/>
  <c r="Q141" i="1" s="1"/>
  <c r="L141" i="1"/>
  <c r="P141" i="1" s="1"/>
  <c r="K141" i="1"/>
  <c r="O141" i="1" s="1"/>
  <c r="CH141" i="1" s="1"/>
  <c r="BJ141" i="1"/>
  <c r="BI141" i="1"/>
  <c r="BH141" i="1"/>
  <c r="BG141" i="1"/>
  <c r="BF141" i="1"/>
  <c r="BE141" i="1"/>
  <c r="BA141" i="1"/>
  <c r="AW141" i="1"/>
  <c r="AT141" i="1"/>
  <c r="AS141" i="1"/>
  <c r="AR141" i="1"/>
  <c r="AQ141" i="1"/>
  <c r="AP141" i="1"/>
  <c r="AO141" i="1"/>
  <c r="AN141" i="1"/>
  <c r="AM141" i="1"/>
  <c r="AL141" i="1"/>
  <c r="AK141" i="1"/>
  <c r="AJ141" i="1"/>
  <c r="R141" i="1"/>
  <c r="G141" i="1"/>
  <c r="E141" i="1"/>
  <c r="C141" i="1"/>
  <c r="B141" i="1"/>
  <c r="CU26" i="1"/>
  <c r="CV26" i="1"/>
  <c r="CU27" i="1"/>
  <c r="CV27" i="1"/>
  <c r="CU28" i="1"/>
  <c r="CV28" i="1"/>
  <c r="CU34" i="1"/>
  <c r="CV34" i="1"/>
  <c r="CU35" i="1"/>
  <c r="CV35" i="1"/>
  <c r="CU36" i="1"/>
  <c r="CV36" i="1"/>
  <c r="CU37" i="1"/>
  <c r="CV37" i="1"/>
  <c r="CU38" i="1"/>
  <c r="CV38" i="1"/>
  <c r="CU39" i="1"/>
  <c r="CV39" i="1"/>
  <c r="CU40" i="1"/>
  <c r="CV40" i="1"/>
  <c r="CU41" i="1"/>
  <c r="CV41" i="1"/>
  <c r="CU42" i="1"/>
  <c r="CV42" i="1"/>
  <c r="CU43" i="1"/>
  <c r="CV43" i="1"/>
  <c r="CU44" i="1"/>
  <c r="CV44" i="1"/>
  <c r="CU45" i="1"/>
  <c r="CV45" i="1"/>
  <c r="CU46" i="1"/>
  <c r="CV46" i="1"/>
  <c r="CU47" i="1"/>
  <c r="CV47" i="1"/>
  <c r="CU48" i="1"/>
  <c r="CV48" i="1"/>
  <c r="CU54" i="1"/>
  <c r="CV54" i="1"/>
  <c r="CU55" i="1"/>
  <c r="CV55" i="1"/>
  <c r="CU56" i="1"/>
  <c r="CV56" i="1"/>
  <c r="CU57" i="1"/>
  <c r="CV57" i="1"/>
  <c r="CU58" i="1"/>
  <c r="CV58" i="1"/>
  <c r="CU59" i="1"/>
  <c r="CV59" i="1"/>
  <c r="CU60" i="1"/>
  <c r="CV60" i="1"/>
  <c r="CU61" i="1"/>
  <c r="CV61" i="1"/>
  <c r="CU62" i="1"/>
  <c r="CV62" i="1"/>
  <c r="CU63" i="1"/>
  <c r="CV63" i="1"/>
  <c r="CU64" i="1"/>
  <c r="CV64" i="1"/>
  <c r="CU65" i="1"/>
  <c r="CV65" i="1"/>
  <c r="CU66" i="1"/>
  <c r="CV66" i="1"/>
  <c r="CU67" i="1"/>
  <c r="CV67" i="1"/>
  <c r="CU68" i="1"/>
  <c r="CV68" i="1"/>
  <c r="CU69" i="1"/>
  <c r="CK69" i="1" s="1"/>
  <c r="CV69" i="1"/>
  <c r="CM69" i="1" s="1"/>
  <c r="CU70" i="1"/>
  <c r="CK70" i="1" s="1"/>
  <c r="D70" i="1" s="1"/>
  <c r="CV70" i="1"/>
  <c r="CM70" i="1" s="1"/>
  <c r="F70" i="1" s="1"/>
  <c r="CU71" i="1"/>
  <c r="CK71" i="1" s="1"/>
  <c r="D71" i="1" s="1"/>
  <c r="CV71" i="1"/>
  <c r="CM71" i="1" s="1"/>
  <c r="F71" i="1" s="1"/>
  <c r="CU72" i="1"/>
  <c r="CK72" i="1" s="1"/>
  <c r="D72" i="1" s="1"/>
  <c r="CV72" i="1"/>
  <c r="CM72" i="1" s="1"/>
  <c r="F72" i="1" s="1"/>
  <c r="CU73" i="1"/>
  <c r="CK73" i="1" s="1"/>
  <c r="D73" i="1" s="1"/>
  <c r="CV73" i="1"/>
  <c r="CM73" i="1" s="1"/>
  <c r="F73" i="1" s="1"/>
  <c r="CU74" i="1"/>
  <c r="CV74" i="1"/>
  <c r="CU75" i="1"/>
  <c r="CV75" i="1"/>
  <c r="CU76" i="1"/>
  <c r="CV76" i="1"/>
  <c r="CU77" i="1"/>
  <c r="CV77" i="1"/>
  <c r="CU78" i="1"/>
  <c r="CV78" i="1"/>
  <c r="CU79" i="1"/>
  <c r="CV79" i="1"/>
  <c r="CU80" i="1"/>
  <c r="CV80" i="1"/>
  <c r="CU81" i="1"/>
  <c r="CV81" i="1"/>
  <c r="CU82" i="1"/>
  <c r="CV82" i="1"/>
  <c r="CU83" i="1"/>
  <c r="CV83" i="1"/>
  <c r="CU84" i="1"/>
  <c r="CV84" i="1"/>
  <c r="CU85" i="1"/>
  <c r="CV85" i="1"/>
  <c r="CU86" i="1"/>
  <c r="CV86" i="1"/>
  <c r="CU87" i="1"/>
  <c r="CV87" i="1"/>
  <c r="CU88" i="1"/>
  <c r="CV88" i="1"/>
  <c r="CU89" i="1"/>
  <c r="CV89" i="1"/>
  <c r="CU90" i="1"/>
  <c r="CV90" i="1"/>
  <c r="CU91" i="1"/>
  <c r="CV91" i="1"/>
  <c r="CU92" i="1"/>
  <c r="CV92" i="1"/>
  <c r="CU93" i="1"/>
  <c r="CV93" i="1"/>
  <c r="CU99" i="1"/>
  <c r="CV99" i="1"/>
  <c r="CU100" i="1"/>
  <c r="CV100" i="1"/>
  <c r="CU101" i="1"/>
  <c r="CV101" i="1"/>
  <c r="CU102" i="1"/>
  <c r="CV102" i="1"/>
  <c r="CU103" i="1"/>
  <c r="CV103" i="1"/>
  <c r="CU104" i="1"/>
  <c r="CV104" i="1"/>
  <c r="CU105" i="1"/>
  <c r="CV105" i="1"/>
  <c r="CU106" i="1"/>
  <c r="CV106" i="1"/>
  <c r="CU107" i="1"/>
  <c r="CV107" i="1"/>
  <c r="CU108" i="1"/>
  <c r="CV108" i="1"/>
  <c r="CU109" i="1"/>
  <c r="CV109" i="1"/>
  <c r="CU110" i="1"/>
  <c r="CV110" i="1"/>
  <c r="CU111" i="1"/>
  <c r="CV111" i="1"/>
  <c r="CU112" i="1"/>
  <c r="CV112" i="1"/>
  <c r="CU113" i="1"/>
  <c r="CV113" i="1"/>
  <c r="CU119" i="1"/>
  <c r="CV119" i="1"/>
  <c r="CU120" i="1"/>
  <c r="CV120" i="1"/>
  <c r="CU121" i="1"/>
  <c r="CV121" i="1"/>
  <c r="CU122" i="1"/>
  <c r="CV122" i="1"/>
  <c r="CU123" i="1"/>
  <c r="CV123" i="1"/>
  <c r="CU124" i="1"/>
  <c r="CV124" i="1"/>
  <c r="CU125" i="1"/>
  <c r="CV125" i="1"/>
  <c r="CU126" i="1"/>
  <c r="CV126" i="1"/>
  <c r="CU127" i="1"/>
  <c r="CV127" i="1"/>
  <c r="CU128" i="1"/>
  <c r="CV128" i="1"/>
  <c r="CU129" i="1"/>
  <c r="CV129" i="1"/>
  <c r="CU130" i="1"/>
  <c r="CV130" i="1"/>
  <c r="CU131" i="1"/>
  <c r="CK131" i="1" s="1"/>
  <c r="D131" i="1" s="1"/>
  <c r="CV131" i="1"/>
  <c r="CM131" i="1" s="1"/>
  <c r="F131" i="1" s="1"/>
  <c r="CU132" i="1"/>
  <c r="CK132" i="1" s="1"/>
  <c r="D132" i="1" s="1"/>
  <c r="CV132" i="1"/>
  <c r="CM132" i="1" s="1"/>
  <c r="F132" i="1" s="1"/>
  <c r="CU133" i="1"/>
  <c r="CK133" i="1" s="1"/>
  <c r="D133" i="1" s="1"/>
  <c r="CV133" i="1"/>
  <c r="CM133" i="1" s="1"/>
  <c r="F133" i="1" s="1"/>
  <c r="CU134" i="1"/>
  <c r="CK134" i="1" s="1"/>
  <c r="D134" i="1" s="1"/>
  <c r="CV134" i="1"/>
  <c r="CM134" i="1" s="1"/>
  <c r="F134" i="1" s="1"/>
  <c r="CU135" i="1"/>
  <c r="CV135" i="1"/>
  <c r="CU136" i="1"/>
  <c r="CK136" i="1" s="1"/>
  <c r="D136" i="1" s="1"/>
  <c r="CV136" i="1"/>
  <c r="CM136" i="1" s="1"/>
  <c r="F136" i="1" s="1"/>
  <c r="CU137" i="1"/>
  <c r="CK137" i="1" s="1"/>
  <c r="D137" i="1" s="1"/>
  <c r="CV137" i="1"/>
  <c r="CM137" i="1" s="1"/>
  <c r="F137" i="1" s="1"/>
  <c r="CU138" i="1"/>
  <c r="CK138" i="1" s="1"/>
  <c r="D138" i="1" s="1"/>
  <c r="CV138" i="1"/>
  <c r="CM138" i="1" s="1"/>
  <c r="F138" i="1" s="1"/>
  <c r="CU139" i="1"/>
  <c r="CK139" i="1" s="1"/>
  <c r="D139" i="1" s="1"/>
  <c r="CV139" i="1"/>
  <c r="CM139" i="1" s="1"/>
  <c r="F139" i="1" s="1"/>
  <c r="CV25" i="1"/>
  <c r="CU25" i="1"/>
  <c r="CP26" i="1"/>
  <c r="CO26" i="1" s="1"/>
  <c r="CQ26" i="1"/>
  <c r="CR26" i="1"/>
  <c r="CS26" i="1"/>
  <c r="CP27" i="1"/>
  <c r="CO27" i="1" s="1"/>
  <c r="CQ27" i="1"/>
  <c r="CR27" i="1"/>
  <c r="CS27" i="1"/>
  <c r="CP28" i="1"/>
  <c r="CO28" i="1" s="1"/>
  <c r="CQ28" i="1"/>
  <c r="CR28" i="1"/>
  <c r="CS28" i="1"/>
  <c r="CP34" i="1"/>
  <c r="CQ34" i="1"/>
  <c r="CR34" i="1"/>
  <c r="CS34" i="1"/>
  <c r="CP35" i="1"/>
  <c r="CO35" i="1" s="1"/>
  <c r="CQ35" i="1"/>
  <c r="CR35" i="1"/>
  <c r="CS35" i="1"/>
  <c r="CP36" i="1"/>
  <c r="CO36" i="1" s="1"/>
  <c r="CQ36" i="1"/>
  <c r="CR36" i="1"/>
  <c r="CS36" i="1"/>
  <c r="CP37" i="1"/>
  <c r="CO37" i="1" s="1"/>
  <c r="CQ37" i="1"/>
  <c r="CR37" i="1"/>
  <c r="CS37" i="1"/>
  <c r="CP38" i="1"/>
  <c r="CO38" i="1" s="1"/>
  <c r="CQ38" i="1"/>
  <c r="CR38" i="1"/>
  <c r="CS38" i="1"/>
  <c r="CP39" i="1"/>
  <c r="CQ39" i="1"/>
  <c r="CR39" i="1"/>
  <c r="CS39" i="1"/>
  <c r="CP40" i="1"/>
  <c r="CO40" i="1" s="1"/>
  <c r="CQ40" i="1"/>
  <c r="CR40" i="1"/>
  <c r="CS40" i="1"/>
  <c r="CP41" i="1"/>
  <c r="CO41" i="1" s="1"/>
  <c r="CQ41" i="1"/>
  <c r="CR41" i="1"/>
  <c r="CS41" i="1"/>
  <c r="CP42" i="1"/>
  <c r="CO42" i="1" s="1"/>
  <c r="CQ42" i="1"/>
  <c r="CR42" i="1"/>
  <c r="CS42" i="1"/>
  <c r="CP43" i="1"/>
  <c r="CO43" i="1" s="1"/>
  <c r="CQ43" i="1"/>
  <c r="CR43" i="1"/>
  <c r="CS43" i="1"/>
  <c r="CP44" i="1"/>
  <c r="CQ44" i="1"/>
  <c r="CR44" i="1"/>
  <c r="CS44" i="1"/>
  <c r="CP45" i="1"/>
  <c r="CO45" i="1" s="1"/>
  <c r="CQ45" i="1"/>
  <c r="CR45" i="1"/>
  <c r="CS45" i="1"/>
  <c r="CP46" i="1"/>
  <c r="CO46" i="1" s="1"/>
  <c r="CQ46" i="1"/>
  <c r="CR46" i="1"/>
  <c r="CS46" i="1"/>
  <c r="CP47" i="1"/>
  <c r="CO47" i="1" s="1"/>
  <c r="CQ47" i="1"/>
  <c r="CR47" i="1"/>
  <c r="CS47" i="1"/>
  <c r="CP48" i="1"/>
  <c r="CO48" i="1" s="1"/>
  <c r="CQ48" i="1"/>
  <c r="CR48" i="1"/>
  <c r="CS48" i="1"/>
  <c r="CP54" i="1"/>
  <c r="CQ54" i="1"/>
  <c r="CR54" i="1"/>
  <c r="CS54" i="1"/>
  <c r="CP55" i="1"/>
  <c r="CO55" i="1" s="1"/>
  <c r="CQ55" i="1"/>
  <c r="CR55" i="1"/>
  <c r="CS55" i="1"/>
  <c r="CP56" i="1"/>
  <c r="CO56" i="1" s="1"/>
  <c r="CQ56" i="1"/>
  <c r="CR56" i="1"/>
  <c r="CS56" i="1"/>
  <c r="CP57" i="1"/>
  <c r="CO57" i="1" s="1"/>
  <c r="CQ57" i="1"/>
  <c r="CR57" i="1"/>
  <c r="CS57" i="1"/>
  <c r="CP58" i="1"/>
  <c r="CO58" i="1" s="1"/>
  <c r="CQ58" i="1"/>
  <c r="CR58" i="1"/>
  <c r="CS58" i="1"/>
  <c r="CP59" i="1"/>
  <c r="CQ59" i="1"/>
  <c r="CR59" i="1"/>
  <c r="CS59" i="1"/>
  <c r="CP60" i="1"/>
  <c r="CO60" i="1" s="1"/>
  <c r="CQ60" i="1"/>
  <c r="CR60" i="1"/>
  <c r="CS60" i="1"/>
  <c r="CP61" i="1"/>
  <c r="CO61" i="1" s="1"/>
  <c r="CQ61" i="1"/>
  <c r="CR61" i="1"/>
  <c r="CS61" i="1"/>
  <c r="CP62" i="1"/>
  <c r="CO62" i="1" s="1"/>
  <c r="CQ62" i="1"/>
  <c r="CR62" i="1"/>
  <c r="CS62" i="1"/>
  <c r="CP63" i="1"/>
  <c r="CO63" i="1" s="1"/>
  <c r="CQ63" i="1"/>
  <c r="CR63" i="1"/>
  <c r="CS63" i="1"/>
  <c r="CP64" i="1"/>
  <c r="CQ64" i="1"/>
  <c r="CR64" i="1"/>
  <c r="CS64" i="1"/>
  <c r="CP65" i="1"/>
  <c r="CO65" i="1" s="1"/>
  <c r="CQ65" i="1"/>
  <c r="CR65" i="1"/>
  <c r="CS65" i="1"/>
  <c r="CP66" i="1"/>
  <c r="CO66" i="1" s="1"/>
  <c r="CQ66" i="1"/>
  <c r="CR66" i="1"/>
  <c r="CS66" i="1"/>
  <c r="CP67" i="1"/>
  <c r="CO67" i="1" s="1"/>
  <c r="CQ67" i="1"/>
  <c r="CR67" i="1"/>
  <c r="CS67" i="1"/>
  <c r="CP68" i="1"/>
  <c r="CO68" i="1" s="1"/>
  <c r="CQ68" i="1"/>
  <c r="CR68" i="1"/>
  <c r="CS68" i="1"/>
  <c r="CP69" i="1"/>
  <c r="CQ69" i="1"/>
  <c r="CR69" i="1"/>
  <c r="CS69" i="1"/>
  <c r="CP70" i="1"/>
  <c r="CQ70" i="1"/>
  <c r="K70" i="1" s="1"/>
  <c r="O70" i="1" s="1"/>
  <c r="CH70" i="1" s="1"/>
  <c r="CR70" i="1"/>
  <c r="L70" i="1" s="1"/>
  <c r="P70" i="1" s="1"/>
  <c r="CS70" i="1"/>
  <c r="M70" i="1" s="1"/>
  <c r="Q70" i="1" s="1"/>
  <c r="CP71" i="1"/>
  <c r="CQ71" i="1"/>
  <c r="K71" i="1" s="1"/>
  <c r="O71" i="1" s="1"/>
  <c r="CR71" i="1"/>
  <c r="L71" i="1" s="1"/>
  <c r="P71" i="1" s="1"/>
  <c r="CS71" i="1"/>
  <c r="M71" i="1" s="1"/>
  <c r="Q71" i="1" s="1"/>
  <c r="CP72" i="1"/>
  <c r="CQ72" i="1"/>
  <c r="K72" i="1" s="1"/>
  <c r="O72" i="1" s="1"/>
  <c r="CH72" i="1" s="1"/>
  <c r="CR72" i="1"/>
  <c r="L72" i="1" s="1"/>
  <c r="P72" i="1" s="1"/>
  <c r="CS72" i="1"/>
  <c r="M72" i="1" s="1"/>
  <c r="Q72" i="1" s="1"/>
  <c r="CP73" i="1"/>
  <c r="CQ73" i="1"/>
  <c r="K73" i="1" s="1"/>
  <c r="O73" i="1" s="1"/>
  <c r="CR73" i="1"/>
  <c r="L73" i="1" s="1"/>
  <c r="P73" i="1" s="1"/>
  <c r="CS73" i="1"/>
  <c r="M73" i="1" s="1"/>
  <c r="Q73" i="1" s="1"/>
  <c r="CP74" i="1"/>
  <c r="CQ74" i="1"/>
  <c r="CR74" i="1"/>
  <c r="CS74" i="1"/>
  <c r="CP75" i="1"/>
  <c r="CO75" i="1" s="1"/>
  <c r="CQ75" i="1"/>
  <c r="CR75" i="1"/>
  <c r="CS75" i="1"/>
  <c r="CP76" i="1"/>
  <c r="CO76" i="1" s="1"/>
  <c r="CQ76" i="1"/>
  <c r="CR76" i="1"/>
  <c r="CS76" i="1"/>
  <c r="CP77" i="1"/>
  <c r="CO77" i="1" s="1"/>
  <c r="CQ77" i="1"/>
  <c r="CR77" i="1"/>
  <c r="CS77" i="1"/>
  <c r="CP78" i="1"/>
  <c r="CO78" i="1" s="1"/>
  <c r="CQ78" i="1"/>
  <c r="CR78" i="1"/>
  <c r="CS78" i="1"/>
  <c r="CP79" i="1"/>
  <c r="CQ79" i="1"/>
  <c r="CR79" i="1"/>
  <c r="CS79" i="1"/>
  <c r="CP80" i="1"/>
  <c r="CO80" i="1" s="1"/>
  <c r="CQ80" i="1"/>
  <c r="CR80" i="1"/>
  <c r="CS80" i="1"/>
  <c r="CP81" i="1"/>
  <c r="CO81" i="1" s="1"/>
  <c r="CQ81" i="1"/>
  <c r="CR81" i="1"/>
  <c r="CS81" i="1"/>
  <c r="CP82" i="1"/>
  <c r="CO82" i="1" s="1"/>
  <c r="CQ82" i="1"/>
  <c r="CR82" i="1"/>
  <c r="CS82" i="1"/>
  <c r="CP83" i="1"/>
  <c r="CO83" i="1" s="1"/>
  <c r="CQ83" i="1"/>
  <c r="CR83" i="1"/>
  <c r="CS83" i="1"/>
  <c r="CP84" i="1"/>
  <c r="CQ84" i="1"/>
  <c r="CR84" i="1"/>
  <c r="CS84" i="1"/>
  <c r="CP85" i="1"/>
  <c r="CO85" i="1" s="1"/>
  <c r="CQ85" i="1"/>
  <c r="CR85" i="1"/>
  <c r="CS85" i="1"/>
  <c r="CP86" i="1"/>
  <c r="CO86" i="1" s="1"/>
  <c r="CQ86" i="1"/>
  <c r="CR86" i="1"/>
  <c r="CS86" i="1"/>
  <c r="CP87" i="1"/>
  <c r="CO87" i="1" s="1"/>
  <c r="CQ87" i="1"/>
  <c r="CR87" i="1"/>
  <c r="CS87" i="1"/>
  <c r="CP88" i="1"/>
  <c r="CO88" i="1" s="1"/>
  <c r="CQ88" i="1"/>
  <c r="CR88" i="1"/>
  <c r="CS88" i="1"/>
  <c r="CP89" i="1"/>
  <c r="CQ89" i="1"/>
  <c r="CR89" i="1"/>
  <c r="CS89" i="1"/>
  <c r="CP90" i="1"/>
  <c r="CO90" i="1" s="1"/>
  <c r="CQ90" i="1"/>
  <c r="CR90" i="1"/>
  <c r="CS90" i="1"/>
  <c r="CP91" i="1"/>
  <c r="CO91" i="1" s="1"/>
  <c r="CQ91" i="1"/>
  <c r="CR91" i="1"/>
  <c r="CS91" i="1"/>
  <c r="CP92" i="1"/>
  <c r="CO92" i="1" s="1"/>
  <c r="CQ92" i="1"/>
  <c r="CR92" i="1"/>
  <c r="CS92" i="1"/>
  <c r="CP93" i="1"/>
  <c r="CO93" i="1" s="1"/>
  <c r="CQ93" i="1"/>
  <c r="CR93" i="1"/>
  <c r="CS93" i="1"/>
  <c r="CP99" i="1"/>
  <c r="CQ99" i="1"/>
  <c r="CR99" i="1"/>
  <c r="CS99" i="1"/>
  <c r="CP100" i="1"/>
  <c r="CO100" i="1" s="1"/>
  <c r="CQ100" i="1"/>
  <c r="CR100" i="1"/>
  <c r="CS100" i="1"/>
  <c r="CP101" i="1"/>
  <c r="CO101" i="1" s="1"/>
  <c r="CQ101" i="1"/>
  <c r="CR101" i="1"/>
  <c r="CS101" i="1"/>
  <c r="CP102" i="1"/>
  <c r="CO102" i="1" s="1"/>
  <c r="CQ102" i="1"/>
  <c r="CR102" i="1"/>
  <c r="CS102" i="1"/>
  <c r="CP103" i="1"/>
  <c r="CO103" i="1" s="1"/>
  <c r="CQ103" i="1"/>
  <c r="CR103" i="1"/>
  <c r="CS103" i="1"/>
  <c r="CP104" i="1"/>
  <c r="CQ104" i="1"/>
  <c r="CR104" i="1"/>
  <c r="CS104" i="1"/>
  <c r="CP105" i="1"/>
  <c r="CO105" i="1" s="1"/>
  <c r="CQ105" i="1"/>
  <c r="CR105" i="1"/>
  <c r="CS105" i="1"/>
  <c r="CP106" i="1"/>
  <c r="CO106" i="1" s="1"/>
  <c r="CQ106" i="1"/>
  <c r="CR106" i="1"/>
  <c r="CS106" i="1"/>
  <c r="CP107" i="1"/>
  <c r="CO107" i="1" s="1"/>
  <c r="CQ107" i="1"/>
  <c r="CR107" i="1"/>
  <c r="CS107" i="1"/>
  <c r="CP108" i="1"/>
  <c r="CO108" i="1" s="1"/>
  <c r="CQ108" i="1"/>
  <c r="CR108" i="1"/>
  <c r="CS108" i="1"/>
  <c r="CP109" i="1"/>
  <c r="CQ109" i="1"/>
  <c r="CR109" i="1"/>
  <c r="CS109" i="1"/>
  <c r="CP110" i="1"/>
  <c r="CO110" i="1" s="1"/>
  <c r="CQ110" i="1"/>
  <c r="CR110" i="1"/>
  <c r="CS110" i="1"/>
  <c r="CP111" i="1"/>
  <c r="CO111" i="1" s="1"/>
  <c r="CQ111" i="1"/>
  <c r="CR111" i="1"/>
  <c r="CS111" i="1"/>
  <c r="CP112" i="1"/>
  <c r="CO112" i="1" s="1"/>
  <c r="CQ112" i="1"/>
  <c r="CR112" i="1"/>
  <c r="CS112" i="1"/>
  <c r="CP113" i="1"/>
  <c r="CO113" i="1" s="1"/>
  <c r="CQ113" i="1"/>
  <c r="CR113" i="1"/>
  <c r="CS113" i="1"/>
  <c r="CP119" i="1"/>
  <c r="CQ119" i="1"/>
  <c r="CR119" i="1"/>
  <c r="CS119" i="1"/>
  <c r="CP120" i="1"/>
  <c r="CO120" i="1" s="1"/>
  <c r="CQ120" i="1"/>
  <c r="CR120" i="1"/>
  <c r="CS120" i="1"/>
  <c r="CP121" i="1"/>
  <c r="CO121" i="1" s="1"/>
  <c r="CQ121" i="1"/>
  <c r="CR121" i="1"/>
  <c r="CS121" i="1"/>
  <c r="CP122" i="1"/>
  <c r="CO122" i="1" s="1"/>
  <c r="CQ122" i="1"/>
  <c r="CR122" i="1"/>
  <c r="CS122" i="1"/>
  <c r="CP123" i="1"/>
  <c r="CO123" i="1" s="1"/>
  <c r="CQ123" i="1"/>
  <c r="CR123" i="1"/>
  <c r="CS123" i="1"/>
  <c r="CP124" i="1"/>
  <c r="CQ124" i="1"/>
  <c r="CR124" i="1"/>
  <c r="CS124" i="1"/>
  <c r="CP125" i="1"/>
  <c r="CQ125" i="1"/>
  <c r="CR125" i="1"/>
  <c r="CS125" i="1"/>
  <c r="CP126" i="1"/>
  <c r="CO126" i="1" s="1"/>
  <c r="CQ126" i="1"/>
  <c r="CR126" i="1"/>
  <c r="CS126" i="1"/>
  <c r="CP127" i="1"/>
  <c r="CO127" i="1" s="1"/>
  <c r="CQ127" i="1"/>
  <c r="CR127" i="1"/>
  <c r="CS127" i="1"/>
  <c r="CP128" i="1"/>
  <c r="CO128" i="1" s="1"/>
  <c r="CQ128" i="1"/>
  <c r="CR128" i="1"/>
  <c r="CS128" i="1"/>
  <c r="CP129" i="1"/>
  <c r="CO129" i="1" s="1"/>
  <c r="CQ129" i="1"/>
  <c r="CR129" i="1"/>
  <c r="CS129" i="1"/>
  <c r="CP130" i="1"/>
  <c r="CQ130" i="1"/>
  <c r="CR130" i="1"/>
  <c r="CS130" i="1"/>
  <c r="CP131" i="1"/>
  <c r="CQ131" i="1"/>
  <c r="K131" i="1" s="1"/>
  <c r="O131" i="1" s="1"/>
  <c r="CH131" i="1" s="1"/>
  <c r="CR131" i="1"/>
  <c r="L131" i="1" s="1"/>
  <c r="P131" i="1" s="1"/>
  <c r="CS131" i="1"/>
  <c r="M131" i="1" s="1"/>
  <c r="Q131" i="1" s="1"/>
  <c r="CP132" i="1"/>
  <c r="CQ132" i="1"/>
  <c r="K132" i="1" s="1"/>
  <c r="O132" i="1" s="1"/>
  <c r="CH132" i="1" s="1"/>
  <c r="CR132" i="1"/>
  <c r="L132" i="1" s="1"/>
  <c r="P132" i="1" s="1"/>
  <c r="CS132" i="1"/>
  <c r="M132" i="1" s="1"/>
  <c r="Q132" i="1" s="1"/>
  <c r="CP133" i="1"/>
  <c r="CO133" i="1" s="1"/>
  <c r="DX133" i="1" s="1"/>
  <c r="CQ133" i="1"/>
  <c r="K133" i="1" s="1"/>
  <c r="O133" i="1" s="1"/>
  <c r="CH133" i="1" s="1"/>
  <c r="CR133" i="1"/>
  <c r="L133" i="1" s="1"/>
  <c r="P133" i="1" s="1"/>
  <c r="CS133" i="1"/>
  <c r="M133" i="1" s="1"/>
  <c r="Q133" i="1" s="1"/>
  <c r="CP134" i="1"/>
  <c r="CQ134" i="1"/>
  <c r="K134" i="1" s="1"/>
  <c r="O134" i="1" s="1"/>
  <c r="CH134" i="1" s="1"/>
  <c r="CR134" i="1"/>
  <c r="L134" i="1" s="1"/>
  <c r="P134" i="1" s="1"/>
  <c r="CS134" i="1"/>
  <c r="M134" i="1" s="1"/>
  <c r="Q134" i="1" s="1"/>
  <c r="CP135" i="1"/>
  <c r="CQ135" i="1"/>
  <c r="CR135" i="1"/>
  <c r="CS135" i="1"/>
  <c r="CP136" i="1"/>
  <c r="CQ136" i="1"/>
  <c r="K136" i="1" s="1"/>
  <c r="O136" i="1" s="1"/>
  <c r="CH136" i="1" s="1"/>
  <c r="CR136" i="1"/>
  <c r="L136" i="1" s="1"/>
  <c r="P136" i="1" s="1"/>
  <c r="CS136" i="1"/>
  <c r="M136" i="1" s="1"/>
  <c r="Q136" i="1" s="1"/>
  <c r="CP137" i="1"/>
  <c r="CQ137" i="1"/>
  <c r="K137" i="1" s="1"/>
  <c r="O137" i="1" s="1"/>
  <c r="CH137" i="1" s="1"/>
  <c r="CR137" i="1"/>
  <c r="L137" i="1" s="1"/>
  <c r="P137" i="1" s="1"/>
  <c r="CS137" i="1"/>
  <c r="M137" i="1" s="1"/>
  <c r="Q137" i="1" s="1"/>
  <c r="CP138" i="1"/>
  <c r="CQ138" i="1"/>
  <c r="K138" i="1" s="1"/>
  <c r="O138" i="1" s="1"/>
  <c r="CH138" i="1" s="1"/>
  <c r="CR138" i="1"/>
  <c r="L138" i="1" s="1"/>
  <c r="P138" i="1" s="1"/>
  <c r="CS138" i="1"/>
  <c r="M138" i="1" s="1"/>
  <c r="Q138" i="1" s="1"/>
  <c r="CP139" i="1"/>
  <c r="CQ139" i="1"/>
  <c r="K139" i="1" s="1"/>
  <c r="O139" i="1" s="1"/>
  <c r="CH139" i="1" s="1"/>
  <c r="CR139" i="1"/>
  <c r="L139" i="1" s="1"/>
  <c r="P139" i="1" s="1"/>
  <c r="CS139" i="1"/>
  <c r="M139" i="1" s="1"/>
  <c r="Q139" i="1" s="1"/>
  <c r="CS25" i="1"/>
  <c r="CR25" i="1"/>
  <c r="CQ25" i="1"/>
  <c r="CP25" i="1"/>
  <c r="CO25" i="1" s="1"/>
  <c r="H25" i="1" s="1"/>
  <c r="B111" i="1"/>
  <c r="B112" i="1"/>
  <c r="B113" i="1"/>
  <c r="B119" i="1"/>
  <c r="B120" i="1"/>
  <c r="B121" i="1"/>
  <c r="B122" i="1"/>
  <c r="B123" i="1"/>
  <c r="B124" i="1"/>
  <c r="B126" i="1"/>
  <c r="BJ139" i="1"/>
  <c r="BI139" i="1"/>
  <c r="BH139" i="1"/>
  <c r="BG139" i="1"/>
  <c r="BF139" i="1"/>
  <c r="BA139" i="1"/>
  <c r="AW139" i="1"/>
  <c r="AT139" i="1"/>
  <c r="AS139" i="1"/>
  <c r="AR139" i="1"/>
  <c r="AQ139" i="1"/>
  <c r="AP139" i="1"/>
  <c r="AO139" i="1"/>
  <c r="AN139" i="1"/>
  <c r="AM139" i="1"/>
  <c r="AL139" i="1"/>
  <c r="AK139" i="1"/>
  <c r="AJ139" i="1"/>
  <c r="R139" i="1"/>
  <c r="BE139" i="1" s="1"/>
  <c r="G139" i="1"/>
  <c r="E139" i="1"/>
  <c r="C139" i="1"/>
  <c r="B139" i="1"/>
  <c r="BJ138" i="1"/>
  <c r="BI138" i="1"/>
  <c r="BH138" i="1"/>
  <c r="BG138" i="1"/>
  <c r="BF138" i="1"/>
  <c r="BA138" i="1"/>
  <c r="AW138" i="1"/>
  <c r="AT138" i="1"/>
  <c r="AS138" i="1"/>
  <c r="AR138" i="1"/>
  <c r="AQ138" i="1"/>
  <c r="AP138" i="1"/>
  <c r="AO138" i="1"/>
  <c r="AN138" i="1"/>
  <c r="AM138" i="1"/>
  <c r="AL138" i="1"/>
  <c r="AK138" i="1"/>
  <c r="AJ138" i="1"/>
  <c r="R138" i="1"/>
  <c r="BE138" i="1" s="1"/>
  <c r="G138" i="1"/>
  <c r="E138" i="1"/>
  <c r="C138" i="1"/>
  <c r="B138" i="1"/>
  <c r="BJ137" i="1"/>
  <c r="BI137" i="1"/>
  <c r="BH137" i="1"/>
  <c r="BG137" i="1"/>
  <c r="BF137" i="1"/>
  <c r="BA137" i="1"/>
  <c r="AW137" i="1"/>
  <c r="AT137" i="1"/>
  <c r="AS137" i="1"/>
  <c r="AR137" i="1"/>
  <c r="AQ137" i="1"/>
  <c r="AP137" i="1"/>
  <c r="AO137" i="1"/>
  <c r="AN137" i="1"/>
  <c r="AM137" i="1"/>
  <c r="AL137" i="1"/>
  <c r="AK137" i="1"/>
  <c r="AJ137" i="1"/>
  <c r="R137" i="1"/>
  <c r="BE137" i="1" s="1"/>
  <c r="G137" i="1"/>
  <c r="E137" i="1"/>
  <c r="C137" i="1"/>
  <c r="B137" i="1"/>
  <c r="DM136" i="1"/>
  <c r="CX136" i="1"/>
  <c r="BJ136" i="1"/>
  <c r="BI136" i="1"/>
  <c r="BH136" i="1"/>
  <c r="BG136" i="1"/>
  <c r="BF136" i="1"/>
  <c r="BA136" i="1"/>
  <c r="AW136" i="1"/>
  <c r="AT136" i="1"/>
  <c r="AS136" i="1"/>
  <c r="AR136" i="1"/>
  <c r="AQ136" i="1"/>
  <c r="AP136" i="1"/>
  <c r="AO136" i="1"/>
  <c r="AN136" i="1"/>
  <c r="AM136" i="1"/>
  <c r="AL136" i="1"/>
  <c r="AK136" i="1"/>
  <c r="AJ136" i="1"/>
  <c r="R136" i="1"/>
  <c r="BE136" i="1" s="1"/>
  <c r="G136" i="1"/>
  <c r="E136" i="1"/>
  <c r="C136" i="1"/>
  <c r="B136" i="1"/>
  <c r="BJ134" i="1"/>
  <c r="BI134" i="1"/>
  <c r="BH134" i="1"/>
  <c r="BG134" i="1"/>
  <c r="BF134" i="1"/>
  <c r="BA134" i="1"/>
  <c r="AW134" i="1"/>
  <c r="AT134" i="1"/>
  <c r="AS134" i="1"/>
  <c r="AR134" i="1"/>
  <c r="AQ134" i="1"/>
  <c r="AP134" i="1"/>
  <c r="AO134" i="1"/>
  <c r="AN134" i="1"/>
  <c r="AM134" i="1"/>
  <c r="AL134" i="1"/>
  <c r="AK134" i="1"/>
  <c r="AJ134" i="1"/>
  <c r="R134" i="1"/>
  <c r="BE134" i="1" s="1"/>
  <c r="G134" i="1"/>
  <c r="E134" i="1"/>
  <c r="C134" i="1"/>
  <c r="B134" i="1"/>
  <c r="BJ133" i="1"/>
  <c r="BI133" i="1"/>
  <c r="BH133" i="1"/>
  <c r="BG133" i="1"/>
  <c r="BF133" i="1"/>
  <c r="BA133" i="1"/>
  <c r="AW133" i="1"/>
  <c r="AT133" i="1"/>
  <c r="AS133" i="1"/>
  <c r="AR133" i="1"/>
  <c r="AQ133" i="1"/>
  <c r="AP133" i="1"/>
  <c r="AO133" i="1"/>
  <c r="AN133" i="1"/>
  <c r="AM133" i="1"/>
  <c r="AL133" i="1"/>
  <c r="AK133" i="1"/>
  <c r="AJ133" i="1"/>
  <c r="R133" i="1"/>
  <c r="BE133" i="1" s="1"/>
  <c r="G133" i="1"/>
  <c r="E133" i="1"/>
  <c r="C133" i="1"/>
  <c r="B133" i="1"/>
  <c r="BJ132" i="1"/>
  <c r="BI132" i="1"/>
  <c r="BH132" i="1"/>
  <c r="BG132" i="1"/>
  <c r="BF132" i="1"/>
  <c r="BA132" i="1"/>
  <c r="AW132" i="1"/>
  <c r="AT132" i="1"/>
  <c r="AS132" i="1"/>
  <c r="AR132" i="1"/>
  <c r="AQ132" i="1"/>
  <c r="AP132" i="1"/>
  <c r="AO132" i="1"/>
  <c r="AN132" i="1"/>
  <c r="AM132" i="1"/>
  <c r="AL132" i="1"/>
  <c r="AK132" i="1"/>
  <c r="AJ132" i="1"/>
  <c r="R132" i="1"/>
  <c r="BE132" i="1" s="1"/>
  <c r="G132" i="1"/>
  <c r="E132" i="1"/>
  <c r="C132" i="1"/>
  <c r="B132" i="1"/>
  <c r="DM131" i="1"/>
  <c r="CX131" i="1"/>
  <c r="BJ131" i="1"/>
  <c r="BI131" i="1"/>
  <c r="BH131" i="1"/>
  <c r="BG131" i="1"/>
  <c r="BF131" i="1"/>
  <c r="BA131" i="1"/>
  <c r="AW131" i="1"/>
  <c r="AT131" i="1"/>
  <c r="AS131" i="1"/>
  <c r="AR131" i="1"/>
  <c r="AQ131" i="1"/>
  <c r="AP131" i="1"/>
  <c r="AO131" i="1"/>
  <c r="AN131" i="1"/>
  <c r="AM131" i="1"/>
  <c r="AL131" i="1"/>
  <c r="AK131" i="1"/>
  <c r="AJ131" i="1"/>
  <c r="R131" i="1"/>
  <c r="BE131" i="1" s="1"/>
  <c r="G131" i="1"/>
  <c r="E131" i="1"/>
  <c r="C131" i="1"/>
  <c r="B131" i="1"/>
  <c r="BJ73" i="1"/>
  <c r="BI73" i="1"/>
  <c r="BH73" i="1"/>
  <c r="BG73" i="1"/>
  <c r="BF73" i="1"/>
  <c r="BA73" i="1"/>
  <c r="AW73" i="1"/>
  <c r="AT73" i="1"/>
  <c r="AS73" i="1"/>
  <c r="AR73" i="1"/>
  <c r="AQ73" i="1"/>
  <c r="AP73" i="1"/>
  <c r="AO73" i="1"/>
  <c r="AN73" i="1"/>
  <c r="AM73" i="1"/>
  <c r="AL73" i="1"/>
  <c r="AK73" i="1"/>
  <c r="AJ73" i="1"/>
  <c r="R73" i="1"/>
  <c r="BE73" i="1" s="1"/>
  <c r="G73" i="1"/>
  <c r="E73" i="1"/>
  <c r="C73" i="1"/>
  <c r="B73" i="1"/>
  <c r="BJ72" i="1"/>
  <c r="BI72" i="1"/>
  <c r="BH72" i="1"/>
  <c r="BG72" i="1"/>
  <c r="BF72" i="1"/>
  <c r="BA72" i="1"/>
  <c r="AW72" i="1"/>
  <c r="AT72" i="1"/>
  <c r="AS72" i="1"/>
  <c r="AR72" i="1"/>
  <c r="AQ72" i="1"/>
  <c r="AP72" i="1"/>
  <c r="AO72" i="1"/>
  <c r="AN72" i="1"/>
  <c r="AM72" i="1"/>
  <c r="AL72" i="1"/>
  <c r="AK72" i="1"/>
  <c r="AJ72" i="1"/>
  <c r="R72" i="1"/>
  <c r="BE72" i="1" s="1"/>
  <c r="G72" i="1"/>
  <c r="E72" i="1"/>
  <c r="C72" i="1"/>
  <c r="B72" i="1"/>
  <c r="BJ71" i="1"/>
  <c r="BI71" i="1"/>
  <c r="BH71" i="1"/>
  <c r="BG71" i="1"/>
  <c r="BF71" i="1"/>
  <c r="BA71" i="1"/>
  <c r="AW71" i="1"/>
  <c r="AT71" i="1"/>
  <c r="AS71" i="1"/>
  <c r="AR71" i="1"/>
  <c r="AQ71" i="1"/>
  <c r="AP71" i="1"/>
  <c r="AO71" i="1"/>
  <c r="AN71" i="1"/>
  <c r="AM71" i="1"/>
  <c r="AL71" i="1"/>
  <c r="AK71" i="1"/>
  <c r="AJ71" i="1"/>
  <c r="R71" i="1"/>
  <c r="BE71" i="1" s="1"/>
  <c r="G71" i="1"/>
  <c r="E71" i="1"/>
  <c r="C71" i="1"/>
  <c r="B71" i="1"/>
  <c r="DM70" i="1"/>
  <c r="CX70" i="1"/>
  <c r="BJ70" i="1"/>
  <c r="BI70" i="1"/>
  <c r="BH70" i="1"/>
  <c r="BG70" i="1"/>
  <c r="BF70" i="1"/>
  <c r="BA70" i="1"/>
  <c r="AW70" i="1"/>
  <c r="AT70" i="1"/>
  <c r="AS70" i="1"/>
  <c r="AR70" i="1"/>
  <c r="AQ70" i="1"/>
  <c r="AP70" i="1"/>
  <c r="AO70" i="1"/>
  <c r="AN70" i="1"/>
  <c r="AM70" i="1"/>
  <c r="AL70" i="1"/>
  <c r="AK70" i="1"/>
  <c r="AJ70" i="1"/>
  <c r="R70" i="1"/>
  <c r="BE70" i="1" s="1"/>
  <c r="G70" i="1"/>
  <c r="E70" i="1"/>
  <c r="C70" i="1"/>
  <c r="B70" i="1"/>
  <c r="J133" i="1" l="1"/>
  <c r="N133" i="1" s="1"/>
  <c r="DZ133" i="1"/>
  <c r="CH73" i="1"/>
  <c r="J152" i="1"/>
  <c r="N152" i="1" s="1"/>
  <c r="CO152" i="1"/>
  <c r="J142" i="1"/>
  <c r="N142" i="1" s="1"/>
  <c r="CO142" i="1"/>
  <c r="J149" i="1"/>
  <c r="N149" i="1" s="1"/>
  <c r="CO149" i="1"/>
  <c r="J147" i="1"/>
  <c r="N147" i="1" s="1"/>
  <c r="CO147" i="1"/>
  <c r="J143" i="1"/>
  <c r="N143" i="1" s="1"/>
  <c r="CO143" i="1"/>
  <c r="J151" i="1"/>
  <c r="N151" i="1" s="1"/>
  <c r="CO151" i="1"/>
  <c r="J153" i="1"/>
  <c r="N153" i="1" s="1"/>
  <c r="CO153" i="1"/>
  <c r="J141" i="1"/>
  <c r="N141" i="1" s="1"/>
  <c r="CO141" i="1"/>
  <c r="J144" i="1"/>
  <c r="N144" i="1" s="1"/>
  <c r="CO144" i="1"/>
  <c r="J148" i="1"/>
  <c r="N148" i="1" s="1"/>
  <c r="CO148" i="1"/>
  <c r="J154" i="1"/>
  <c r="N154" i="1" s="1"/>
  <c r="CO154" i="1"/>
  <c r="H133" i="1"/>
  <c r="J146" i="1"/>
  <c r="N146" i="1" s="1"/>
  <c r="CO146" i="1"/>
  <c r="DR133" i="1"/>
  <c r="DY133" i="1"/>
  <c r="DP133" i="1"/>
  <c r="DQ133" i="1"/>
  <c r="DS133" i="1"/>
  <c r="J139" i="1"/>
  <c r="N139" i="1" s="1"/>
  <c r="CO139" i="1"/>
  <c r="J137" i="1"/>
  <c r="N137" i="1" s="1"/>
  <c r="CO137" i="1"/>
  <c r="J131" i="1"/>
  <c r="N131" i="1" s="1"/>
  <c r="CO131" i="1"/>
  <c r="J73" i="1"/>
  <c r="N73" i="1" s="1"/>
  <c r="CO73" i="1"/>
  <c r="J71" i="1"/>
  <c r="N71" i="1" s="1"/>
  <c r="CO71" i="1"/>
  <c r="DU133" i="1"/>
  <c r="DV133" i="1"/>
  <c r="DN133" i="1"/>
  <c r="DW133" i="1"/>
  <c r="J138" i="1"/>
  <c r="N138" i="1" s="1"/>
  <c r="CO138" i="1"/>
  <c r="J136" i="1"/>
  <c r="N136" i="1" s="1"/>
  <c r="CO136" i="1"/>
  <c r="J134" i="1"/>
  <c r="N134" i="1" s="1"/>
  <c r="CO134" i="1"/>
  <c r="J132" i="1"/>
  <c r="N132" i="1" s="1"/>
  <c r="CO132" i="1"/>
  <c r="J72" i="1"/>
  <c r="N72" i="1" s="1"/>
  <c r="CO72" i="1"/>
  <c r="J70" i="1"/>
  <c r="N70" i="1" s="1"/>
  <c r="CO70" i="1"/>
  <c r="DO133" i="1"/>
  <c r="AV148" i="1"/>
  <c r="BK148" i="1" s="1"/>
  <c r="CA148" i="1" s="1"/>
  <c r="AV147" i="1"/>
  <c r="BK147" i="1" s="1"/>
  <c r="AX147" i="1" s="1"/>
  <c r="BD147" i="1" s="1"/>
  <c r="AV152" i="1"/>
  <c r="BK152" i="1" s="1"/>
  <c r="AX152" i="1" s="1"/>
  <c r="BD152" i="1" s="1"/>
  <c r="AV154" i="1"/>
  <c r="BK154" i="1" s="1"/>
  <c r="AV141" i="1"/>
  <c r="BK141" i="1" s="1"/>
  <c r="CA141" i="1" s="1"/>
  <c r="AV142" i="1"/>
  <c r="BK142" i="1" s="1"/>
  <c r="AX142" i="1" s="1"/>
  <c r="BD142" i="1" s="1"/>
  <c r="AV144" i="1"/>
  <c r="BK144" i="1" s="1"/>
  <c r="AX144" i="1" s="1"/>
  <c r="BD144" i="1" s="1"/>
  <c r="AV153" i="1"/>
  <c r="AV151" i="1"/>
  <c r="BK151" i="1" s="1"/>
  <c r="AV143" i="1"/>
  <c r="BK143" i="1" s="1"/>
  <c r="AV146" i="1"/>
  <c r="BK146" i="1" s="1"/>
  <c r="AV149" i="1"/>
  <c r="BK149" i="1" s="1"/>
  <c r="BQ142" i="1"/>
  <c r="BR142" i="1" s="1"/>
  <c r="BQ147" i="1"/>
  <c r="BR147" i="1" s="1"/>
  <c r="BQ154" i="1"/>
  <c r="BQ149" i="1"/>
  <c r="BQ148" i="1"/>
  <c r="BQ144" i="1"/>
  <c r="BQ146" i="1"/>
  <c r="BQ152" i="1"/>
  <c r="BQ143" i="1"/>
  <c r="BQ141" i="1"/>
  <c r="BQ151" i="1"/>
  <c r="BQ153" i="1"/>
  <c r="AV134" i="1"/>
  <c r="BK134" i="1" s="1"/>
  <c r="AX134" i="1" s="1"/>
  <c r="BD134" i="1" s="1"/>
  <c r="AV133" i="1"/>
  <c r="BK133" i="1" s="1"/>
  <c r="AX133" i="1" s="1"/>
  <c r="BD133" i="1" s="1"/>
  <c r="AV132" i="1"/>
  <c r="BK132" i="1" s="1"/>
  <c r="AV137" i="1"/>
  <c r="BK137" i="1" s="1"/>
  <c r="CA137" i="1" s="1"/>
  <c r="AV131" i="1"/>
  <c r="BK131" i="1" s="1"/>
  <c r="AV73" i="1"/>
  <c r="BK73" i="1" s="1"/>
  <c r="CB73" i="1" s="1"/>
  <c r="CC73" i="1" s="1"/>
  <c r="AV138" i="1"/>
  <c r="BK138" i="1" s="1"/>
  <c r="AX138" i="1" s="1"/>
  <c r="BD138" i="1" s="1"/>
  <c r="AV139" i="1"/>
  <c r="BK139" i="1" s="1"/>
  <c r="CB139" i="1" s="1"/>
  <c r="CC139" i="1" s="1"/>
  <c r="AV72" i="1"/>
  <c r="BK72" i="1" s="1"/>
  <c r="AX72" i="1" s="1"/>
  <c r="BD72" i="1" s="1"/>
  <c r="AV71" i="1"/>
  <c r="BK71" i="1" s="1"/>
  <c r="AX71" i="1" s="1"/>
  <c r="BD71" i="1" s="1"/>
  <c r="AV136" i="1"/>
  <c r="BK136" i="1" s="1"/>
  <c r="BQ136" i="1"/>
  <c r="BQ137" i="1"/>
  <c r="BQ138" i="1"/>
  <c r="BQ139" i="1"/>
  <c r="BQ132" i="1"/>
  <c r="BQ133" i="1"/>
  <c r="BQ134" i="1"/>
  <c r="BQ131" i="1"/>
  <c r="CH71" i="1"/>
  <c r="AV70" i="1"/>
  <c r="BK70" i="1" s="1"/>
  <c r="AX70" i="1" s="1"/>
  <c r="BD70" i="1" s="1"/>
  <c r="DY141" i="1" l="1"/>
  <c r="DP141" i="1"/>
  <c r="DS141" i="1"/>
  <c r="DX141" i="1"/>
  <c r="DO141" i="1"/>
  <c r="DW141" i="1"/>
  <c r="DN141" i="1"/>
  <c r="DV141" i="1"/>
  <c r="DU141" i="1"/>
  <c r="DR141" i="1"/>
  <c r="DZ141" i="1"/>
  <c r="DQ141" i="1"/>
  <c r="H141" i="1"/>
  <c r="DU147" i="1"/>
  <c r="H147" i="1"/>
  <c r="DS147" i="1"/>
  <c r="DR147" i="1"/>
  <c r="DZ147" i="1"/>
  <c r="DQ147" i="1"/>
  <c r="DY147" i="1"/>
  <c r="DP147" i="1"/>
  <c r="DX147" i="1"/>
  <c r="DO147" i="1"/>
  <c r="DW147" i="1"/>
  <c r="DN147" i="1"/>
  <c r="DV147" i="1"/>
  <c r="DZ154" i="1"/>
  <c r="DQ154" i="1"/>
  <c r="DY154" i="1"/>
  <c r="DP154" i="1"/>
  <c r="DX154" i="1"/>
  <c r="DO154" i="1"/>
  <c r="DW154" i="1"/>
  <c r="DN154" i="1"/>
  <c r="DV154" i="1"/>
  <c r="DU154" i="1"/>
  <c r="H154" i="1"/>
  <c r="DS154" i="1"/>
  <c r="DR154" i="1"/>
  <c r="DS153" i="1"/>
  <c r="DR153" i="1"/>
  <c r="H153" i="1"/>
  <c r="DZ153" i="1"/>
  <c r="DQ153" i="1"/>
  <c r="DY153" i="1"/>
  <c r="DP153" i="1"/>
  <c r="DX153" i="1"/>
  <c r="DO153" i="1"/>
  <c r="DW153" i="1"/>
  <c r="DN153" i="1"/>
  <c r="DV153" i="1"/>
  <c r="DU153" i="1"/>
  <c r="DW149" i="1"/>
  <c r="DN149" i="1"/>
  <c r="DV149" i="1"/>
  <c r="DU149" i="1"/>
  <c r="DS149" i="1"/>
  <c r="H149" i="1"/>
  <c r="DR149" i="1"/>
  <c r="DZ149" i="1"/>
  <c r="DQ149" i="1"/>
  <c r="DY149" i="1"/>
  <c r="DP149" i="1"/>
  <c r="DX149" i="1"/>
  <c r="DO149" i="1"/>
  <c r="DZ148" i="1"/>
  <c r="DQ148" i="1"/>
  <c r="DY148" i="1"/>
  <c r="DP148" i="1"/>
  <c r="DX148" i="1"/>
  <c r="DO148" i="1"/>
  <c r="DW148" i="1"/>
  <c r="DN148" i="1"/>
  <c r="DV148" i="1"/>
  <c r="DU148" i="1"/>
  <c r="DS148" i="1"/>
  <c r="H148" i="1"/>
  <c r="DR148" i="1"/>
  <c r="DZ151" i="1"/>
  <c r="DQ151" i="1"/>
  <c r="H151" i="1"/>
  <c r="DY151" i="1"/>
  <c r="DP151" i="1"/>
  <c r="DX151" i="1"/>
  <c r="DO151" i="1"/>
  <c r="DW151" i="1"/>
  <c r="DN151" i="1"/>
  <c r="DV151" i="1"/>
  <c r="DU151" i="1"/>
  <c r="DS151" i="1"/>
  <c r="DR151" i="1"/>
  <c r="DW142" i="1"/>
  <c r="DN142" i="1"/>
  <c r="DZ142" i="1"/>
  <c r="DQ142" i="1"/>
  <c r="DV142" i="1"/>
  <c r="DU142" i="1"/>
  <c r="H142" i="1"/>
  <c r="DS142" i="1"/>
  <c r="DR142" i="1"/>
  <c r="DY142" i="1"/>
  <c r="DP142" i="1"/>
  <c r="DX142" i="1"/>
  <c r="DO142" i="1"/>
  <c r="DZ144" i="1"/>
  <c r="DQ144" i="1"/>
  <c r="DU144" i="1"/>
  <c r="H144" i="1"/>
  <c r="DY144" i="1"/>
  <c r="DP144" i="1"/>
  <c r="DX144" i="1"/>
  <c r="DO144" i="1"/>
  <c r="DW144" i="1"/>
  <c r="DN144" i="1"/>
  <c r="DV144" i="1"/>
  <c r="DS144" i="1"/>
  <c r="DR144" i="1"/>
  <c r="DS143" i="1"/>
  <c r="H143" i="1"/>
  <c r="DW143" i="1"/>
  <c r="DN143" i="1"/>
  <c r="DR143" i="1"/>
  <c r="DZ143" i="1"/>
  <c r="DQ143" i="1"/>
  <c r="DY143" i="1"/>
  <c r="DP143" i="1"/>
  <c r="DX143" i="1"/>
  <c r="DO143" i="1"/>
  <c r="DV143" i="1"/>
  <c r="DU143" i="1"/>
  <c r="DX152" i="1"/>
  <c r="DO152" i="1"/>
  <c r="DW152" i="1"/>
  <c r="DN152" i="1"/>
  <c r="DV152" i="1"/>
  <c r="DU152" i="1"/>
  <c r="H152" i="1"/>
  <c r="DS152" i="1"/>
  <c r="DR152" i="1"/>
  <c r="DZ152" i="1"/>
  <c r="DQ152" i="1"/>
  <c r="DY152" i="1"/>
  <c r="DP152" i="1"/>
  <c r="DW146" i="1"/>
  <c r="DN146" i="1"/>
  <c r="DV146" i="1"/>
  <c r="DU146" i="1"/>
  <c r="DS146" i="1"/>
  <c r="DR146" i="1"/>
  <c r="DZ146" i="1"/>
  <c r="DQ146" i="1"/>
  <c r="H146" i="1"/>
  <c r="DY146" i="1"/>
  <c r="DP146" i="1"/>
  <c r="DX146" i="1"/>
  <c r="DO146" i="1"/>
  <c r="DZ72" i="1"/>
  <c r="DQ72" i="1"/>
  <c r="DY72" i="1"/>
  <c r="DP72" i="1"/>
  <c r="DX72" i="1"/>
  <c r="DO72" i="1"/>
  <c r="DW72" i="1"/>
  <c r="DN72" i="1"/>
  <c r="DV72" i="1"/>
  <c r="DU72" i="1"/>
  <c r="H72" i="1"/>
  <c r="DS72" i="1"/>
  <c r="DR72" i="1"/>
  <c r="DV138" i="1"/>
  <c r="DU138" i="1"/>
  <c r="DS138" i="1"/>
  <c r="DR138" i="1"/>
  <c r="H138" i="1"/>
  <c r="DY138" i="1"/>
  <c r="DP138" i="1"/>
  <c r="DZ138" i="1"/>
  <c r="DQ138" i="1"/>
  <c r="DN138" i="1"/>
  <c r="DX138" i="1"/>
  <c r="DW138" i="1"/>
  <c r="DO138" i="1"/>
  <c r="DV73" i="1"/>
  <c r="DU73" i="1"/>
  <c r="DS73" i="1"/>
  <c r="DR73" i="1"/>
  <c r="H73" i="1"/>
  <c r="DZ73" i="1"/>
  <c r="DQ73" i="1"/>
  <c r="DN73" i="1"/>
  <c r="DY73" i="1"/>
  <c r="DW73" i="1"/>
  <c r="DP73" i="1"/>
  <c r="DX73" i="1"/>
  <c r="DO73" i="1"/>
  <c r="DZ137" i="1"/>
  <c r="DQ137" i="1"/>
  <c r="DY137" i="1"/>
  <c r="DP137" i="1"/>
  <c r="DX137" i="1"/>
  <c r="DO137" i="1"/>
  <c r="DW137" i="1"/>
  <c r="DN137" i="1"/>
  <c r="DV137" i="1"/>
  <c r="DR137" i="1"/>
  <c r="DU137" i="1"/>
  <c r="H137" i="1"/>
  <c r="DS137" i="1"/>
  <c r="DS132" i="1"/>
  <c r="DR132" i="1"/>
  <c r="H132" i="1"/>
  <c r="DZ132" i="1"/>
  <c r="DQ132" i="1"/>
  <c r="DY132" i="1"/>
  <c r="DP132" i="1"/>
  <c r="DX132" i="1"/>
  <c r="DO132" i="1"/>
  <c r="DW132" i="1"/>
  <c r="DV132" i="1"/>
  <c r="DU132" i="1"/>
  <c r="DN132" i="1"/>
  <c r="DS134" i="1"/>
  <c r="DR134" i="1"/>
  <c r="H134" i="1"/>
  <c r="DZ134" i="1"/>
  <c r="DQ134" i="1"/>
  <c r="DY134" i="1"/>
  <c r="DP134" i="1"/>
  <c r="DX134" i="1"/>
  <c r="DO134" i="1"/>
  <c r="DW134" i="1"/>
  <c r="DV134" i="1"/>
  <c r="DU134" i="1"/>
  <c r="DN134" i="1"/>
  <c r="DZ70" i="1"/>
  <c r="DQ70" i="1"/>
  <c r="DY70" i="1"/>
  <c r="DP70" i="1"/>
  <c r="H70" i="1"/>
  <c r="DX70" i="1"/>
  <c r="DO70" i="1"/>
  <c r="DW70" i="1"/>
  <c r="DN70" i="1"/>
  <c r="DV70" i="1"/>
  <c r="DU70" i="1"/>
  <c r="DS70" i="1"/>
  <c r="DR70" i="1"/>
  <c r="DV136" i="1"/>
  <c r="DU136" i="1"/>
  <c r="DS136" i="1"/>
  <c r="DR136" i="1"/>
  <c r="DZ136" i="1"/>
  <c r="DQ136" i="1"/>
  <c r="DY136" i="1"/>
  <c r="DX136" i="1"/>
  <c r="DW136" i="1"/>
  <c r="DN136" i="1"/>
  <c r="DP136" i="1"/>
  <c r="H136" i="1"/>
  <c r="DO136" i="1"/>
  <c r="DV71" i="1"/>
  <c r="DU71" i="1"/>
  <c r="DS71" i="1"/>
  <c r="DR71" i="1"/>
  <c r="H71" i="1"/>
  <c r="DZ71" i="1"/>
  <c r="DQ71" i="1"/>
  <c r="DN71" i="1"/>
  <c r="DY71" i="1"/>
  <c r="DP71" i="1"/>
  <c r="DX71" i="1"/>
  <c r="DW71" i="1"/>
  <c r="DO71" i="1"/>
  <c r="DZ139" i="1"/>
  <c r="DQ139" i="1"/>
  <c r="DY139" i="1"/>
  <c r="DP139" i="1"/>
  <c r="DX139" i="1"/>
  <c r="DO139" i="1"/>
  <c r="DW139" i="1"/>
  <c r="DN139" i="1"/>
  <c r="DU139" i="1"/>
  <c r="DV139" i="1"/>
  <c r="DS139" i="1"/>
  <c r="DR139" i="1"/>
  <c r="H139" i="1"/>
  <c r="DX131" i="1"/>
  <c r="DO131" i="1"/>
  <c r="DW131" i="1"/>
  <c r="DN131" i="1"/>
  <c r="DV131" i="1"/>
  <c r="DU131" i="1"/>
  <c r="DS131" i="1"/>
  <c r="DP131" i="1"/>
  <c r="DR131" i="1"/>
  <c r="DY131" i="1"/>
  <c r="DZ131" i="1"/>
  <c r="H131" i="1"/>
  <c r="DQ131" i="1"/>
  <c r="BS142" i="1"/>
  <c r="AX154" i="1"/>
  <c r="BD154" i="1" s="1"/>
  <c r="CA154" i="1"/>
  <c r="BL154" i="1"/>
  <c r="BM154" i="1" s="1"/>
  <c r="BN154" i="1" s="1"/>
  <c r="BO154" i="1" s="1"/>
  <c r="CB154" i="1"/>
  <c r="CC154" i="1" s="1"/>
  <c r="AX143" i="1"/>
  <c r="BD143" i="1" s="1"/>
  <c r="CA143" i="1"/>
  <c r="BL144" i="1"/>
  <c r="BM144" i="1" s="1"/>
  <c r="BN144" i="1" s="1"/>
  <c r="BO144" i="1" s="1"/>
  <c r="AX149" i="1"/>
  <c r="BD149" i="1" s="1"/>
  <c r="BL149" i="1"/>
  <c r="BM149" i="1" s="1"/>
  <c r="BN149" i="1" s="1"/>
  <c r="BO149" i="1" s="1"/>
  <c r="CB149" i="1"/>
  <c r="CC149" i="1" s="1"/>
  <c r="BK153" i="1"/>
  <c r="CA153" i="1" s="1"/>
  <c r="BV147" i="1"/>
  <c r="CB144" i="1"/>
  <c r="CC144" i="1" s="1"/>
  <c r="BV142" i="1"/>
  <c r="AX151" i="1"/>
  <c r="BD151" i="1" s="1"/>
  <c r="CA151" i="1"/>
  <c r="BL151" i="1"/>
  <c r="BM151" i="1" s="1"/>
  <c r="BN151" i="1" s="1"/>
  <c r="BO151" i="1" s="1"/>
  <c r="CB151" i="1"/>
  <c r="CC151" i="1" s="1"/>
  <c r="BL146" i="1"/>
  <c r="BM146" i="1" s="1"/>
  <c r="BN146" i="1" s="1"/>
  <c r="BO146" i="1" s="1"/>
  <c r="AX146" i="1"/>
  <c r="BD146" i="1" s="1"/>
  <c r="CB146" i="1"/>
  <c r="CC146" i="1" s="1"/>
  <c r="BX142" i="1"/>
  <c r="CA142" i="1"/>
  <c r="BX147" i="1"/>
  <c r="BW147" i="1"/>
  <c r="CB143" i="1"/>
  <c r="CC143" i="1" s="1"/>
  <c r="CB148" i="1"/>
  <c r="CC148" i="1" s="1"/>
  <c r="BL148" i="1"/>
  <c r="BM148" i="1" s="1"/>
  <c r="BN148" i="1" s="1"/>
  <c r="BO148" i="1" s="1"/>
  <c r="CB147" i="1"/>
  <c r="CC147" i="1" s="1"/>
  <c r="BS147" i="1"/>
  <c r="BW142" i="1"/>
  <c r="BL142" i="1"/>
  <c r="BM142" i="1" s="1"/>
  <c r="BN142" i="1" s="1"/>
  <c r="BO142" i="1" s="1"/>
  <c r="BL147" i="1"/>
  <c r="BM147" i="1" s="1"/>
  <c r="BN147" i="1" s="1"/>
  <c r="BO147" i="1" s="1"/>
  <c r="CA147" i="1"/>
  <c r="AX148" i="1"/>
  <c r="BD148" i="1" s="1"/>
  <c r="BL143" i="1"/>
  <c r="BM143" i="1" s="1"/>
  <c r="BN143" i="1" s="1"/>
  <c r="BO143" i="1" s="1"/>
  <c r="CB141" i="1"/>
  <c r="CC141" i="1" s="1"/>
  <c r="AX141" i="1"/>
  <c r="BD141" i="1" s="1"/>
  <c r="CA146" i="1"/>
  <c r="CA149" i="1"/>
  <c r="CB142" i="1"/>
  <c r="CC142" i="1" s="1"/>
  <c r="BT147" i="1"/>
  <c r="BU147" i="1"/>
  <c r="BT142" i="1"/>
  <c r="BU142" i="1"/>
  <c r="BW151" i="1"/>
  <c r="BV151" i="1"/>
  <c r="BU151" i="1"/>
  <c r="BT151" i="1"/>
  <c r="BS151" i="1"/>
  <c r="BR151" i="1"/>
  <c r="BX151" i="1"/>
  <c r="BX146" i="1"/>
  <c r="BW146" i="1"/>
  <c r="BV146" i="1"/>
  <c r="BR146" i="1"/>
  <c r="BU146" i="1"/>
  <c r="BT146" i="1"/>
  <c r="BS146" i="1"/>
  <c r="BR141" i="1"/>
  <c r="BX141" i="1"/>
  <c r="BW141" i="1"/>
  <c r="BV141" i="1"/>
  <c r="BU141" i="1"/>
  <c r="BT141" i="1"/>
  <c r="BS141" i="1"/>
  <c r="BL152" i="1"/>
  <c r="BM152" i="1" s="1"/>
  <c r="BN152" i="1" s="1"/>
  <c r="BO152" i="1" s="1"/>
  <c r="BR152" i="1"/>
  <c r="BX152" i="1"/>
  <c r="BW152" i="1"/>
  <c r="BV152" i="1"/>
  <c r="BU152" i="1"/>
  <c r="BT152" i="1"/>
  <c r="BS152" i="1"/>
  <c r="BV144" i="1"/>
  <c r="BU144" i="1"/>
  <c r="BT144" i="1"/>
  <c r="BS144" i="1"/>
  <c r="BR144" i="1"/>
  <c r="BW144" i="1"/>
  <c r="BX144" i="1"/>
  <c r="BU148" i="1"/>
  <c r="BT148" i="1"/>
  <c r="BS148" i="1"/>
  <c r="BR148" i="1"/>
  <c r="BV148" i="1"/>
  <c r="BX148" i="1"/>
  <c r="BW148" i="1"/>
  <c r="BS153" i="1"/>
  <c r="BR153" i="1"/>
  <c r="BX153" i="1"/>
  <c r="BW153" i="1"/>
  <c r="BV153" i="1"/>
  <c r="BT153" i="1"/>
  <c r="BU153" i="1"/>
  <c r="CB152" i="1"/>
  <c r="CC152" i="1" s="1"/>
  <c r="CA152" i="1"/>
  <c r="BV149" i="1"/>
  <c r="BU149" i="1"/>
  <c r="BT149" i="1"/>
  <c r="BS149" i="1"/>
  <c r="BR149" i="1"/>
  <c r="BW149" i="1"/>
  <c r="BX149" i="1"/>
  <c r="BT154" i="1"/>
  <c r="BS154" i="1"/>
  <c r="BR154" i="1"/>
  <c r="BX154" i="1"/>
  <c r="BU154" i="1"/>
  <c r="BW154" i="1"/>
  <c r="BV154" i="1"/>
  <c r="BU143" i="1"/>
  <c r="BT143" i="1"/>
  <c r="BS143" i="1"/>
  <c r="BR143" i="1"/>
  <c r="BV143" i="1"/>
  <c r="BX143" i="1"/>
  <c r="BW143" i="1"/>
  <c r="BL141" i="1"/>
  <c r="BM141" i="1" s="1"/>
  <c r="BN141" i="1" s="1"/>
  <c r="BO141" i="1" s="1"/>
  <c r="CA144" i="1"/>
  <c r="CB132" i="1"/>
  <c r="CC132" i="1" s="1"/>
  <c r="BL132" i="1"/>
  <c r="BM132" i="1" s="1"/>
  <c r="BN132" i="1" s="1"/>
  <c r="BO132" i="1" s="1"/>
  <c r="AX131" i="1"/>
  <c r="BD131" i="1" s="1"/>
  <c r="CA131" i="1"/>
  <c r="CB131" i="1"/>
  <c r="CC131" i="1" s="1"/>
  <c r="CB133" i="1"/>
  <c r="CC133" i="1" s="1"/>
  <c r="CB71" i="1"/>
  <c r="CC71" i="1" s="1"/>
  <c r="CA71" i="1"/>
  <c r="BL133" i="1"/>
  <c r="BM133" i="1" s="1"/>
  <c r="BN133" i="1" s="1"/>
  <c r="BO133" i="1" s="1"/>
  <c r="CA133" i="1"/>
  <c r="AX136" i="1"/>
  <c r="BD136" i="1" s="1"/>
  <c r="CB136" i="1"/>
  <c r="CC136" i="1" s="1"/>
  <c r="CA136" i="1"/>
  <c r="CA132" i="1"/>
  <c r="AX132" i="1"/>
  <c r="BD132" i="1" s="1"/>
  <c r="CA138" i="1"/>
  <c r="BL138" i="1"/>
  <c r="BM138" i="1" s="1"/>
  <c r="BN138" i="1" s="1"/>
  <c r="BO138" i="1" s="1"/>
  <c r="CA72" i="1"/>
  <c r="AX139" i="1"/>
  <c r="BD139" i="1" s="1"/>
  <c r="BL72" i="1"/>
  <c r="BM72" i="1" s="1"/>
  <c r="BN72" i="1" s="1"/>
  <c r="BO72" i="1" s="1"/>
  <c r="CB72" i="1"/>
  <c r="CC72" i="1" s="1"/>
  <c r="CA134" i="1"/>
  <c r="BL71" i="1"/>
  <c r="BM71" i="1" s="1"/>
  <c r="BN71" i="1" s="1"/>
  <c r="BO71" i="1" s="1"/>
  <c r="CB138" i="1"/>
  <c r="CC138" i="1" s="1"/>
  <c r="BL131" i="1"/>
  <c r="BM131" i="1" s="1"/>
  <c r="BN131" i="1" s="1"/>
  <c r="BO131" i="1" s="1"/>
  <c r="BL136" i="1"/>
  <c r="BM136" i="1" s="1"/>
  <c r="BN136" i="1" s="1"/>
  <c r="BO136" i="1" s="1"/>
  <c r="CA139" i="1"/>
  <c r="CD139" i="1" s="1"/>
  <c r="CE139" i="1" s="1"/>
  <c r="BL139" i="1"/>
  <c r="BM139" i="1" s="1"/>
  <c r="BN139" i="1" s="1"/>
  <c r="BO139" i="1" s="1"/>
  <c r="AX137" i="1"/>
  <c r="BD137" i="1" s="1"/>
  <c r="BV139" i="1"/>
  <c r="BW139" i="1"/>
  <c r="BU139" i="1"/>
  <c r="BT139" i="1"/>
  <c r="BS139" i="1"/>
  <c r="BR139" i="1"/>
  <c r="BX139" i="1"/>
  <c r="BL137" i="1"/>
  <c r="BM137" i="1" s="1"/>
  <c r="BN137" i="1" s="1"/>
  <c r="BO137" i="1" s="1"/>
  <c r="BW138" i="1"/>
  <c r="BV138" i="1"/>
  <c r="BX138" i="1"/>
  <c r="BU138" i="1"/>
  <c r="BT138" i="1"/>
  <c r="BS138" i="1"/>
  <c r="BR138" i="1"/>
  <c r="BW136" i="1"/>
  <c r="BV136" i="1"/>
  <c r="BU136" i="1"/>
  <c r="BT136" i="1"/>
  <c r="BS136" i="1"/>
  <c r="BR136" i="1"/>
  <c r="BX136" i="1"/>
  <c r="CB137" i="1"/>
  <c r="CC137" i="1" s="1"/>
  <c r="BX137" i="1"/>
  <c r="BW137" i="1"/>
  <c r="BV137" i="1"/>
  <c r="BU137" i="1"/>
  <c r="BT137" i="1"/>
  <c r="BS137" i="1"/>
  <c r="BR137" i="1"/>
  <c r="BV134" i="1"/>
  <c r="BU134" i="1"/>
  <c r="BT134" i="1"/>
  <c r="BS134" i="1"/>
  <c r="BR134" i="1"/>
  <c r="BW134" i="1"/>
  <c r="BX134" i="1"/>
  <c r="CB134" i="1"/>
  <c r="CC134" i="1" s="1"/>
  <c r="BW131" i="1"/>
  <c r="BV131" i="1"/>
  <c r="BU131" i="1"/>
  <c r="BT131" i="1"/>
  <c r="BS131" i="1"/>
  <c r="BR131" i="1"/>
  <c r="BX131" i="1"/>
  <c r="BW133" i="1"/>
  <c r="BX133" i="1"/>
  <c r="BV133" i="1"/>
  <c r="BU133" i="1"/>
  <c r="BT133" i="1"/>
  <c r="BS133" i="1"/>
  <c r="BR133" i="1"/>
  <c r="BX132" i="1"/>
  <c r="BW132" i="1"/>
  <c r="BV132" i="1"/>
  <c r="BU132" i="1"/>
  <c r="BT132" i="1"/>
  <c r="BS132" i="1"/>
  <c r="BR132" i="1"/>
  <c r="BL134" i="1"/>
  <c r="BM134" i="1" s="1"/>
  <c r="BN134" i="1" s="1"/>
  <c r="BO134" i="1" s="1"/>
  <c r="BL70" i="1"/>
  <c r="BM70" i="1" s="1"/>
  <c r="BN70" i="1" s="1"/>
  <c r="BO70" i="1" s="1"/>
  <c r="CB70" i="1"/>
  <c r="CC70" i="1" s="1"/>
  <c r="CA70" i="1"/>
  <c r="AX73" i="1"/>
  <c r="BD73" i="1" s="1"/>
  <c r="CA73" i="1"/>
  <c r="BL73" i="1"/>
  <c r="BM73" i="1" s="1"/>
  <c r="BN73" i="1" s="1"/>
  <c r="BO73" i="1" s="1"/>
  <c r="DK146" i="1" l="1"/>
  <c r="DC146" i="1"/>
  <c r="CZ146" i="1"/>
  <c r="DC131" i="1"/>
  <c r="DB146" i="1"/>
  <c r="CY151" i="1"/>
  <c r="DK151" i="1"/>
  <c r="DI131" i="1"/>
  <c r="DI136" i="1"/>
  <c r="CY141" i="1"/>
  <c r="DB136" i="1"/>
  <c r="DD146" i="1"/>
  <c r="DJ131" i="1"/>
  <c r="CZ131" i="1"/>
  <c r="DG136" i="1"/>
  <c r="DI70" i="1"/>
  <c r="DH146" i="1"/>
  <c r="DG151" i="1"/>
  <c r="DB151" i="1"/>
  <c r="DG141" i="1"/>
  <c r="DH151" i="1"/>
  <c r="DH141" i="1"/>
  <c r="CZ151" i="1"/>
  <c r="CZ141" i="1"/>
  <c r="DI151" i="1"/>
  <c r="DB141" i="1"/>
  <c r="DI141" i="1"/>
  <c r="DI146" i="1"/>
  <c r="DF146" i="1"/>
  <c r="DC151" i="1"/>
  <c r="DA151" i="1"/>
  <c r="DK141" i="1"/>
  <c r="DD141" i="1"/>
  <c r="DA146" i="1"/>
  <c r="DG146" i="1"/>
  <c r="DD151" i="1"/>
  <c r="DJ151" i="1"/>
  <c r="DC141" i="1"/>
  <c r="DA141" i="1"/>
  <c r="DK131" i="1"/>
  <c r="DH131" i="1"/>
  <c r="CY136" i="1"/>
  <c r="DF136" i="1"/>
  <c r="DJ146" i="1"/>
  <c r="CY146" i="1"/>
  <c r="DF151" i="1"/>
  <c r="DF141" i="1"/>
  <c r="DJ141" i="1"/>
  <c r="DC70" i="1"/>
  <c r="DF131" i="1"/>
  <c r="CZ136" i="1"/>
  <c r="DK136" i="1"/>
  <c r="DG70" i="1"/>
  <c r="DB70" i="1"/>
  <c r="DJ70" i="1"/>
  <c r="DB131" i="1"/>
  <c r="DG131" i="1"/>
  <c r="DC136" i="1"/>
  <c r="CY70" i="1"/>
  <c r="DK70" i="1"/>
  <c r="DH136" i="1"/>
  <c r="DD131" i="1"/>
  <c r="DF70" i="1"/>
  <c r="CY131" i="1"/>
  <c r="DA136" i="1"/>
  <c r="DD136" i="1"/>
  <c r="DH70" i="1"/>
  <c r="CZ70" i="1"/>
  <c r="DA131" i="1"/>
  <c r="DJ136" i="1"/>
  <c r="DD70" i="1"/>
  <c r="DA70" i="1"/>
  <c r="CD146" i="1"/>
  <c r="CE146" i="1" s="1"/>
  <c r="CF146" i="1" s="1"/>
  <c r="CD143" i="1"/>
  <c r="CE143" i="1" s="1"/>
  <c r="CF143" i="1" s="1"/>
  <c r="CD154" i="1"/>
  <c r="CE154" i="1" s="1"/>
  <c r="CF154" i="1" s="1"/>
  <c r="CD151" i="1"/>
  <c r="CE151" i="1" s="1"/>
  <c r="CF151" i="1" s="1"/>
  <c r="CD149" i="1"/>
  <c r="CE149" i="1" s="1"/>
  <c r="CF149" i="1" s="1"/>
  <c r="CD147" i="1"/>
  <c r="CE147" i="1" s="1"/>
  <c r="CF147" i="1" s="1"/>
  <c r="BY147" i="1"/>
  <c r="CD144" i="1"/>
  <c r="CE144" i="1" s="1"/>
  <c r="CF144" i="1" s="1"/>
  <c r="AX153" i="1"/>
  <c r="BD153" i="1" s="1"/>
  <c r="BL153" i="1"/>
  <c r="BM153" i="1" s="1"/>
  <c r="BN153" i="1" s="1"/>
  <c r="BO153" i="1" s="1"/>
  <c r="CB153" i="1"/>
  <c r="CC153" i="1" s="1"/>
  <c r="CD141" i="1"/>
  <c r="CE141" i="1" s="1"/>
  <c r="CF141" i="1" s="1"/>
  <c r="BY151" i="1"/>
  <c r="CD148" i="1"/>
  <c r="CE148" i="1" s="1"/>
  <c r="CF148" i="1" s="1"/>
  <c r="BY142" i="1"/>
  <c r="BY143" i="1"/>
  <c r="CD142" i="1"/>
  <c r="CE142" i="1" s="1"/>
  <c r="CF142" i="1" s="1"/>
  <c r="BY144" i="1"/>
  <c r="BY141" i="1"/>
  <c r="BY146" i="1"/>
  <c r="BY154" i="1"/>
  <c r="BY148" i="1"/>
  <c r="BY153" i="1"/>
  <c r="BY152" i="1"/>
  <c r="BY149" i="1"/>
  <c r="CD152" i="1"/>
  <c r="CE152" i="1" s="1"/>
  <c r="CF152" i="1" s="1"/>
  <c r="CD138" i="1"/>
  <c r="CE138" i="1" s="1"/>
  <c r="CF138" i="1" s="1"/>
  <c r="CD136" i="1"/>
  <c r="CE136" i="1" s="1"/>
  <c r="CF136" i="1" s="1"/>
  <c r="CD133" i="1"/>
  <c r="CE133" i="1" s="1"/>
  <c r="CF133" i="1" s="1"/>
  <c r="CD132" i="1"/>
  <c r="CE132" i="1" s="1"/>
  <c r="CF132" i="1" s="1"/>
  <c r="CD131" i="1"/>
  <c r="CE131" i="1" s="1"/>
  <c r="CF131" i="1" s="1"/>
  <c r="CD134" i="1"/>
  <c r="CE134" i="1" s="1"/>
  <c r="CF134" i="1" s="1"/>
  <c r="BY133" i="1"/>
  <c r="BY137" i="1"/>
  <c r="BY138" i="1"/>
  <c r="BY131" i="1"/>
  <c r="BY132" i="1"/>
  <c r="BY136" i="1"/>
  <c r="BY139" i="1"/>
  <c r="BY134" i="1"/>
  <c r="CF139" i="1"/>
  <c r="CD137" i="1"/>
  <c r="CE137" i="1" s="1"/>
  <c r="CF137" i="1" s="1"/>
  <c r="CD153" i="1" l="1"/>
  <c r="CE153" i="1" s="1"/>
  <c r="CF153" i="1" s="1"/>
  <c r="CX25" i="1"/>
  <c r="B25" i="1"/>
  <c r="B35" i="1"/>
  <c r="DZ113" i="3"/>
  <c r="DY113" i="3"/>
  <c r="DX113" i="3"/>
  <c r="DW113" i="3"/>
  <c r="DV113" i="3"/>
  <c r="DU113" i="3"/>
  <c r="DS113" i="3"/>
  <c r="DR113" i="3"/>
  <c r="DQ113" i="3"/>
  <c r="DP113" i="3"/>
  <c r="DO113" i="3"/>
  <c r="DN113" i="3"/>
  <c r="CM113" i="3"/>
  <c r="F113" i="3" s="1"/>
  <c r="CK113" i="3"/>
  <c r="D113" i="3" s="1"/>
  <c r="BJ113" i="3"/>
  <c r="BI113" i="3"/>
  <c r="BH113" i="3"/>
  <c r="BG113" i="3"/>
  <c r="BF113" i="3"/>
  <c r="BA113" i="3"/>
  <c r="AW113" i="3"/>
  <c r="AT113" i="3"/>
  <c r="AS113" i="3"/>
  <c r="AR113" i="3"/>
  <c r="AQ113" i="3"/>
  <c r="AP113" i="3"/>
  <c r="AO113" i="3"/>
  <c r="AN113" i="3"/>
  <c r="AM113" i="3"/>
  <c r="AL113" i="3"/>
  <c r="AK113" i="3"/>
  <c r="AJ113" i="3"/>
  <c r="R113" i="3"/>
  <c r="BE113" i="3" s="1"/>
  <c r="M113" i="3"/>
  <c r="Q113" i="3" s="1"/>
  <c r="L113" i="3"/>
  <c r="P113" i="3" s="1"/>
  <c r="K113" i="3"/>
  <c r="O113" i="3" s="1"/>
  <c r="J113" i="3"/>
  <c r="N113" i="3" s="1"/>
  <c r="H113" i="3"/>
  <c r="G113" i="3"/>
  <c r="E113" i="3"/>
  <c r="C113" i="3"/>
  <c r="B113" i="3"/>
  <c r="DZ112" i="3"/>
  <c r="DY112" i="3"/>
  <c r="DX112" i="3"/>
  <c r="DW112" i="3"/>
  <c r="DV112" i="3"/>
  <c r="DU112" i="3"/>
  <c r="DS112" i="3"/>
  <c r="DR112" i="3"/>
  <c r="DQ112" i="3"/>
  <c r="DP112" i="3"/>
  <c r="DO112" i="3"/>
  <c r="DN112" i="3"/>
  <c r="CM112" i="3"/>
  <c r="F112" i="3" s="1"/>
  <c r="CK112" i="3"/>
  <c r="D112" i="3" s="1"/>
  <c r="BJ112" i="3"/>
  <c r="BI112" i="3"/>
  <c r="BH112" i="3"/>
  <c r="BG112" i="3"/>
  <c r="BF112" i="3"/>
  <c r="BA112" i="3"/>
  <c r="AW112" i="3"/>
  <c r="AT112" i="3"/>
  <c r="AS112" i="3"/>
  <c r="AR112" i="3"/>
  <c r="AQ112" i="3"/>
  <c r="AP112" i="3"/>
  <c r="AO112" i="3"/>
  <c r="AN112" i="3"/>
  <c r="AM112" i="3"/>
  <c r="AL112" i="3"/>
  <c r="AK112" i="3"/>
  <c r="AJ112" i="3"/>
  <c r="R112" i="3"/>
  <c r="BE112" i="3" s="1"/>
  <c r="Q112" i="3"/>
  <c r="M112" i="3"/>
  <c r="L112" i="3"/>
  <c r="P112" i="3" s="1"/>
  <c r="K112" i="3"/>
  <c r="O112" i="3" s="1"/>
  <c r="J112" i="3"/>
  <c r="N112" i="3" s="1"/>
  <c r="H112" i="3"/>
  <c r="G112" i="3"/>
  <c r="E112" i="3"/>
  <c r="C112" i="3"/>
  <c r="B112" i="3"/>
  <c r="DZ111" i="3"/>
  <c r="DY111" i="3"/>
  <c r="DX111" i="3"/>
  <c r="DW111" i="3"/>
  <c r="DV111" i="3"/>
  <c r="DU111" i="3"/>
  <c r="DS111" i="3"/>
  <c r="DR111" i="3"/>
  <c r="DQ111" i="3"/>
  <c r="DP111" i="3"/>
  <c r="DO111" i="3"/>
  <c r="DN111" i="3"/>
  <c r="CM111" i="3"/>
  <c r="F111" i="3" s="1"/>
  <c r="CK111" i="3"/>
  <c r="D111" i="3" s="1"/>
  <c r="BJ111" i="3"/>
  <c r="BI111" i="3"/>
  <c r="BH111" i="3"/>
  <c r="BG111" i="3"/>
  <c r="BF111" i="3"/>
  <c r="BA111" i="3"/>
  <c r="AW111" i="3"/>
  <c r="AT111" i="3"/>
  <c r="AS111" i="3"/>
  <c r="AR111" i="3"/>
  <c r="AQ111" i="3"/>
  <c r="AP111" i="3"/>
  <c r="AO111" i="3"/>
  <c r="AN111" i="3"/>
  <c r="AM111" i="3"/>
  <c r="AL111" i="3"/>
  <c r="AK111" i="3"/>
  <c r="AJ111" i="3"/>
  <c r="R111" i="3"/>
  <c r="BE111" i="3" s="1"/>
  <c r="M111" i="3"/>
  <c r="Q111" i="3" s="1"/>
  <c r="L111" i="3"/>
  <c r="P111" i="3" s="1"/>
  <c r="K111" i="3"/>
  <c r="O111" i="3" s="1"/>
  <c r="J111" i="3"/>
  <c r="N111" i="3" s="1"/>
  <c r="H111" i="3"/>
  <c r="G111" i="3"/>
  <c r="E111" i="3"/>
  <c r="C111" i="3"/>
  <c r="B111" i="3"/>
  <c r="DZ110" i="3"/>
  <c r="DY110" i="3"/>
  <c r="DJ110" i="3" s="1"/>
  <c r="DX110" i="3"/>
  <c r="DW110" i="3"/>
  <c r="DV110" i="3"/>
  <c r="DU110" i="3"/>
  <c r="DS110" i="3"/>
  <c r="DR110" i="3"/>
  <c r="DQ110" i="3"/>
  <c r="DP110" i="3"/>
  <c r="DO110" i="3"/>
  <c r="CZ110" i="3" s="1"/>
  <c r="DN110" i="3"/>
  <c r="DM110" i="3"/>
  <c r="CX110" i="3"/>
  <c r="CM110" i="3"/>
  <c r="F110" i="3" s="1"/>
  <c r="CK110" i="3"/>
  <c r="D110" i="3" s="1"/>
  <c r="BJ110" i="3"/>
  <c r="BI110" i="3"/>
  <c r="BH110" i="3"/>
  <c r="BG110" i="3"/>
  <c r="BF110" i="3"/>
  <c r="BA110" i="3"/>
  <c r="AW110" i="3"/>
  <c r="AT110" i="3"/>
  <c r="AS110" i="3"/>
  <c r="AR110" i="3"/>
  <c r="AQ110" i="3"/>
  <c r="AP110" i="3"/>
  <c r="AO110" i="3"/>
  <c r="AN110" i="3"/>
  <c r="AM110" i="3"/>
  <c r="AL110" i="3"/>
  <c r="AK110" i="3"/>
  <c r="AJ110" i="3"/>
  <c r="R110" i="3"/>
  <c r="BE110" i="3" s="1"/>
  <c r="M110" i="3"/>
  <c r="Q110" i="3" s="1"/>
  <c r="L110" i="3"/>
  <c r="P110" i="3" s="1"/>
  <c r="K110" i="3"/>
  <c r="O110" i="3" s="1"/>
  <c r="CH110" i="3" s="1"/>
  <c r="J110" i="3"/>
  <c r="N110" i="3" s="1"/>
  <c r="H110" i="3"/>
  <c r="G110" i="3"/>
  <c r="E110" i="3"/>
  <c r="C110" i="3"/>
  <c r="B110" i="3"/>
  <c r="CM109" i="3"/>
  <c r="CK109" i="3"/>
  <c r="R109" i="3"/>
  <c r="DZ108" i="3"/>
  <c r="DY108" i="3"/>
  <c r="DX108" i="3"/>
  <c r="DW108" i="3"/>
  <c r="DV108" i="3"/>
  <c r="DU108" i="3"/>
  <c r="DS108" i="3"/>
  <c r="DR108" i="3"/>
  <c r="DQ108" i="3"/>
  <c r="DP108" i="3"/>
  <c r="DO108" i="3"/>
  <c r="DN108" i="3"/>
  <c r="CM108" i="3"/>
  <c r="CK108" i="3"/>
  <c r="D108" i="3" s="1"/>
  <c r="BJ108" i="3"/>
  <c r="BI108" i="3"/>
  <c r="BH108" i="3"/>
  <c r="BG108" i="3"/>
  <c r="BF108" i="3"/>
  <c r="BA108" i="3"/>
  <c r="AW108" i="3"/>
  <c r="AT108" i="3"/>
  <c r="AS108" i="3"/>
  <c r="AR108" i="3"/>
  <c r="AQ108" i="3"/>
  <c r="AP108" i="3"/>
  <c r="AO108" i="3"/>
  <c r="AN108" i="3"/>
  <c r="AM108" i="3"/>
  <c r="AL108" i="3"/>
  <c r="AK108" i="3"/>
  <c r="AJ108" i="3"/>
  <c r="R108" i="3"/>
  <c r="BE108" i="3" s="1"/>
  <c r="M108" i="3"/>
  <c r="Q108" i="3" s="1"/>
  <c r="L108" i="3"/>
  <c r="P108" i="3" s="1"/>
  <c r="K108" i="3"/>
  <c r="O108" i="3" s="1"/>
  <c r="J108" i="3"/>
  <c r="N108" i="3" s="1"/>
  <c r="H108" i="3"/>
  <c r="G108" i="3"/>
  <c r="F108" i="3"/>
  <c r="E108" i="3"/>
  <c r="C108" i="3"/>
  <c r="B108" i="3"/>
  <c r="DZ107" i="3"/>
  <c r="DY107" i="3"/>
  <c r="DX107" i="3"/>
  <c r="DW107" i="3"/>
  <c r="DV107" i="3"/>
  <c r="DU107" i="3"/>
  <c r="DS107" i="3"/>
  <c r="DR107" i="3"/>
  <c r="DQ107" i="3"/>
  <c r="DP107" i="3"/>
  <c r="DO107" i="3"/>
  <c r="DN107" i="3"/>
  <c r="CM107" i="3"/>
  <c r="F107" i="3" s="1"/>
  <c r="CK107" i="3"/>
  <c r="D107" i="3" s="1"/>
  <c r="BJ107" i="3"/>
  <c r="BI107" i="3"/>
  <c r="BH107" i="3"/>
  <c r="BG107" i="3"/>
  <c r="BF107" i="3"/>
  <c r="BA107" i="3"/>
  <c r="AW107" i="3"/>
  <c r="AT107" i="3"/>
  <c r="AS107" i="3"/>
  <c r="AR107" i="3"/>
  <c r="AQ107" i="3"/>
  <c r="AP107" i="3"/>
  <c r="AO107" i="3"/>
  <c r="AN107" i="3"/>
  <c r="AM107" i="3"/>
  <c r="AL107" i="3"/>
  <c r="AK107" i="3"/>
  <c r="AJ107" i="3"/>
  <c r="R107" i="3"/>
  <c r="M107" i="3"/>
  <c r="Q107" i="3" s="1"/>
  <c r="L107" i="3"/>
  <c r="P107" i="3" s="1"/>
  <c r="K107" i="3"/>
  <c r="O107" i="3" s="1"/>
  <c r="J107" i="3"/>
  <c r="N107" i="3" s="1"/>
  <c r="H107" i="3"/>
  <c r="G107" i="3"/>
  <c r="E107" i="3"/>
  <c r="C107" i="3"/>
  <c r="B107" i="3"/>
  <c r="DZ106" i="3"/>
  <c r="DY106" i="3"/>
  <c r="DX106" i="3"/>
  <c r="DW106" i="3"/>
  <c r="DV106" i="3"/>
  <c r="DU106" i="3"/>
  <c r="DS106" i="3"/>
  <c r="DR106" i="3"/>
  <c r="DQ106" i="3"/>
  <c r="DP106" i="3"/>
  <c r="DO106" i="3"/>
  <c r="DN106" i="3"/>
  <c r="CM106" i="3"/>
  <c r="F106" i="3" s="1"/>
  <c r="CK106" i="3"/>
  <c r="D106" i="3" s="1"/>
  <c r="BJ106" i="3"/>
  <c r="BI106" i="3"/>
  <c r="BH106" i="3"/>
  <c r="BG106" i="3"/>
  <c r="BA106" i="3"/>
  <c r="AW106" i="3"/>
  <c r="AT106" i="3"/>
  <c r="AS106" i="3"/>
  <c r="AR106" i="3"/>
  <c r="AQ106" i="3"/>
  <c r="AP106" i="3"/>
  <c r="AO106" i="3"/>
  <c r="AN106" i="3"/>
  <c r="AM106" i="3"/>
  <c r="AL106" i="3"/>
  <c r="AK106" i="3"/>
  <c r="AJ106" i="3"/>
  <c r="R106" i="3"/>
  <c r="BE106" i="3" s="1"/>
  <c r="O106" i="3"/>
  <c r="CH106" i="3" s="1"/>
  <c r="M106" i="3"/>
  <c r="Q106" i="3" s="1"/>
  <c r="L106" i="3"/>
  <c r="P106" i="3" s="1"/>
  <c r="K106" i="3"/>
  <c r="J106" i="3"/>
  <c r="N106" i="3" s="1"/>
  <c r="H106" i="3"/>
  <c r="G106" i="3"/>
  <c r="E106" i="3"/>
  <c r="C106" i="3"/>
  <c r="B106" i="3"/>
  <c r="DZ105" i="3"/>
  <c r="DY105" i="3"/>
  <c r="DX105" i="3"/>
  <c r="DW105" i="3"/>
  <c r="DV105" i="3"/>
  <c r="DU105" i="3"/>
  <c r="DS105" i="3"/>
  <c r="DR105" i="3"/>
  <c r="DQ105" i="3"/>
  <c r="DP105" i="3"/>
  <c r="DO105" i="3"/>
  <c r="DN105" i="3"/>
  <c r="DM105" i="3"/>
  <c r="CX105" i="3"/>
  <c r="CM105" i="3"/>
  <c r="F105" i="3" s="1"/>
  <c r="CK105" i="3"/>
  <c r="D105" i="3" s="1"/>
  <c r="BJ105" i="3"/>
  <c r="BI105" i="3"/>
  <c r="BH105" i="3"/>
  <c r="BG105" i="3"/>
  <c r="BF105" i="3"/>
  <c r="BA105" i="3"/>
  <c r="AW105" i="3"/>
  <c r="AT105" i="3"/>
  <c r="AS105" i="3"/>
  <c r="AR105" i="3"/>
  <c r="AQ105" i="3"/>
  <c r="AP105" i="3"/>
  <c r="AO105" i="3"/>
  <c r="AN105" i="3"/>
  <c r="AM105" i="3"/>
  <c r="AL105" i="3"/>
  <c r="AK105" i="3"/>
  <c r="AJ105" i="3"/>
  <c r="R105" i="3"/>
  <c r="M105" i="3"/>
  <c r="Q105" i="3" s="1"/>
  <c r="L105" i="3"/>
  <c r="P105" i="3" s="1"/>
  <c r="K105" i="3"/>
  <c r="O105" i="3" s="1"/>
  <c r="J105" i="3"/>
  <c r="N105" i="3" s="1"/>
  <c r="H105" i="3"/>
  <c r="G105" i="3"/>
  <c r="E105" i="3"/>
  <c r="C105" i="3"/>
  <c r="B105" i="3"/>
  <c r="CM104" i="3"/>
  <c r="CK104" i="3"/>
  <c r="R104" i="3"/>
  <c r="DZ103" i="3"/>
  <c r="DY103" i="3"/>
  <c r="DX103" i="3"/>
  <c r="DW103" i="3"/>
  <c r="DV103" i="3"/>
  <c r="DU103" i="3"/>
  <c r="DS103" i="3"/>
  <c r="DR103" i="3"/>
  <c r="DQ103" i="3"/>
  <c r="DP103" i="3"/>
  <c r="DO103" i="3"/>
  <c r="DN103" i="3"/>
  <c r="CM103" i="3"/>
  <c r="F103" i="3" s="1"/>
  <c r="CK103" i="3"/>
  <c r="D103" i="3" s="1"/>
  <c r="BJ103" i="3"/>
  <c r="BI103" i="3"/>
  <c r="BH103" i="3"/>
  <c r="BG103" i="3"/>
  <c r="BF103" i="3"/>
  <c r="BA103" i="3"/>
  <c r="AW103" i="3"/>
  <c r="AT103" i="3"/>
  <c r="AS103" i="3"/>
  <c r="AR103" i="3"/>
  <c r="AQ103" i="3"/>
  <c r="AP103" i="3"/>
  <c r="AO103" i="3"/>
  <c r="AN103" i="3"/>
  <c r="AM103" i="3"/>
  <c r="AL103" i="3"/>
  <c r="AK103" i="3"/>
  <c r="AJ103" i="3"/>
  <c r="R103" i="3"/>
  <c r="BE103" i="3" s="1"/>
  <c r="M103" i="3"/>
  <c r="Q103" i="3" s="1"/>
  <c r="L103" i="3"/>
  <c r="P103" i="3" s="1"/>
  <c r="K103" i="3"/>
  <c r="O103" i="3" s="1"/>
  <c r="J103" i="3"/>
  <c r="N103" i="3" s="1"/>
  <c r="H103" i="3"/>
  <c r="G103" i="3"/>
  <c r="E103" i="3"/>
  <c r="C103" i="3"/>
  <c r="B103" i="3"/>
  <c r="DZ102" i="3"/>
  <c r="DY102" i="3"/>
  <c r="DX102" i="3"/>
  <c r="DW102" i="3"/>
  <c r="DV102" i="3"/>
  <c r="DU102" i="3"/>
  <c r="DS102" i="3"/>
  <c r="DR102" i="3"/>
  <c r="DQ102" i="3"/>
  <c r="DP102" i="3"/>
  <c r="DO102" i="3"/>
  <c r="DN102" i="3"/>
  <c r="CM102" i="3"/>
  <c r="F102" i="3" s="1"/>
  <c r="CK102" i="3"/>
  <c r="D102" i="3" s="1"/>
  <c r="BJ102" i="3"/>
  <c r="BI102" i="3"/>
  <c r="BH102" i="3"/>
  <c r="BG102" i="3"/>
  <c r="BA102" i="3"/>
  <c r="AW102" i="3"/>
  <c r="AT102" i="3"/>
  <c r="AS102" i="3"/>
  <c r="AR102" i="3"/>
  <c r="AQ102" i="3"/>
  <c r="AP102" i="3"/>
  <c r="AO102" i="3"/>
  <c r="AN102" i="3"/>
  <c r="AM102" i="3"/>
  <c r="AL102" i="3"/>
  <c r="AK102" i="3"/>
  <c r="AJ102" i="3"/>
  <c r="R102" i="3"/>
  <c r="BE102" i="3" s="1"/>
  <c r="M102" i="3"/>
  <c r="Q102" i="3" s="1"/>
  <c r="L102" i="3"/>
  <c r="P102" i="3" s="1"/>
  <c r="K102" i="3"/>
  <c r="O102" i="3" s="1"/>
  <c r="CH102" i="3" s="1"/>
  <c r="J102" i="3"/>
  <c r="N102" i="3" s="1"/>
  <c r="H102" i="3"/>
  <c r="G102" i="3"/>
  <c r="E102" i="3"/>
  <c r="C102" i="3"/>
  <c r="B102" i="3"/>
  <c r="DZ101" i="3"/>
  <c r="DY101" i="3"/>
  <c r="DX101" i="3"/>
  <c r="DW101" i="3"/>
  <c r="DV101" i="3"/>
  <c r="DU101" i="3"/>
  <c r="DS101" i="3"/>
  <c r="DR101" i="3"/>
  <c r="DQ101" i="3"/>
  <c r="DP101" i="3"/>
  <c r="DO101" i="3"/>
  <c r="DN101" i="3"/>
  <c r="CM101" i="3"/>
  <c r="F101" i="3" s="1"/>
  <c r="CK101" i="3"/>
  <c r="D101" i="3" s="1"/>
  <c r="BJ101" i="3"/>
  <c r="BI101" i="3"/>
  <c r="BH101" i="3"/>
  <c r="BG101" i="3"/>
  <c r="BA101" i="3"/>
  <c r="AW101" i="3"/>
  <c r="AT101" i="3"/>
  <c r="AS101" i="3"/>
  <c r="AR101" i="3"/>
  <c r="AQ101" i="3"/>
  <c r="AP101" i="3"/>
  <c r="AO101" i="3"/>
  <c r="AN101" i="3"/>
  <c r="AM101" i="3"/>
  <c r="AL101" i="3"/>
  <c r="AK101" i="3"/>
  <c r="AJ101" i="3"/>
  <c r="R101" i="3"/>
  <c r="BE101" i="3" s="1"/>
  <c r="O101" i="3"/>
  <c r="CH101" i="3" s="1"/>
  <c r="M101" i="3"/>
  <c r="Q101" i="3" s="1"/>
  <c r="L101" i="3"/>
  <c r="P101" i="3" s="1"/>
  <c r="K101" i="3"/>
  <c r="J101" i="3"/>
  <c r="N101" i="3" s="1"/>
  <c r="H101" i="3"/>
  <c r="G101" i="3"/>
  <c r="E101" i="3"/>
  <c r="C101" i="3"/>
  <c r="B101" i="3"/>
  <c r="DZ100" i="3"/>
  <c r="DY100" i="3"/>
  <c r="DX100" i="3"/>
  <c r="DW100" i="3"/>
  <c r="DV100" i="3"/>
  <c r="DU100" i="3"/>
  <c r="DS100" i="3"/>
  <c r="DR100" i="3"/>
  <c r="DQ100" i="3"/>
  <c r="DP100" i="3"/>
  <c r="DO100" i="3"/>
  <c r="DN100" i="3"/>
  <c r="DM100" i="3"/>
  <c r="CX100" i="3"/>
  <c r="CM100" i="3"/>
  <c r="F100" i="3" s="1"/>
  <c r="CK100" i="3"/>
  <c r="D100" i="3" s="1"/>
  <c r="BJ100" i="3"/>
  <c r="BI100" i="3"/>
  <c r="BH100" i="3"/>
  <c r="BG100" i="3"/>
  <c r="BF100" i="3"/>
  <c r="BE100" i="3"/>
  <c r="BA100" i="3"/>
  <c r="AW100" i="3"/>
  <c r="AT100" i="3"/>
  <c r="AS100" i="3"/>
  <c r="AR100" i="3"/>
  <c r="AQ100" i="3"/>
  <c r="AP100" i="3"/>
  <c r="AO100" i="3"/>
  <c r="AN100" i="3"/>
  <c r="AM100" i="3"/>
  <c r="AL100" i="3"/>
  <c r="AK100" i="3"/>
  <c r="AJ100" i="3"/>
  <c r="R100" i="3"/>
  <c r="M100" i="3"/>
  <c r="Q100" i="3" s="1"/>
  <c r="L100" i="3"/>
  <c r="P100" i="3" s="1"/>
  <c r="K100" i="3"/>
  <c r="O100" i="3" s="1"/>
  <c r="CH100" i="3" s="1"/>
  <c r="J100" i="3"/>
  <c r="N100" i="3" s="1"/>
  <c r="H100" i="3"/>
  <c r="G100" i="3"/>
  <c r="E100" i="3"/>
  <c r="C100" i="3"/>
  <c r="B100" i="3"/>
  <c r="CM99" i="3"/>
  <c r="CK99" i="3"/>
  <c r="R99" i="3"/>
  <c r="DZ98" i="3"/>
  <c r="DY98" i="3"/>
  <c r="DX98" i="3"/>
  <c r="DW98" i="3"/>
  <c r="DV98" i="3"/>
  <c r="DU98" i="3"/>
  <c r="DS98" i="3"/>
  <c r="DR98" i="3"/>
  <c r="DQ98" i="3"/>
  <c r="DP98" i="3"/>
  <c r="DO98" i="3"/>
  <c r="DN98" i="3"/>
  <c r="CM98" i="3"/>
  <c r="F98" i="3" s="1"/>
  <c r="CK98" i="3"/>
  <c r="D98" i="3" s="1"/>
  <c r="BJ98" i="3"/>
  <c r="BI98" i="3"/>
  <c r="BH98" i="3"/>
  <c r="BG98" i="3"/>
  <c r="BA98" i="3"/>
  <c r="AW98" i="3"/>
  <c r="AT98" i="3"/>
  <c r="AS98" i="3"/>
  <c r="AR98" i="3"/>
  <c r="AQ98" i="3"/>
  <c r="AP98" i="3"/>
  <c r="AO98" i="3"/>
  <c r="AN98" i="3"/>
  <c r="AM98" i="3"/>
  <c r="AL98" i="3"/>
  <c r="AK98" i="3"/>
  <c r="AJ98" i="3"/>
  <c r="R98" i="3"/>
  <c r="BF98" i="3" s="1"/>
  <c r="M98" i="3"/>
  <c r="Q98" i="3" s="1"/>
  <c r="L98" i="3"/>
  <c r="P98" i="3" s="1"/>
  <c r="K98" i="3"/>
  <c r="O98" i="3" s="1"/>
  <c r="J98" i="3"/>
  <c r="N98" i="3" s="1"/>
  <c r="H98" i="3"/>
  <c r="G98" i="3"/>
  <c r="E98" i="3"/>
  <c r="C98" i="3"/>
  <c r="B98" i="3"/>
  <c r="DZ97" i="3"/>
  <c r="DY97" i="3"/>
  <c r="DX97" i="3"/>
  <c r="DW97" i="3"/>
  <c r="DV97" i="3"/>
  <c r="DU97" i="3"/>
  <c r="DS97" i="3"/>
  <c r="DR97" i="3"/>
  <c r="DQ97" i="3"/>
  <c r="DP97" i="3"/>
  <c r="DO97" i="3"/>
  <c r="DN97" i="3"/>
  <c r="CM97" i="3"/>
  <c r="F97" i="3" s="1"/>
  <c r="CK97" i="3"/>
  <c r="D97" i="3" s="1"/>
  <c r="BJ97" i="3"/>
  <c r="BI97" i="3"/>
  <c r="BH97" i="3"/>
  <c r="BA97" i="3"/>
  <c r="AW97" i="3"/>
  <c r="AT97" i="3"/>
  <c r="AS97" i="3"/>
  <c r="AR97" i="3"/>
  <c r="AQ97" i="3"/>
  <c r="AP97" i="3"/>
  <c r="AO97" i="3"/>
  <c r="AN97" i="3"/>
  <c r="AM97" i="3"/>
  <c r="AL97" i="3"/>
  <c r="AK97" i="3"/>
  <c r="AJ97" i="3"/>
  <c r="R97" i="3"/>
  <c r="BE97" i="3" s="1"/>
  <c r="M97" i="3"/>
  <c r="Q97" i="3" s="1"/>
  <c r="L97" i="3"/>
  <c r="P97" i="3" s="1"/>
  <c r="K97" i="3"/>
  <c r="O97" i="3" s="1"/>
  <c r="J97" i="3"/>
  <c r="N97" i="3" s="1"/>
  <c r="H97" i="3"/>
  <c r="G97" i="3"/>
  <c r="E97" i="3"/>
  <c r="C97" i="3"/>
  <c r="B97" i="3"/>
  <c r="DZ96" i="3"/>
  <c r="DY96" i="3"/>
  <c r="DX96" i="3"/>
  <c r="DW96" i="3"/>
  <c r="DV96" i="3"/>
  <c r="DU96" i="3"/>
  <c r="DS96" i="3"/>
  <c r="DR96" i="3"/>
  <c r="DQ96" i="3"/>
  <c r="DP96" i="3"/>
  <c r="DO96" i="3"/>
  <c r="DN96" i="3"/>
  <c r="CM96" i="3"/>
  <c r="F96" i="3" s="1"/>
  <c r="CK96" i="3"/>
  <c r="D96" i="3" s="1"/>
  <c r="BJ96" i="3"/>
  <c r="BI96" i="3"/>
  <c r="BH96" i="3"/>
  <c r="BG96" i="3"/>
  <c r="BF96" i="3"/>
  <c r="BA96" i="3"/>
  <c r="AW96" i="3"/>
  <c r="AT96" i="3"/>
  <c r="AS96" i="3"/>
  <c r="AR96" i="3"/>
  <c r="AQ96" i="3"/>
  <c r="AP96" i="3"/>
  <c r="AO96" i="3"/>
  <c r="AN96" i="3"/>
  <c r="AM96" i="3"/>
  <c r="AL96" i="3"/>
  <c r="AK96" i="3"/>
  <c r="AJ96" i="3"/>
  <c r="R96" i="3"/>
  <c r="BE96" i="3" s="1"/>
  <c r="Q96" i="3"/>
  <c r="M96" i="3"/>
  <c r="L96" i="3"/>
  <c r="P96" i="3" s="1"/>
  <c r="K96" i="3"/>
  <c r="O96" i="3" s="1"/>
  <c r="J96" i="3"/>
  <c r="N96" i="3" s="1"/>
  <c r="H96" i="3"/>
  <c r="G96" i="3"/>
  <c r="E96" i="3"/>
  <c r="C96" i="3"/>
  <c r="B96" i="3"/>
  <c r="DZ95" i="3"/>
  <c r="DY95" i="3"/>
  <c r="DX95" i="3"/>
  <c r="DW95" i="3"/>
  <c r="DV95" i="3"/>
  <c r="DU95" i="3"/>
  <c r="DS95" i="3"/>
  <c r="DR95" i="3"/>
  <c r="DQ95" i="3"/>
  <c r="DP95" i="3"/>
  <c r="DO95" i="3"/>
  <c r="DN95" i="3"/>
  <c r="DM95" i="3"/>
  <c r="CX95" i="3"/>
  <c r="CM95" i="3"/>
  <c r="F95" i="3" s="1"/>
  <c r="CK95" i="3"/>
  <c r="D95" i="3" s="1"/>
  <c r="BJ95" i="3"/>
  <c r="BI95" i="3"/>
  <c r="BH95" i="3"/>
  <c r="BE95" i="3"/>
  <c r="BA95" i="3"/>
  <c r="AW95" i="3"/>
  <c r="AT95" i="3"/>
  <c r="AS95" i="3"/>
  <c r="AR95" i="3"/>
  <c r="AQ95" i="3"/>
  <c r="AP95" i="3"/>
  <c r="AO95" i="3"/>
  <c r="AN95" i="3"/>
  <c r="AM95" i="3"/>
  <c r="AL95" i="3"/>
  <c r="AK95" i="3"/>
  <c r="AJ95" i="3"/>
  <c r="R95" i="3"/>
  <c r="M95" i="3"/>
  <c r="Q95" i="3" s="1"/>
  <c r="L95" i="3"/>
  <c r="P95" i="3" s="1"/>
  <c r="K95" i="3"/>
  <c r="O95" i="3" s="1"/>
  <c r="J95" i="3"/>
  <c r="N95" i="3" s="1"/>
  <c r="H95" i="3"/>
  <c r="G95" i="3"/>
  <c r="E95" i="3"/>
  <c r="C95" i="3"/>
  <c r="B95" i="3"/>
  <c r="CM94" i="3"/>
  <c r="CK94" i="3"/>
  <c r="R94" i="3"/>
  <c r="DZ93" i="3"/>
  <c r="DY93" i="3"/>
  <c r="DX93" i="3"/>
  <c r="DW93" i="3"/>
  <c r="DV93" i="3"/>
  <c r="DU93" i="3"/>
  <c r="DS93" i="3"/>
  <c r="DR93" i="3"/>
  <c r="DQ93" i="3"/>
  <c r="DP93" i="3"/>
  <c r="DO93" i="3"/>
  <c r="DN93" i="3"/>
  <c r="CM93" i="3"/>
  <c r="F93" i="3" s="1"/>
  <c r="CK93" i="3"/>
  <c r="D93" i="3" s="1"/>
  <c r="BJ93" i="3"/>
  <c r="BI93" i="3"/>
  <c r="BH93" i="3"/>
  <c r="BG93" i="3"/>
  <c r="BA93" i="3"/>
  <c r="AW93" i="3"/>
  <c r="AT93" i="3"/>
  <c r="AS93" i="3"/>
  <c r="AR93" i="3"/>
  <c r="AQ93" i="3"/>
  <c r="AP93" i="3"/>
  <c r="AO93" i="3"/>
  <c r="AN93" i="3"/>
  <c r="AM93" i="3"/>
  <c r="AL93" i="3"/>
  <c r="AK93" i="3"/>
  <c r="AJ93" i="3"/>
  <c r="R93" i="3"/>
  <c r="BE93" i="3" s="1"/>
  <c r="M93" i="3"/>
  <c r="Q93" i="3" s="1"/>
  <c r="BY93" i="3" s="1"/>
  <c r="L93" i="3"/>
  <c r="P93" i="3" s="1"/>
  <c r="K93" i="3"/>
  <c r="O93" i="3" s="1"/>
  <c r="CH93" i="3" s="1"/>
  <c r="J93" i="3"/>
  <c r="N93" i="3" s="1"/>
  <c r="H93" i="3"/>
  <c r="G93" i="3"/>
  <c r="E93" i="3"/>
  <c r="C93" i="3"/>
  <c r="B93" i="3"/>
  <c r="DZ92" i="3"/>
  <c r="DY92" i="3"/>
  <c r="DX92" i="3"/>
  <c r="DW92" i="3"/>
  <c r="DV92" i="3"/>
  <c r="DU92" i="3"/>
  <c r="DS92" i="3"/>
  <c r="DR92" i="3"/>
  <c r="DQ92" i="3"/>
  <c r="DP92" i="3"/>
  <c r="DO92" i="3"/>
  <c r="DN92" i="3"/>
  <c r="CM92" i="3"/>
  <c r="F92" i="3" s="1"/>
  <c r="CK92" i="3"/>
  <c r="D92" i="3" s="1"/>
  <c r="BJ92" i="3"/>
  <c r="BI92" i="3"/>
  <c r="BH92" i="3"/>
  <c r="BA92" i="3"/>
  <c r="AW92" i="3"/>
  <c r="AT92" i="3"/>
  <c r="AS92" i="3"/>
  <c r="AR92" i="3"/>
  <c r="AQ92" i="3"/>
  <c r="AP92" i="3"/>
  <c r="AO92" i="3"/>
  <c r="AN92" i="3"/>
  <c r="AM92" i="3"/>
  <c r="AL92" i="3"/>
  <c r="AK92" i="3"/>
  <c r="AJ92" i="3"/>
  <c r="R92" i="3"/>
  <c r="BF92" i="3" s="1"/>
  <c r="M92" i="3"/>
  <c r="Q92" i="3" s="1"/>
  <c r="L92" i="3"/>
  <c r="P92" i="3" s="1"/>
  <c r="K92" i="3"/>
  <c r="O92" i="3" s="1"/>
  <c r="J92" i="3"/>
  <c r="N92" i="3" s="1"/>
  <c r="H92" i="3"/>
  <c r="G92" i="3"/>
  <c r="E92" i="3"/>
  <c r="C92" i="3"/>
  <c r="B92" i="3"/>
  <c r="DZ91" i="3"/>
  <c r="DY91" i="3"/>
  <c r="DX91" i="3"/>
  <c r="DI90" i="3" s="1"/>
  <c r="DW91" i="3"/>
  <c r="DV91" i="3"/>
  <c r="DU91" i="3"/>
  <c r="DS91" i="3"/>
  <c r="DR91" i="3"/>
  <c r="DQ91" i="3"/>
  <c r="DP91" i="3"/>
  <c r="DO91" i="3"/>
  <c r="DN91" i="3"/>
  <c r="CM91" i="3"/>
  <c r="F91" i="3" s="1"/>
  <c r="CK91" i="3"/>
  <c r="D91" i="3" s="1"/>
  <c r="BJ91" i="3"/>
  <c r="BI91" i="3"/>
  <c r="BH91" i="3"/>
  <c r="BG91" i="3"/>
  <c r="BF91" i="3"/>
  <c r="BA91" i="3"/>
  <c r="AW91" i="3"/>
  <c r="AT91" i="3"/>
  <c r="AS91" i="3"/>
  <c r="AR91" i="3"/>
  <c r="AQ91" i="3"/>
  <c r="AP91" i="3"/>
  <c r="AO91" i="3"/>
  <c r="AN91" i="3"/>
  <c r="AM91" i="3"/>
  <c r="AL91" i="3"/>
  <c r="AK91" i="3"/>
  <c r="AJ91" i="3"/>
  <c r="R91" i="3"/>
  <c r="BE91" i="3" s="1"/>
  <c r="M91" i="3"/>
  <c r="Q91" i="3" s="1"/>
  <c r="L91" i="3"/>
  <c r="P91" i="3" s="1"/>
  <c r="K91" i="3"/>
  <c r="O91" i="3" s="1"/>
  <c r="CH91" i="3" s="1"/>
  <c r="J91" i="3"/>
  <c r="N91" i="3" s="1"/>
  <c r="H91" i="3"/>
  <c r="G91" i="3"/>
  <c r="E91" i="3"/>
  <c r="C91" i="3"/>
  <c r="B91" i="3"/>
  <c r="DZ90" i="3"/>
  <c r="DY90" i="3"/>
  <c r="DX90" i="3"/>
  <c r="DW90" i="3"/>
  <c r="DV90" i="3"/>
  <c r="DU90" i="3"/>
  <c r="DS90" i="3"/>
  <c r="DR90" i="3"/>
  <c r="DC90" i="3" s="1"/>
  <c r="DQ90" i="3"/>
  <c r="DP90" i="3"/>
  <c r="DO90" i="3"/>
  <c r="DN90" i="3"/>
  <c r="DM90" i="3"/>
  <c r="CX90" i="3"/>
  <c r="CM90" i="3"/>
  <c r="CK90" i="3"/>
  <c r="D90" i="3" s="1"/>
  <c r="BJ90" i="3"/>
  <c r="BI90" i="3"/>
  <c r="BH90" i="3"/>
  <c r="BA90" i="3"/>
  <c r="AW90" i="3"/>
  <c r="AT90" i="3"/>
  <c r="AS90" i="3"/>
  <c r="AR90" i="3"/>
  <c r="AQ90" i="3"/>
  <c r="AP90" i="3"/>
  <c r="AO90" i="3"/>
  <c r="AN90" i="3"/>
  <c r="AM90" i="3"/>
  <c r="AL90" i="3"/>
  <c r="AK90" i="3"/>
  <c r="AJ90" i="3"/>
  <c r="R90" i="3"/>
  <c r="BF90" i="3" s="1"/>
  <c r="M90" i="3"/>
  <c r="Q90" i="3" s="1"/>
  <c r="L90" i="3"/>
  <c r="P90" i="3" s="1"/>
  <c r="K90" i="3"/>
  <c r="O90" i="3" s="1"/>
  <c r="J90" i="3"/>
  <c r="N90" i="3" s="1"/>
  <c r="H90" i="3"/>
  <c r="G90" i="3"/>
  <c r="F90" i="3"/>
  <c r="E90" i="3"/>
  <c r="C90" i="3"/>
  <c r="B90" i="3"/>
  <c r="CM89" i="3"/>
  <c r="CK89" i="3"/>
  <c r="DZ88" i="3"/>
  <c r="DY88" i="3"/>
  <c r="DX88" i="3"/>
  <c r="DW88" i="3"/>
  <c r="DV88" i="3"/>
  <c r="DU88" i="3"/>
  <c r="DS88" i="3"/>
  <c r="DR88" i="3"/>
  <c r="DQ88" i="3"/>
  <c r="DP88" i="3"/>
  <c r="DO88" i="3"/>
  <c r="DN88" i="3"/>
  <c r="CM88" i="3"/>
  <c r="F88" i="3" s="1"/>
  <c r="CK88" i="3"/>
  <c r="D88" i="3" s="1"/>
  <c r="BJ88" i="3"/>
  <c r="BI88" i="3"/>
  <c r="BH88" i="3"/>
  <c r="BG88" i="3"/>
  <c r="BF88" i="3"/>
  <c r="BA88" i="3"/>
  <c r="AW88" i="3"/>
  <c r="AT88" i="3"/>
  <c r="AS88" i="3"/>
  <c r="AR88" i="3"/>
  <c r="AQ88" i="3"/>
  <c r="AP88" i="3"/>
  <c r="AO88" i="3"/>
  <c r="AN88" i="3"/>
  <c r="AM88" i="3"/>
  <c r="AL88" i="3"/>
  <c r="AK88" i="3"/>
  <c r="AJ88" i="3"/>
  <c r="R88" i="3"/>
  <c r="BE88" i="3" s="1"/>
  <c r="M88" i="3"/>
  <c r="Q88" i="3" s="1"/>
  <c r="L88" i="3"/>
  <c r="P88" i="3" s="1"/>
  <c r="K88" i="3"/>
  <c r="O88" i="3" s="1"/>
  <c r="J88" i="3"/>
  <c r="N88" i="3" s="1"/>
  <c r="H88" i="3"/>
  <c r="G88" i="3"/>
  <c r="E88" i="3"/>
  <c r="C88" i="3"/>
  <c r="B88" i="3"/>
  <c r="DZ87" i="3"/>
  <c r="DY87" i="3"/>
  <c r="DX87" i="3"/>
  <c r="DW87" i="3"/>
  <c r="DV87" i="3"/>
  <c r="DU87" i="3"/>
  <c r="DS87" i="3"/>
  <c r="DR87" i="3"/>
  <c r="DQ87" i="3"/>
  <c r="DP87" i="3"/>
  <c r="DO87" i="3"/>
  <c r="DN87" i="3"/>
  <c r="CM87" i="3"/>
  <c r="F87" i="3" s="1"/>
  <c r="CK87" i="3"/>
  <c r="D87" i="3" s="1"/>
  <c r="BJ87" i="3"/>
  <c r="BI87" i="3"/>
  <c r="BH87" i="3"/>
  <c r="BG87" i="3"/>
  <c r="BA87" i="3"/>
  <c r="AW87" i="3"/>
  <c r="AT87" i="3"/>
  <c r="AS87" i="3"/>
  <c r="AR87" i="3"/>
  <c r="AQ87" i="3"/>
  <c r="AP87" i="3"/>
  <c r="AO87" i="3"/>
  <c r="AN87" i="3"/>
  <c r="AM87" i="3"/>
  <c r="AL87" i="3"/>
  <c r="AK87" i="3"/>
  <c r="AJ87" i="3"/>
  <c r="R87" i="3"/>
  <c r="BE87" i="3" s="1"/>
  <c r="M87" i="3"/>
  <c r="Q87" i="3" s="1"/>
  <c r="L87" i="3"/>
  <c r="P87" i="3" s="1"/>
  <c r="K87" i="3"/>
  <c r="O87" i="3" s="1"/>
  <c r="J87" i="3"/>
  <c r="N87" i="3" s="1"/>
  <c r="H87" i="3"/>
  <c r="G87" i="3"/>
  <c r="E87" i="3"/>
  <c r="C87" i="3"/>
  <c r="B87" i="3"/>
  <c r="DZ86" i="3"/>
  <c r="DY86" i="3"/>
  <c r="DX86" i="3"/>
  <c r="DW86" i="3"/>
  <c r="DV86" i="3"/>
  <c r="DU86" i="3"/>
  <c r="DS86" i="3"/>
  <c r="DR86" i="3"/>
  <c r="DQ86" i="3"/>
  <c r="DP86" i="3"/>
  <c r="DO86" i="3"/>
  <c r="DN86" i="3"/>
  <c r="CM86" i="3"/>
  <c r="F86" i="3" s="1"/>
  <c r="CK86" i="3"/>
  <c r="D86" i="3" s="1"/>
  <c r="BJ86" i="3"/>
  <c r="BI86" i="3"/>
  <c r="BH86" i="3"/>
  <c r="BG86" i="3"/>
  <c r="BA86" i="3"/>
  <c r="AW86" i="3"/>
  <c r="AT86" i="3"/>
  <c r="AS86" i="3"/>
  <c r="AR86" i="3"/>
  <c r="AQ86" i="3"/>
  <c r="AP86" i="3"/>
  <c r="AO86" i="3"/>
  <c r="AN86" i="3"/>
  <c r="AM86" i="3"/>
  <c r="AL86" i="3"/>
  <c r="AK86" i="3"/>
  <c r="AJ86" i="3"/>
  <c r="R86" i="3"/>
  <c r="M86" i="3"/>
  <c r="Q86" i="3" s="1"/>
  <c r="L86" i="3"/>
  <c r="P86" i="3" s="1"/>
  <c r="K86" i="3"/>
  <c r="O86" i="3" s="1"/>
  <c r="J86" i="3"/>
  <c r="N86" i="3" s="1"/>
  <c r="H86" i="3"/>
  <c r="G86" i="3"/>
  <c r="E86" i="3"/>
  <c r="C86" i="3"/>
  <c r="B86" i="3"/>
  <c r="DZ85" i="3"/>
  <c r="DY85" i="3"/>
  <c r="DX85" i="3"/>
  <c r="DW85" i="3"/>
  <c r="DV85" i="3"/>
  <c r="DU85" i="3"/>
  <c r="DS85" i="3"/>
  <c r="DR85" i="3"/>
  <c r="DQ85" i="3"/>
  <c r="DP85" i="3"/>
  <c r="DO85" i="3"/>
  <c r="DN85" i="3"/>
  <c r="DM85" i="3"/>
  <c r="CX85" i="3"/>
  <c r="CM85" i="3"/>
  <c r="F85" i="3" s="1"/>
  <c r="CK85" i="3"/>
  <c r="D85" i="3" s="1"/>
  <c r="BJ85" i="3"/>
  <c r="BI85" i="3"/>
  <c r="BH85" i="3"/>
  <c r="BG85" i="3"/>
  <c r="BA85" i="3"/>
  <c r="AW85" i="3"/>
  <c r="AT85" i="3"/>
  <c r="AS85" i="3"/>
  <c r="AR85" i="3"/>
  <c r="AQ85" i="3"/>
  <c r="AP85" i="3"/>
  <c r="AO85" i="3"/>
  <c r="AN85" i="3"/>
  <c r="AM85" i="3"/>
  <c r="AL85" i="3"/>
  <c r="AK85" i="3"/>
  <c r="AJ85" i="3"/>
  <c r="R85" i="3"/>
  <c r="BF85" i="3" s="1"/>
  <c r="M85" i="3"/>
  <c r="Q85" i="3" s="1"/>
  <c r="L85" i="3"/>
  <c r="P85" i="3" s="1"/>
  <c r="K85" i="3"/>
  <c r="O85" i="3" s="1"/>
  <c r="J85" i="3"/>
  <c r="N85" i="3" s="1"/>
  <c r="H85" i="3"/>
  <c r="G85" i="3"/>
  <c r="E85" i="3"/>
  <c r="C85" i="3"/>
  <c r="B85" i="3"/>
  <c r="CM84" i="3"/>
  <c r="CK84" i="3"/>
  <c r="DZ83" i="3"/>
  <c r="DY83" i="3"/>
  <c r="DX83" i="3"/>
  <c r="DW83" i="3"/>
  <c r="DV83" i="3"/>
  <c r="DU83" i="3"/>
  <c r="DS83" i="3"/>
  <c r="DR83" i="3"/>
  <c r="DQ83" i="3"/>
  <c r="DP83" i="3"/>
  <c r="DO83" i="3"/>
  <c r="DN83" i="3"/>
  <c r="CM83" i="3"/>
  <c r="F83" i="3" s="1"/>
  <c r="CK83" i="3"/>
  <c r="D83" i="3" s="1"/>
  <c r="BJ83" i="3"/>
  <c r="BI83" i="3"/>
  <c r="BH83" i="3"/>
  <c r="BG83" i="3"/>
  <c r="BA83" i="3"/>
  <c r="AW83" i="3"/>
  <c r="AT83" i="3"/>
  <c r="AS83" i="3"/>
  <c r="AR83" i="3"/>
  <c r="AQ83" i="3"/>
  <c r="AP83" i="3"/>
  <c r="AO83" i="3"/>
  <c r="AN83" i="3"/>
  <c r="AM83" i="3"/>
  <c r="AL83" i="3"/>
  <c r="AK83" i="3"/>
  <c r="AJ83" i="3"/>
  <c r="R83" i="3"/>
  <c r="BE83" i="3" s="1"/>
  <c r="M83" i="3"/>
  <c r="Q83" i="3" s="1"/>
  <c r="L83" i="3"/>
  <c r="P83" i="3" s="1"/>
  <c r="K83" i="3"/>
  <c r="O83" i="3" s="1"/>
  <c r="J83" i="3"/>
  <c r="N83" i="3" s="1"/>
  <c r="H83" i="3"/>
  <c r="G83" i="3"/>
  <c r="E83" i="3"/>
  <c r="C83" i="3"/>
  <c r="B83" i="3"/>
  <c r="DZ82" i="3"/>
  <c r="DY82" i="3"/>
  <c r="DX82" i="3"/>
  <c r="DW82" i="3"/>
  <c r="DV82" i="3"/>
  <c r="DU82" i="3"/>
  <c r="DS82" i="3"/>
  <c r="DR82" i="3"/>
  <c r="DQ82" i="3"/>
  <c r="DP82" i="3"/>
  <c r="DO82" i="3"/>
  <c r="DN82" i="3"/>
  <c r="CM82" i="3"/>
  <c r="F82" i="3" s="1"/>
  <c r="CK82" i="3"/>
  <c r="BJ82" i="3"/>
  <c r="BI82" i="3"/>
  <c r="BH82" i="3"/>
  <c r="BA82" i="3"/>
  <c r="AW82" i="3"/>
  <c r="AT82" i="3"/>
  <c r="AS82" i="3"/>
  <c r="AR82" i="3"/>
  <c r="AQ82" i="3"/>
  <c r="AP82" i="3"/>
  <c r="AO82" i="3"/>
  <c r="AN82" i="3"/>
  <c r="AM82" i="3"/>
  <c r="AL82" i="3"/>
  <c r="AK82" i="3"/>
  <c r="AJ82" i="3"/>
  <c r="R82" i="3"/>
  <c r="BE82" i="3" s="1"/>
  <c r="O82" i="3"/>
  <c r="CH82" i="3" s="1"/>
  <c r="M82" i="3"/>
  <c r="Q82" i="3" s="1"/>
  <c r="L82" i="3"/>
  <c r="P82" i="3" s="1"/>
  <c r="K82" i="3"/>
  <c r="J82" i="3"/>
  <c r="N82" i="3" s="1"/>
  <c r="H82" i="3"/>
  <c r="G82" i="3"/>
  <c r="E82" i="3"/>
  <c r="D82" i="3"/>
  <c r="C82" i="3"/>
  <c r="B82" i="3"/>
  <c r="DZ81" i="3"/>
  <c r="DY81" i="3"/>
  <c r="DX81" i="3"/>
  <c r="DW81" i="3"/>
  <c r="DV81" i="3"/>
  <c r="DU81" i="3"/>
  <c r="DS81" i="3"/>
  <c r="DR81" i="3"/>
  <c r="DQ81" i="3"/>
  <c r="DP81" i="3"/>
  <c r="DO81" i="3"/>
  <c r="DN81" i="3"/>
  <c r="CM81" i="3"/>
  <c r="F81" i="3" s="1"/>
  <c r="CK81" i="3"/>
  <c r="D81" i="3" s="1"/>
  <c r="BJ81" i="3"/>
  <c r="BI81" i="3"/>
  <c r="BH81" i="3"/>
  <c r="BG81" i="3"/>
  <c r="BF81" i="3"/>
  <c r="BA81" i="3"/>
  <c r="AW81" i="3"/>
  <c r="AT81" i="3"/>
  <c r="AS81" i="3"/>
  <c r="AR81" i="3"/>
  <c r="AQ81" i="3"/>
  <c r="AP81" i="3"/>
  <c r="AO81" i="3"/>
  <c r="AN81" i="3"/>
  <c r="AM81" i="3"/>
  <c r="AL81" i="3"/>
  <c r="AK81" i="3"/>
  <c r="AJ81" i="3"/>
  <c r="R81" i="3"/>
  <c r="BE81" i="3" s="1"/>
  <c r="M81" i="3"/>
  <c r="Q81" i="3" s="1"/>
  <c r="L81" i="3"/>
  <c r="P81" i="3" s="1"/>
  <c r="K81" i="3"/>
  <c r="O81" i="3" s="1"/>
  <c r="J81" i="3"/>
  <c r="N81" i="3" s="1"/>
  <c r="H81" i="3"/>
  <c r="G81" i="3"/>
  <c r="E81" i="3"/>
  <c r="C81" i="3"/>
  <c r="B81" i="3"/>
  <c r="DZ80" i="3"/>
  <c r="DY80" i="3"/>
  <c r="DX80" i="3"/>
  <c r="DI80" i="3" s="1"/>
  <c r="DW80" i="3"/>
  <c r="DV80" i="3"/>
  <c r="DU80" i="3"/>
  <c r="DS80" i="3"/>
  <c r="DR80" i="3"/>
  <c r="DQ80" i="3"/>
  <c r="DP80" i="3"/>
  <c r="DO80" i="3"/>
  <c r="DN80" i="3"/>
  <c r="DM80" i="3"/>
  <c r="CX80" i="3"/>
  <c r="CM80" i="3"/>
  <c r="F80" i="3" s="1"/>
  <c r="CK80" i="3"/>
  <c r="D80" i="3" s="1"/>
  <c r="BJ80" i="3"/>
  <c r="BI80" i="3"/>
  <c r="BH80" i="3"/>
  <c r="BA80" i="3"/>
  <c r="AW80" i="3"/>
  <c r="AT80" i="3"/>
  <c r="AS80" i="3"/>
  <c r="AR80" i="3"/>
  <c r="AQ80" i="3"/>
  <c r="AP80" i="3"/>
  <c r="AO80" i="3"/>
  <c r="AN80" i="3"/>
  <c r="AM80" i="3"/>
  <c r="AL80" i="3"/>
  <c r="AK80" i="3"/>
  <c r="AJ80" i="3"/>
  <c r="R80" i="3"/>
  <c r="BE80" i="3" s="1"/>
  <c r="O80" i="3"/>
  <c r="M80" i="3"/>
  <c r="Q80" i="3" s="1"/>
  <c r="L80" i="3"/>
  <c r="P80" i="3" s="1"/>
  <c r="K80" i="3"/>
  <c r="J80" i="3"/>
  <c r="N80" i="3" s="1"/>
  <c r="H80" i="3"/>
  <c r="G80" i="3"/>
  <c r="E80" i="3"/>
  <c r="C80" i="3"/>
  <c r="B80" i="3"/>
  <c r="CM79" i="3"/>
  <c r="CK79" i="3"/>
  <c r="R79" i="3"/>
  <c r="DZ78" i="3"/>
  <c r="DY78" i="3"/>
  <c r="DX78" i="3"/>
  <c r="DW78" i="3"/>
  <c r="DV78" i="3"/>
  <c r="DU78" i="3"/>
  <c r="DS78" i="3"/>
  <c r="DR78" i="3"/>
  <c r="DQ78" i="3"/>
  <c r="DP78" i="3"/>
  <c r="DO78" i="3"/>
  <c r="DN78" i="3"/>
  <c r="CM78" i="3"/>
  <c r="F78" i="3" s="1"/>
  <c r="CK78" i="3"/>
  <c r="D78" i="3" s="1"/>
  <c r="BJ78" i="3"/>
  <c r="BI78" i="3"/>
  <c r="BH78" i="3"/>
  <c r="BG78" i="3"/>
  <c r="BF78" i="3"/>
  <c r="BA78" i="3"/>
  <c r="AW78" i="3"/>
  <c r="AT78" i="3"/>
  <c r="AS78" i="3"/>
  <c r="AR78" i="3"/>
  <c r="AQ78" i="3"/>
  <c r="AP78" i="3"/>
  <c r="AO78" i="3"/>
  <c r="AN78" i="3"/>
  <c r="AM78" i="3"/>
  <c r="AL78" i="3"/>
  <c r="AK78" i="3"/>
  <c r="AJ78" i="3"/>
  <c r="R78" i="3"/>
  <c r="BE78" i="3" s="1"/>
  <c r="M78" i="3"/>
  <c r="Q78" i="3" s="1"/>
  <c r="L78" i="3"/>
  <c r="P78" i="3" s="1"/>
  <c r="K78" i="3"/>
  <c r="O78" i="3" s="1"/>
  <c r="J78" i="3"/>
  <c r="N78" i="3" s="1"/>
  <c r="H78" i="3"/>
  <c r="G78" i="3"/>
  <c r="E78" i="3"/>
  <c r="C78" i="3"/>
  <c r="B78" i="3"/>
  <c r="DZ77" i="3"/>
  <c r="DY77" i="3"/>
  <c r="DX77" i="3"/>
  <c r="DW77" i="3"/>
  <c r="DV77" i="3"/>
  <c r="DU77" i="3"/>
  <c r="DS77" i="3"/>
  <c r="DR77" i="3"/>
  <c r="DQ77" i="3"/>
  <c r="DP77" i="3"/>
  <c r="DO77" i="3"/>
  <c r="DN77" i="3"/>
  <c r="CM77" i="3"/>
  <c r="F77" i="3" s="1"/>
  <c r="CK77" i="3"/>
  <c r="D77" i="3" s="1"/>
  <c r="BJ77" i="3"/>
  <c r="BI77" i="3"/>
  <c r="BH77" i="3"/>
  <c r="BG77" i="3"/>
  <c r="BA77" i="3"/>
  <c r="AW77" i="3"/>
  <c r="AT77" i="3"/>
  <c r="AS77" i="3"/>
  <c r="AR77" i="3"/>
  <c r="AQ77" i="3"/>
  <c r="AP77" i="3"/>
  <c r="AO77" i="3"/>
  <c r="AN77" i="3"/>
  <c r="AM77" i="3"/>
  <c r="AL77" i="3"/>
  <c r="AK77" i="3"/>
  <c r="AJ77" i="3"/>
  <c r="R77" i="3"/>
  <c r="BE77" i="3" s="1"/>
  <c r="M77" i="3"/>
  <c r="Q77" i="3" s="1"/>
  <c r="L77" i="3"/>
  <c r="P77" i="3" s="1"/>
  <c r="K77" i="3"/>
  <c r="O77" i="3" s="1"/>
  <c r="J77" i="3"/>
  <c r="N77" i="3" s="1"/>
  <c r="H77" i="3"/>
  <c r="G77" i="3"/>
  <c r="E77" i="3"/>
  <c r="C77" i="3"/>
  <c r="DZ76" i="3"/>
  <c r="DY76" i="3"/>
  <c r="DX76" i="3"/>
  <c r="DW76" i="3"/>
  <c r="DV76" i="3"/>
  <c r="DU76" i="3"/>
  <c r="DS76" i="3"/>
  <c r="DR76" i="3"/>
  <c r="DQ76" i="3"/>
  <c r="DP76" i="3"/>
  <c r="DO76" i="3"/>
  <c r="DN76" i="3"/>
  <c r="CM76" i="3"/>
  <c r="F76" i="3" s="1"/>
  <c r="CK76" i="3"/>
  <c r="D76" i="3" s="1"/>
  <c r="BJ76" i="3"/>
  <c r="BI76" i="3"/>
  <c r="BH76" i="3"/>
  <c r="BG76" i="3"/>
  <c r="BF76" i="3"/>
  <c r="BA76" i="3"/>
  <c r="AW76" i="3"/>
  <c r="AT76" i="3"/>
  <c r="AS76" i="3"/>
  <c r="AR76" i="3"/>
  <c r="AQ76" i="3"/>
  <c r="AP76" i="3"/>
  <c r="AO76" i="3"/>
  <c r="AN76" i="3"/>
  <c r="AM76" i="3"/>
  <c r="AL76" i="3"/>
  <c r="AK76" i="3"/>
  <c r="AJ76" i="3"/>
  <c r="R76" i="3"/>
  <c r="BE76" i="3" s="1"/>
  <c r="M76" i="3"/>
  <c r="Q76" i="3" s="1"/>
  <c r="L76" i="3"/>
  <c r="P76" i="3" s="1"/>
  <c r="K76" i="3"/>
  <c r="O76" i="3" s="1"/>
  <c r="J76" i="3"/>
  <c r="N76" i="3" s="1"/>
  <c r="H76" i="3"/>
  <c r="G76" i="3"/>
  <c r="E76" i="3"/>
  <c r="C76" i="3"/>
  <c r="B76" i="3"/>
  <c r="DZ75" i="3"/>
  <c r="DY75" i="3"/>
  <c r="DX75" i="3"/>
  <c r="DW75" i="3"/>
  <c r="DV75" i="3"/>
  <c r="DU75" i="3"/>
  <c r="DS75" i="3"/>
  <c r="DR75" i="3"/>
  <c r="DQ75" i="3"/>
  <c r="DP75" i="3"/>
  <c r="DO75" i="3"/>
  <c r="DN75" i="3"/>
  <c r="DM75" i="3"/>
  <c r="CX75" i="3"/>
  <c r="CM75" i="3"/>
  <c r="F75" i="3" s="1"/>
  <c r="CK75" i="3"/>
  <c r="D75" i="3" s="1"/>
  <c r="BJ75" i="3"/>
  <c r="BI75" i="3"/>
  <c r="BH75" i="3"/>
  <c r="BG75" i="3"/>
  <c r="BF75" i="3"/>
  <c r="BA75" i="3"/>
  <c r="AW75" i="3"/>
  <c r="AT75" i="3"/>
  <c r="AS75" i="3"/>
  <c r="AR75" i="3"/>
  <c r="AQ75" i="3"/>
  <c r="AP75" i="3"/>
  <c r="AO75" i="3"/>
  <c r="AN75" i="3"/>
  <c r="AM75" i="3"/>
  <c r="AL75" i="3"/>
  <c r="AK75" i="3"/>
  <c r="AJ75" i="3"/>
  <c r="R75" i="3"/>
  <c r="BE75" i="3" s="1"/>
  <c r="M75" i="3"/>
  <c r="Q75" i="3" s="1"/>
  <c r="L75" i="3"/>
  <c r="P75" i="3" s="1"/>
  <c r="K75" i="3"/>
  <c r="O75" i="3" s="1"/>
  <c r="J75" i="3"/>
  <c r="N75" i="3" s="1"/>
  <c r="H75" i="3"/>
  <c r="G75" i="3"/>
  <c r="E75" i="3"/>
  <c r="C75" i="3"/>
  <c r="B75" i="3"/>
  <c r="CM74" i="3"/>
  <c r="CK74" i="3"/>
  <c r="DZ73" i="3"/>
  <c r="DY73" i="3"/>
  <c r="DX73" i="3"/>
  <c r="DW73" i="3"/>
  <c r="DV73" i="3"/>
  <c r="DU73" i="3"/>
  <c r="DS73" i="3"/>
  <c r="DR73" i="3"/>
  <c r="DQ73" i="3"/>
  <c r="DP73" i="3"/>
  <c r="DO73" i="3"/>
  <c r="DN73" i="3"/>
  <c r="CM73" i="3"/>
  <c r="F73" i="3" s="1"/>
  <c r="CK73" i="3"/>
  <c r="D73" i="3" s="1"/>
  <c r="BJ73" i="3"/>
  <c r="BI73" i="3"/>
  <c r="BH73" i="3"/>
  <c r="BG73" i="3"/>
  <c r="BF73" i="3"/>
  <c r="BA73" i="3"/>
  <c r="AW73" i="3"/>
  <c r="AT73" i="3"/>
  <c r="AS73" i="3"/>
  <c r="AR73" i="3"/>
  <c r="AQ73" i="3"/>
  <c r="AP73" i="3"/>
  <c r="AO73" i="3"/>
  <c r="AN73" i="3"/>
  <c r="AM73" i="3"/>
  <c r="AL73" i="3"/>
  <c r="AK73" i="3"/>
  <c r="AJ73" i="3"/>
  <c r="R73" i="3"/>
  <c r="BE73" i="3" s="1"/>
  <c r="M73" i="3"/>
  <c r="Q73" i="3" s="1"/>
  <c r="L73" i="3"/>
  <c r="P73" i="3" s="1"/>
  <c r="K73" i="3"/>
  <c r="O73" i="3" s="1"/>
  <c r="J73" i="3"/>
  <c r="N73" i="3" s="1"/>
  <c r="H73" i="3"/>
  <c r="G73" i="3"/>
  <c r="E73" i="3"/>
  <c r="C73" i="3"/>
  <c r="B73" i="3"/>
  <c r="DZ72" i="3"/>
  <c r="DY72" i="3"/>
  <c r="DX72" i="3"/>
  <c r="DW72" i="3"/>
  <c r="DV72" i="3"/>
  <c r="DU72" i="3"/>
  <c r="DS72" i="3"/>
  <c r="DR72" i="3"/>
  <c r="DQ72" i="3"/>
  <c r="DP72" i="3"/>
  <c r="DO72" i="3"/>
  <c r="DN72" i="3"/>
  <c r="CM72" i="3"/>
  <c r="F72" i="3" s="1"/>
  <c r="CK72" i="3"/>
  <c r="D72" i="3" s="1"/>
  <c r="BJ72" i="3"/>
  <c r="BI72" i="3"/>
  <c r="BH72" i="3"/>
  <c r="BG72" i="3"/>
  <c r="BF72" i="3"/>
  <c r="BA72" i="3"/>
  <c r="AW72" i="3"/>
  <c r="AT72" i="3"/>
  <c r="AS72" i="3"/>
  <c r="AR72" i="3"/>
  <c r="AQ72" i="3"/>
  <c r="AP72" i="3"/>
  <c r="AO72" i="3"/>
  <c r="AN72" i="3"/>
  <c r="AM72" i="3"/>
  <c r="AL72" i="3"/>
  <c r="AK72" i="3"/>
  <c r="AJ72" i="3"/>
  <c r="R72" i="3"/>
  <c r="BE72" i="3" s="1"/>
  <c r="M72" i="3"/>
  <c r="Q72" i="3" s="1"/>
  <c r="L72" i="3"/>
  <c r="P72" i="3" s="1"/>
  <c r="K72" i="3"/>
  <c r="O72" i="3" s="1"/>
  <c r="CH72" i="3" s="1"/>
  <c r="J72" i="3"/>
  <c r="N72" i="3" s="1"/>
  <c r="H72" i="3"/>
  <c r="G72" i="3"/>
  <c r="E72" i="3"/>
  <c r="C72" i="3"/>
  <c r="B72" i="3"/>
  <c r="DZ71" i="3"/>
  <c r="DY71" i="3"/>
  <c r="DX71" i="3"/>
  <c r="DW71" i="3"/>
  <c r="DV71" i="3"/>
  <c r="DU71" i="3"/>
  <c r="DS71" i="3"/>
  <c r="DR71" i="3"/>
  <c r="DQ71" i="3"/>
  <c r="DP71" i="3"/>
  <c r="DO71" i="3"/>
  <c r="DN71" i="3"/>
  <c r="CM71" i="3"/>
  <c r="F71" i="3" s="1"/>
  <c r="CK71" i="3"/>
  <c r="D71" i="3" s="1"/>
  <c r="BJ71" i="3"/>
  <c r="BI71" i="3"/>
  <c r="BH71" i="3"/>
  <c r="BG71" i="3"/>
  <c r="BF71" i="3"/>
  <c r="BA71" i="3"/>
  <c r="AW71" i="3"/>
  <c r="AT71" i="3"/>
  <c r="AS71" i="3"/>
  <c r="AR71" i="3"/>
  <c r="AQ71" i="3"/>
  <c r="AP71" i="3"/>
  <c r="AO71" i="3"/>
  <c r="AN71" i="3"/>
  <c r="AM71" i="3"/>
  <c r="AL71" i="3"/>
  <c r="AK71" i="3"/>
  <c r="AJ71" i="3"/>
  <c r="R71" i="3"/>
  <c r="BE71" i="3" s="1"/>
  <c r="N71" i="3"/>
  <c r="M71" i="3"/>
  <c r="Q71" i="3" s="1"/>
  <c r="L71" i="3"/>
  <c r="P71" i="3" s="1"/>
  <c r="K71" i="3"/>
  <c r="O71" i="3" s="1"/>
  <c r="J71" i="3"/>
  <c r="H71" i="3"/>
  <c r="G71" i="3"/>
  <c r="E71" i="3"/>
  <c r="C71" i="3"/>
  <c r="B71" i="3"/>
  <c r="DZ70" i="3"/>
  <c r="DY70" i="3"/>
  <c r="DX70" i="3"/>
  <c r="DW70" i="3"/>
  <c r="DV70" i="3"/>
  <c r="DU70" i="3"/>
  <c r="DS70" i="3"/>
  <c r="DR70" i="3"/>
  <c r="DQ70" i="3"/>
  <c r="DP70" i="3"/>
  <c r="DO70" i="3"/>
  <c r="DN70" i="3"/>
  <c r="DM70" i="3"/>
  <c r="CX70" i="3"/>
  <c r="CM70" i="3"/>
  <c r="F70" i="3" s="1"/>
  <c r="CK70" i="3"/>
  <c r="D70" i="3" s="1"/>
  <c r="BJ70" i="3"/>
  <c r="BI70" i="3"/>
  <c r="BH70" i="3"/>
  <c r="BG70" i="3"/>
  <c r="BF70" i="3"/>
  <c r="BA70" i="3"/>
  <c r="AW70" i="3"/>
  <c r="AT70" i="3"/>
  <c r="AS70" i="3"/>
  <c r="AR70" i="3"/>
  <c r="AQ70" i="3"/>
  <c r="AP70" i="3"/>
  <c r="AO70" i="3"/>
  <c r="AN70" i="3"/>
  <c r="AM70" i="3"/>
  <c r="AL70" i="3"/>
  <c r="AK70" i="3"/>
  <c r="AJ70" i="3"/>
  <c r="R70" i="3"/>
  <c r="BE70" i="3" s="1"/>
  <c r="M70" i="3"/>
  <c r="Q70" i="3" s="1"/>
  <c r="L70" i="3"/>
  <c r="P70" i="3" s="1"/>
  <c r="K70" i="3"/>
  <c r="O70" i="3" s="1"/>
  <c r="J70" i="3"/>
  <c r="N70" i="3" s="1"/>
  <c r="H70" i="3"/>
  <c r="G70" i="3"/>
  <c r="E70" i="3"/>
  <c r="C70" i="3"/>
  <c r="B70" i="3"/>
  <c r="CM69" i="3"/>
  <c r="CK69" i="3"/>
  <c r="R69" i="3"/>
  <c r="DZ68" i="3"/>
  <c r="DY68" i="3"/>
  <c r="DX68" i="3"/>
  <c r="DW68" i="3"/>
  <c r="DV68" i="3"/>
  <c r="DU68" i="3"/>
  <c r="DS68" i="3"/>
  <c r="DR68" i="3"/>
  <c r="DQ68" i="3"/>
  <c r="DP68" i="3"/>
  <c r="DO68" i="3"/>
  <c r="DN68" i="3"/>
  <c r="CM68" i="3"/>
  <c r="F68" i="3" s="1"/>
  <c r="CK68" i="3"/>
  <c r="D68" i="3" s="1"/>
  <c r="BJ68" i="3"/>
  <c r="BI68" i="3"/>
  <c r="BH68" i="3"/>
  <c r="BG68" i="3"/>
  <c r="BF68" i="3"/>
  <c r="BA68" i="3"/>
  <c r="AW68" i="3"/>
  <c r="AT68" i="3"/>
  <c r="AS68" i="3"/>
  <c r="AR68" i="3"/>
  <c r="AQ68" i="3"/>
  <c r="AP68" i="3"/>
  <c r="AO68" i="3"/>
  <c r="AN68" i="3"/>
  <c r="AM68" i="3"/>
  <c r="AL68" i="3"/>
  <c r="AK68" i="3"/>
  <c r="AJ68" i="3"/>
  <c r="R68" i="3"/>
  <c r="BE68" i="3" s="1"/>
  <c r="M68" i="3"/>
  <c r="Q68" i="3" s="1"/>
  <c r="L68" i="3"/>
  <c r="P68" i="3" s="1"/>
  <c r="K68" i="3"/>
  <c r="O68" i="3" s="1"/>
  <c r="J68" i="3"/>
  <c r="N68" i="3" s="1"/>
  <c r="H68" i="3"/>
  <c r="G68" i="3"/>
  <c r="E68" i="3"/>
  <c r="C68" i="3"/>
  <c r="B68" i="3"/>
  <c r="DZ67" i="3"/>
  <c r="DY67" i="3"/>
  <c r="DX67" i="3"/>
  <c r="DW67" i="3"/>
  <c r="DV67" i="3"/>
  <c r="DU67" i="3"/>
  <c r="DS67" i="3"/>
  <c r="DR67" i="3"/>
  <c r="DQ67" i="3"/>
  <c r="DP67" i="3"/>
  <c r="DO67" i="3"/>
  <c r="DN67" i="3"/>
  <c r="CM67" i="3"/>
  <c r="F67" i="3" s="1"/>
  <c r="CK67" i="3"/>
  <c r="D67" i="3" s="1"/>
  <c r="BJ67" i="3"/>
  <c r="BI67" i="3"/>
  <c r="BH67" i="3"/>
  <c r="BG67" i="3"/>
  <c r="BF67" i="3"/>
  <c r="BA67" i="3"/>
  <c r="AW67" i="3"/>
  <c r="AT67" i="3"/>
  <c r="AS67" i="3"/>
  <c r="AR67" i="3"/>
  <c r="AQ67" i="3"/>
  <c r="AP67" i="3"/>
  <c r="AO67" i="3"/>
  <c r="AN67" i="3"/>
  <c r="AM67" i="3"/>
  <c r="AL67" i="3"/>
  <c r="AK67" i="3"/>
  <c r="AJ67" i="3"/>
  <c r="R67" i="3"/>
  <c r="BE67" i="3" s="1"/>
  <c r="M67" i="3"/>
  <c r="Q67" i="3" s="1"/>
  <c r="L67" i="3"/>
  <c r="P67" i="3" s="1"/>
  <c r="K67" i="3"/>
  <c r="O67" i="3" s="1"/>
  <c r="J67" i="3"/>
  <c r="N67" i="3" s="1"/>
  <c r="H67" i="3"/>
  <c r="G67" i="3"/>
  <c r="E67" i="3"/>
  <c r="C67" i="3"/>
  <c r="B67" i="3"/>
  <c r="DZ66" i="3"/>
  <c r="DY66" i="3"/>
  <c r="DX66" i="3"/>
  <c r="DW66" i="3"/>
  <c r="DV66" i="3"/>
  <c r="DU66" i="3"/>
  <c r="DS66" i="3"/>
  <c r="DR66" i="3"/>
  <c r="DQ66" i="3"/>
  <c r="DP66" i="3"/>
  <c r="DO66" i="3"/>
  <c r="DN66" i="3"/>
  <c r="CM66" i="3"/>
  <c r="F66" i="3" s="1"/>
  <c r="CK66" i="3"/>
  <c r="D66" i="3" s="1"/>
  <c r="BJ66" i="3"/>
  <c r="BI66" i="3"/>
  <c r="BH66" i="3"/>
  <c r="BG66" i="3"/>
  <c r="BF66" i="3"/>
  <c r="BA66" i="3"/>
  <c r="AW66" i="3"/>
  <c r="AT66" i="3"/>
  <c r="AS66" i="3"/>
  <c r="AR66" i="3"/>
  <c r="AQ66" i="3"/>
  <c r="AP66" i="3"/>
  <c r="AO66" i="3"/>
  <c r="AN66" i="3"/>
  <c r="AM66" i="3"/>
  <c r="AL66" i="3"/>
  <c r="AK66" i="3"/>
  <c r="AJ66" i="3"/>
  <c r="R66" i="3"/>
  <c r="BE66" i="3" s="1"/>
  <c r="M66" i="3"/>
  <c r="Q66" i="3" s="1"/>
  <c r="L66" i="3"/>
  <c r="P66" i="3" s="1"/>
  <c r="K66" i="3"/>
  <c r="O66" i="3" s="1"/>
  <c r="J66" i="3"/>
  <c r="N66" i="3" s="1"/>
  <c r="H66" i="3"/>
  <c r="G66" i="3"/>
  <c r="E66" i="3"/>
  <c r="C66" i="3"/>
  <c r="B66" i="3"/>
  <c r="DZ65" i="3"/>
  <c r="DY65" i="3"/>
  <c r="DX65" i="3"/>
  <c r="DW65" i="3"/>
  <c r="DV65" i="3"/>
  <c r="DU65" i="3"/>
  <c r="DS65" i="3"/>
  <c r="DR65" i="3"/>
  <c r="DQ65" i="3"/>
  <c r="DP65" i="3"/>
  <c r="DO65" i="3"/>
  <c r="DN65" i="3"/>
  <c r="DM65" i="3"/>
  <c r="CX65" i="3"/>
  <c r="CM65" i="3"/>
  <c r="F65" i="3" s="1"/>
  <c r="CK65" i="3"/>
  <c r="D65" i="3" s="1"/>
  <c r="BJ65" i="3"/>
  <c r="BI65" i="3"/>
  <c r="BH65" i="3"/>
  <c r="BG65" i="3"/>
  <c r="BF65" i="3"/>
  <c r="BA65" i="3"/>
  <c r="AW65" i="3"/>
  <c r="AT65" i="3"/>
  <c r="AS65" i="3"/>
  <c r="AR65" i="3"/>
  <c r="AQ65" i="3"/>
  <c r="AP65" i="3"/>
  <c r="AO65" i="3"/>
  <c r="AN65" i="3"/>
  <c r="AM65" i="3"/>
  <c r="AL65" i="3"/>
  <c r="AK65" i="3"/>
  <c r="AJ65" i="3"/>
  <c r="R65" i="3"/>
  <c r="BE65" i="3" s="1"/>
  <c r="M65" i="3"/>
  <c r="Q65" i="3" s="1"/>
  <c r="L65" i="3"/>
  <c r="P65" i="3" s="1"/>
  <c r="K65" i="3"/>
  <c r="O65" i="3" s="1"/>
  <c r="J65" i="3"/>
  <c r="N65" i="3" s="1"/>
  <c r="H65" i="3"/>
  <c r="G65" i="3"/>
  <c r="E65" i="3"/>
  <c r="C65" i="3"/>
  <c r="B65" i="3"/>
  <c r="CM64" i="3"/>
  <c r="CK64" i="3"/>
  <c r="DZ63" i="3"/>
  <c r="DY63" i="3"/>
  <c r="DX63" i="3"/>
  <c r="DW63" i="3"/>
  <c r="DV63" i="3"/>
  <c r="DU63" i="3"/>
  <c r="DS63" i="3"/>
  <c r="DR63" i="3"/>
  <c r="DQ63" i="3"/>
  <c r="DP63" i="3"/>
  <c r="DO63" i="3"/>
  <c r="DN63" i="3"/>
  <c r="CM63" i="3"/>
  <c r="F63" i="3" s="1"/>
  <c r="CK63" i="3"/>
  <c r="D63" i="3" s="1"/>
  <c r="BJ63" i="3"/>
  <c r="BI63" i="3"/>
  <c r="BH63" i="3"/>
  <c r="BG63" i="3"/>
  <c r="BF63" i="3"/>
  <c r="BA63" i="3"/>
  <c r="AW63" i="3"/>
  <c r="AT63" i="3"/>
  <c r="AS63" i="3"/>
  <c r="AR63" i="3"/>
  <c r="AQ63" i="3"/>
  <c r="AP63" i="3"/>
  <c r="AO63" i="3"/>
  <c r="AN63" i="3"/>
  <c r="AM63" i="3"/>
  <c r="AL63" i="3"/>
  <c r="AK63" i="3"/>
  <c r="AJ63" i="3"/>
  <c r="R63" i="3"/>
  <c r="BE63" i="3" s="1"/>
  <c r="M63" i="3"/>
  <c r="Q63" i="3" s="1"/>
  <c r="L63" i="3"/>
  <c r="P63" i="3" s="1"/>
  <c r="K63" i="3"/>
  <c r="O63" i="3" s="1"/>
  <c r="J63" i="3"/>
  <c r="N63" i="3" s="1"/>
  <c r="H63" i="3"/>
  <c r="G63" i="3"/>
  <c r="E63" i="3"/>
  <c r="C63" i="3"/>
  <c r="B63" i="3"/>
  <c r="DZ62" i="3"/>
  <c r="DY62" i="3"/>
  <c r="DX62" i="3"/>
  <c r="DW62" i="3"/>
  <c r="DV62" i="3"/>
  <c r="DU62" i="3"/>
  <c r="DS62" i="3"/>
  <c r="DR62" i="3"/>
  <c r="DQ62" i="3"/>
  <c r="DP62" i="3"/>
  <c r="DO62" i="3"/>
  <c r="DN62" i="3"/>
  <c r="CM62" i="3"/>
  <c r="F62" i="3" s="1"/>
  <c r="CK62" i="3"/>
  <c r="D62" i="3" s="1"/>
  <c r="BJ62" i="3"/>
  <c r="BI62" i="3"/>
  <c r="BH62" i="3"/>
  <c r="BG62" i="3"/>
  <c r="BF62" i="3"/>
  <c r="BA62" i="3"/>
  <c r="AW62" i="3"/>
  <c r="AT62" i="3"/>
  <c r="AS62" i="3"/>
  <c r="AR62" i="3"/>
  <c r="AQ62" i="3"/>
  <c r="AP62" i="3"/>
  <c r="AO62" i="3"/>
  <c r="AN62" i="3"/>
  <c r="AM62" i="3"/>
  <c r="AL62" i="3"/>
  <c r="AK62" i="3"/>
  <c r="AJ62" i="3"/>
  <c r="R62" i="3"/>
  <c r="BE62" i="3" s="1"/>
  <c r="M62" i="3"/>
  <c r="Q62" i="3" s="1"/>
  <c r="L62" i="3"/>
  <c r="P62" i="3" s="1"/>
  <c r="K62" i="3"/>
  <c r="O62" i="3" s="1"/>
  <c r="J62" i="3"/>
  <c r="N62" i="3" s="1"/>
  <c r="H62" i="3"/>
  <c r="G62" i="3"/>
  <c r="E62" i="3"/>
  <c r="C62" i="3"/>
  <c r="B62" i="3"/>
  <c r="DZ61" i="3"/>
  <c r="DY61" i="3"/>
  <c r="DX61" i="3"/>
  <c r="DW61" i="3"/>
  <c r="DV61" i="3"/>
  <c r="DU61" i="3"/>
  <c r="DS61" i="3"/>
  <c r="DR61" i="3"/>
  <c r="DQ61" i="3"/>
  <c r="DP61" i="3"/>
  <c r="DO61" i="3"/>
  <c r="DN61" i="3"/>
  <c r="CM61" i="3"/>
  <c r="F61" i="3" s="1"/>
  <c r="CK61" i="3"/>
  <c r="D61" i="3" s="1"/>
  <c r="BJ61" i="3"/>
  <c r="BI61" i="3"/>
  <c r="BH61" i="3"/>
  <c r="BG61" i="3"/>
  <c r="BA61" i="3"/>
  <c r="AW61" i="3"/>
  <c r="AT61" i="3"/>
  <c r="AS61" i="3"/>
  <c r="AR61" i="3"/>
  <c r="AQ61" i="3"/>
  <c r="AP61" i="3"/>
  <c r="AO61" i="3"/>
  <c r="AN61" i="3"/>
  <c r="AM61" i="3"/>
  <c r="AL61" i="3"/>
  <c r="AK61" i="3"/>
  <c r="AJ61" i="3"/>
  <c r="R61" i="3"/>
  <c r="BF61" i="3" s="1"/>
  <c r="M61" i="3"/>
  <c r="Q61" i="3" s="1"/>
  <c r="L61" i="3"/>
  <c r="P61" i="3" s="1"/>
  <c r="K61" i="3"/>
  <c r="O61" i="3" s="1"/>
  <c r="J61" i="3"/>
  <c r="N61" i="3" s="1"/>
  <c r="H61" i="3"/>
  <c r="G61" i="3"/>
  <c r="E61" i="3"/>
  <c r="C61" i="3"/>
  <c r="B61" i="3"/>
  <c r="DZ60" i="3"/>
  <c r="DY60" i="3"/>
  <c r="DX60" i="3"/>
  <c r="DW60" i="3"/>
  <c r="DV60" i="3"/>
  <c r="DU60" i="3"/>
  <c r="DS60" i="3"/>
  <c r="DR60" i="3"/>
  <c r="DQ60" i="3"/>
  <c r="DP60" i="3"/>
  <c r="DO60" i="3"/>
  <c r="DN60" i="3"/>
  <c r="DM60" i="3"/>
  <c r="CX60" i="3"/>
  <c r="CM60" i="3"/>
  <c r="F60" i="3" s="1"/>
  <c r="CK60" i="3"/>
  <c r="D60" i="3" s="1"/>
  <c r="BJ60" i="3"/>
  <c r="BI60" i="3"/>
  <c r="BH60" i="3"/>
  <c r="BG60" i="3"/>
  <c r="BF60" i="3"/>
  <c r="BA60" i="3"/>
  <c r="AW60" i="3"/>
  <c r="AT60" i="3"/>
  <c r="AS60" i="3"/>
  <c r="AR60" i="3"/>
  <c r="AQ60" i="3"/>
  <c r="AP60" i="3"/>
  <c r="AO60" i="3"/>
  <c r="AN60" i="3"/>
  <c r="AM60" i="3"/>
  <c r="AL60" i="3"/>
  <c r="AK60" i="3"/>
  <c r="AJ60" i="3"/>
  <c r="R60" i="3"/>
  <c r="BE60" i="3" s="1"/>
  <c r="M60" i="3"/>
  <c r="Q60" i="3" s="1"/>
  <c r="L60" i="3"/>
  <c r="P60" i="3" s="1"/>
  <c r="K60" i="3"/>
  <c r="O60" i="3" s="1"/>
  <c r="CH60" i="3" s="1"/>
  <c r="J60" i="3"/>
  <c r="N60" i="3" s="1"/>
  <c r="H60" i="3"/>
  <c r="G60" i="3"/>
  <c r="E60" i="3"/>
  <c r="C60" i="3"/>
  <c r="B60" i="3"/>
  <c r="CM59" i="3"/>
  <c r="CK59" i="3"/>
  <c r="DZ58" i="3"/>
  <c r="DY58" i="3"/>
  <c r="DX58" i="3"/>
  <c r="DW58" i="3"/>
  <c r="DV58" i="3"/>
  <c r="DU58" i="3"/>
  <c r="DS58" i="3"/>
  <c r="DR58" i="3"/>
  <c r="DQ58" i="3"/>
  <c r="DP58" i="3"/>
  <c r="DO58" i="3"/>
  <c r="DN58" i="3"/>
  <c r="CM58" i="3"/>
  <c r="F58" i="3" s="1"/>
  <c r="CK58" i="3"/>
  <c r="D58" i="3" s="1"/>
  <c r="BJ58" i="3"/>
  <c r="BI58" i="3"/>
  <c r="BH58" i="3"/>
  <c r="BG58" i="3"/>
  <c r="BF58" i="3"/>
  <c r="BA58" i="3"/>
  <c r="AW58" i="3"/>
  <c r="AT58" i="3"/>
  <c r="AS58" i="3"/>
  <c r="AR58" i="3"/>
  <c r="AQ58" i="3"/>
  <c r="AP58" i="3"/>
  <c r="AO58" i="3"/>
  <c r="AN58" i="3"/>
  <c r="AM58" i="3"/>
  <c r="AL58" i="3"/>
  <c r="AK58" i="3"/>
  <c r="AJ58" i="3"/>
  <c r="R58" i="3"/>
  <c r="BE58" i="3" s="1"/>
  <c r="M58" i="3"/>
  <c r="Q58" i="3" s="1"/>
  <c r="L58" i="3"/>
  <c r="P58" i="3" s="1"/>
  <c r="K58" i="3"/>
  <c r="O58" i="3" s="1"/>
  <c r="J58" i="3"/>
  <c r="N58" i="3" s="1"/>
  <c r="H58" i="3"/>
  <c r="G58" i="3"/>
  <c r="E58" i="3"/>
  <c r="C58" i="3"/>
  <c r="B58" i="3"/>
  <c r="DZ57" i="3"/>
  <c r="DY57" i="3"/>
  <c r="DX57" i="3"/>
  <c r="DW57" i="3"/>
  <c r="DV57" i="3"/>
  <c r="DU57" i="3"/>
  <c r="DS57" i="3"/>
  <c r="DR57" i="3"/>
  <c r="DQ57" i="3"/>
  <c r="DP57" i="3"/>
  <c r="DO57" i="3"/>
  <c r="DN57" i="3"/>
  <c r="CM57" i="3"/>
  <c r="F57" i="3" s="1"/>
  <c r="CK57" i="3"/>
  <c r="D57" i="3" s="1"/>
  <c r="BJ57" i="3"/>
  <c r="BI57" i="3"/>
  <c r="BH57" i="3"/>
  <c r="BG57" i="3"/>
  <c r="BF57" i="3"/>
  <c r="BA57" i="3"/>
  <c r="AW57" i="3"/>
  <c r="AT57" i="3"/>
  <c r="AS57" i="3"/>
  <c r="AR57" i="3"/>
  <c r="AQ57" i="3"/>
  <c r="AP57" i="3"/>
  <c r="AO57" i="3"/>
  <c r="AN57" i="3"/>
  <c r="AM57" i="3"/>
  <c r="AL57" i="3"/>
  <c r="AK57" i="3"/>
  <c r="AJ57" i="3"/>
  <c r="R57" i="3"/>
  <c r="BE57" i="3" s="1"/>
  <c r="M57" i="3"/>
  <c r="Q57" i="3" s="1"/>
  <c r="L57" i="3"/>
  <c r="P57" i="3" s="1"/>
  <c r="K57" i="3"/>
  <c r="O57" i="3" s="1"/>
  <c r="CH57" i="3" s="1"/>
  <c r="J57" i="3"/>
  <c r="N57" i="3" s="1"/>
  <c r="H57" i="3"/>
  <c r="G57" i="3"/>
  <c r="E57" i="3"/>
  <c r="C57" i="3"/>
  <c r="B57" i="3"/>
  <c r="DZ56" i="3"/>
  <c r="DY56" i="3"/>
  <c r="DX56" i="3"/>
  <c r="DW56" i="3"/>
  <c r="DV56" i="3"/>
  <c r="DU56" i="3"/>
  <c r="DS56" i="3"/>
  <c r="DR56" i="3"/>
  <c r="DQ56" i="3"/>
  <c r="DP56" i="3"/>
  <c r="DO56" i="3"/>
  <c r="DN56" i="3"/>
  <c r="CM56" i="3"/>
  <c r="F56" i="3" s="1"/>
  <c r="CK56" i="3"/>
  <c r="D56" i="3" s="1"/>
  <c r="BJ56" i="3"/>
  <c r="BI56" i="3"/>
  <c r="BH56" i="3"/>
  <c r="BG56" i="3"/>
  <c r="BF56" i="3"/>
  <c r="BA56" i="3"/>
  <c r="AW56" i="3"/>
  <c r="AT56" i="3"/>
  <c r="AS56" i="3"/>
  <c r="AR56" i="3"/>
  <c r="AQ56" i="3"/>
  <c r="AP56" i="3"/>
  <c r="AO56" i="3"/>
  <c r="AN56" i="3"/>
  <c r="AM56" i="3"/>
  <c r="AL56" i="3"/>
  <c r="AK56" i="3"/>
  <c r="AJ56" i="3"/>
  <c r="R56" i="3"/>
  <c r="BE56" i="3" s="1"/>
  <c r="M56" i="3"/>
  <c r="Q56" i="3" s="1"/>
  <c r="L56" i="3"/>
  <c r="P56" i="3" s="1"/>
  <c r="K56" i="3"/>
  <c r="O56" i="3" s="1"/>
  <c r="J56" i="3"/>
  <c r="N56" i="3" s="1"/>
  <c r="H56" i="3"/>
  <c r="G56" i="3"/>
  <c r="E56" i="3"/>
  <c r="C56" i="3"/>
  <c r="B56" i="3"/>
  <c r="DZ55" i="3"/>
  <c r="DY55" i="3"/>
  <c r="DX55" i="3"/>
  <c r="DI55" i="3" s="1"/>
  <c r="DW55" i="3"/>
  <c r="DV55" i="3"/>
  <c r="DU55" i="3"/>
  <c r="DS55" i="3"/>
  <c r="DR55" i="3"/>
  <c r="DQ55" i="3"/>
  <c r="DP55" i="3"/>
  <c r="DO55" i="3"/>
  <c r="CZ55" i="3" s="1"/>
  <c r="DN55" i="3"/>
  <c r="DM55" i="3"/>
  <c r="CX55" i="3"/>
  <c r="CM55" i="3"/>
  <c r="F55" i="3" s="1"/>
  <c r="CK55" i="3"/>
  <c r="BJ55" i="3"/>
  <c r="BI55" i="3"/>
  <c r="BH55" i="3"/>
  <c r="BG55" i="3"/>
  <c r="BF55" i="3"/>
  <c r="BA55" i="3"/>
  <c r="AW55" i="3"/>
  <c r="AT55" i="3"/>
  <c r="AS55" i="3"/>
  <c r="AR55" i="3"/>
  <c r="AQ55" i="3"/>
  <c r="AP55" i="3"/>
  <c r="AO55" i="3"/>
  <c r="AN55" i="3"/>
  <c r="AM55" i="3"/>
  <c r="AL55" i="3"/>
  <c r="AK55" i="3"/>
  <c r="AJ55" i="3"/>
  <c r="R55" i="3"/>
  <c r="BE55" i="3" s="1"/>
  <c r="M55" i="3"/>
  <c r="Q55" i="3" s="1"/>
  <c r="L55" i="3"/>
  <c r="P55" i="3" s="1"/>
  <c r="K55" i="3"/>
  <c r="O55" i="3" s="1"/>
  <c r="J55" i="3"/>
  <c r="N55" i="3" s="1"/>
  <c r="H55" i="3"/>
  <c r="G55" i="3"/>
  <c r="E55" i="3"/>
  <c r="D55" i="3"/>
  <c r="C55" i="3"/>
  <c r="B55" i="3"/>
  <c r="CM54" i="3"/>
  <c r="CK54" i="3"/>
  <c r="DZ53" i="3"/>
  <c r="DY53" i="3"/>
  <c r="DX53" i="3"/>
  <c r="DW53" i="3"/>
  <c r="DV53" i="3"/>
  <c r="DU53" i="3"/>
  <c r="DS53" i="3"/>
  <c r="DR53" i="3"/>
  <c r="DQ53" i="3"/>
  <c r="DP53" i="3"/>
  <c r="DO53" i="3"/>
  <c r="DN53" i="3"/>
  <c r="CM53" i="3"/>
  <c r="F53" i="3" s="1"/>
  <c r="CK53" i="3"/>
  <c r="D53" i="3" s="1"/>
  <c r="BJ53" i="3"/>
  <c r="BI53" i="3"/>
  <c r="BH53" i="3"/>
  <c r="BG53" i="3"/>
  <c r="BF53" i="3"/>
  <c r="BA53" i="3"/>
  <c r="AW53" i="3"/>
  <c r="AT53" i="3"/>
  <c r="AS53" i="3"/>
  <c r="AR53" i="3"/>
  <c r="AQ53" i="3"/>
  <c r="AP53" i="3"/>
  <c r="AO53" i="3"/>
  <c r="AN53" i="3"/>
  <c r="AM53" i="3"/>
  <c r="AL53" i="3"/>
  <c r="AK53" i="3"/>
  <c r="AJ53" i="3"/>
  <c r="R53" i="3"/>
  <c r="BE53" i="3" s="1"/>
  <c r="M53" i="3"/>
  <c r="Q53" i="3" s="1"/>
  <c r="L53" i="3"/>
  <c r="P53" i="3" s="1"/>
  <c r="K53" i="3"/>
  <c r="O53" i="3" s="1"/>
  <c r="J53" i="3"/>
  <c r="N53" i="3" s="1"/>
  <c r="H53" i="3"/>
  <c r="G53" i="3"/>
  <c r="E53" i="3"/>
  <c r="C53" i="3"/>
  <c r="B53" i="3"/>
  <c r="DZ52" i="3"/>
  <c r="DY52" i="3"/>
  <c r="DX52" i="3"/>
  <c r="DW52" i="3"/>
  <c r="DV52" i="3"/>
  <c r="DU52" i="3"/>
  <c r="DS52" i="3"/>
  <c r="DR52" i="3"/>
  <c r="DQ52" i="3"/>
  <c r="DP52" i="3"/>
  <c r="DO52" i="3"/>
  <c r="DN52" i="3"/>
  <c r="CM52" i="3"/>
  <c r="F52" i="3" s="1"/>
  <c r="CK52" i="3"/>
  <c r="D52" i="3" s="1"/>
  <c r="BJ52" i="3"/>
  <c r="BI52" i="3"/>
  <c r="BH52" i="3"/>
  <c r="BG52" i="3"/>
  <c r="BF52" i="3"/>
  <c r="BA52" i="3"/>
  <c r="AW52" i="3"/>
  <c r="AT52" i="3"/>
  <c r="AS52" i="3"/>
  <c r="AR52" i="3"/>
  <c r="AQ52" i="3"/>
  <c r="AP52" i="3"/>
  <c r="AO52" i="3"/>
  <c r="AN52" i="3"/>
  <c r="AM52" i="3"/>
  <c r="AL52" i="3"/>
  <c r="AK52" i="3"/>
  <c r="AJ52" i="3"/>
  <c r="R52" i="3"/>
  <c r="BE52" i="3" s="1"/>
  <c r="M52" i="3"/>
  <c r="Q52" i="3" s="1"/>
  <c r="L52" i="3"/>
  <c r="P52" i="3" s="1"/>
  <c r="K52" i="3"/>
  <c r="O52" i="3" s="1"/>
  <c r="J52" i="3"/>
  <c r="N52" i="3" s="1"/>
  <c r="H52" i="3"/>
  <c r="G52" i="3"/>
  <c r="E52" i="3"/>
  <c r="C52" i="3"/>
  <c r="B52" i="3"/>
  <c r="DZ51" i="3"/>
  <c r="DY51" i="3"/>
  <c r="DX51" i="3"/>
  <c r="DW51" i="3"/>
  <c r="DV51" i="3"/>
  <c r="DU51" i="3"/>
  <c r="DS51" i="3"/>
  <c r="DR51" i="3"/>
  <c r="DQ51" i="3"/>
  <c r="DP51" i="3"/>
  <c r="DO51" i="3"/>
  <c r="DN51" i="3"/>
  <c r="CM51" i="3"/>
  <c r="F51" i="3" s="1"/>
  <c r="CK51" i="3"/>
  <c r="D51" i="3" s="1"/>
  <c r="BJ51" i="3"/>
  <c r="BI51" i="3"/>
  <c r="BH51" i="3"/>
  <c r="BG51" i="3"/>
  <c r="BF51" i="3"/>
  <c r="BA51" i="3"/>
  <c r="AW51" i="3"/>
  <c r="AT51" i="3"/>
  <c r="AS51" i="3"/>
  <c r="AR51" i="3"/>
  <c r="AQ51" i="3"/>
  <c r="AP51" i="3"/>
  <c r="AO51" i="3"/>
  <c r="AN51" i="3"/>
  <c r="AM51" i="3"/>
  <c r="AL51" i="3"/>
  <c r="AK51" i="3"/>
  <c r="AJ51" i="3"/>
  <c r="R51" i="3"/>
  <c r="BE51" i="3" s="1"/>
  <c r="M51" i="3"/>
  <c r="Q51" i="3" s="1"/>
  <c r="L51" i="3"/>
  <c r="P51" i="3" s="1"/>
  <c r="K51" i="3"/>
  <c r="O51" i="3" s="1"/>
  <c r="CH51" i="3" s="1"/>
  <c r="J51" i="3"/>
  <c r="N51" i="3" s="1"/>
  <c r="H51" i="3"/>
  <c r="G51" i="3"/>
  <c r="E51" i="3"/>
  <c r="C51" i="3"/>
  <c r="B51" i="3"/>
  <c r="DZ50" i="3"/>
  <c r="DY50" i="3"/>
  <c r="DX50" i="3"/>
  <c r="DW50" i="3"/>
  <c r="DV50" i="3"/>
  <c r="DU50" i="3"/>
  <c r="DS50" i="3"/>
  <c r="DR50" i="3"/>
  <c r="DQ50" i="3"/>
  <c r="DP50" i="3"/>
  <c r="DO50" i="3"/>
  <c r="DN50" i="3"/>
  <c r="DM50" i="3"/>
  <c r="CX50" i="3"/>
  <c r="CM50" i="3"/>
  <c r="F50" i="3" s="1"/>
  <c r="CK50" i="3"/>
  <c r="D50" i="3" s="1"/>
  <c r="BJ50" i="3"/>
  <c r="BI50" i="3"/>
  <c r="BH50" i="3"/>
  <c r="BG50" i="3"/>
  <c r="BA50" i="3"/>
  <c r="AW50" i="3"/>
  <c r="AT50" i="3"/>
  <c r="AS50" i="3"/>
  <c r="AR50" i="3"/>
  <c r="AQ50" i="3"/>
  <c r="AP50" i="3"/>
  <c r="AO50" i="3"/>
  <c r="AN50" i="3"/>
  <c r="AM50" i="3"/>
  <c r="AL50" i="3"/>
  <c r="AK50" i="3"/>
  <c r="AJ50" i="3"/>
  <c r="R50" i="3"/>
  <c r="M50" i="3"/>
  <c r="Q50" i="3" s="1"/>
  <c r="L50" i="3"/>
  <c r="P50" i="3" s="1"/>
  <c r="K50" i="3"/>
  <c r="O50" i="3" s="1"/>
  <c r="J50" i="3"/>
  <c r="N50" i="3" s="1"/>
  <c r="H50" i="3"/>
  <c r="G50" i="3"/>
  <c r="E50" i="3"/>
  <c r="C50" i="3"/>
  <c r="B50" i="3"/>
  <c r="CM49" i="3"/>
  <c r="CK49" i="3"/>
  <c r="DZ48" i="3"/>
  <c r="DY48" i="3"/>
  <c r="DX48" i="3"/>
  <c r="DW48" i="3"/>
  <c r="DV48" i="3"/>
  <c r="DU48" i="3"/>
  <c r="DS48" i="3"/>
  <c r="DR48" i="3"/>
  <c r="DQ48" i="3"/>
  <c r="DP48" i="3"/>
  <c r="DO48" i="3"/>
  <c r="DN48" i="3"/>
  <c r="CM48" i="3"/>
  <c r="F48" i="3" s="1"/>
  <c r="CK48" i="3"/>
  <c r="D48" i="3" s="1"/>
  <c r="BJ48" i="3"/>
  <c r="BI48" i="3"/>
  <c r="BH48" i="3"/>
  <c r="BG48" i="3"/>
  <c r="BF48" i="3"/>
  <c r="BA48" i="3"/>
  <c r="AW48" i="3"/>
  <c r="AT48" i="3"/>
  <c r="AS48" i="3"/>
  <c r="AR48" i="3"/>
  <c r="AQ48" i="3"/>
  <c r="AP48" i="3"/>
  <c r="AO48" i="3"/>
  <c r="AN48" i="3"/>
  <c r="AM48" i="3"/>
  <c r="AL48" i="3"/>
  <c r="AK48" i="3"/>
  <c r="AJ48" i="3"/>
  <c r="R48" i="3"/>
  <c r="BE48" i="3" s="1"/>
  <c r="M48" i="3"/>
  <c r="Q48" i="3" s="1"/>
  <c r="L48" i="3"/>
  <c r="P48" i="3" s="1"/>
  <c r="K48" i="3"/>
  <c r="O48" i="3" s="1"/>
  <c r="J48" i="3"/>
  <c r="N48" i="3" s="1"/>
  <c r="H48" i="3"/>
  <c r="G48" i="3"/>
  <c r="E48" i="3"/>
  <c r="C48" i="3"/>
  <c r="B48" i="3"/>
  <c r="DZ47" i="3"/>
  <c r="DY47" i="3"/>
  <c r="DX47" i="3"/>
  <c r="DW47" i="3"/>
  <c r="DV47" i="3"/>
  <c r="DU47" i="3"/>
  <c r="DS47" i="3"/>
  <c r="DR47" i="3"/>
  <c r="DQ47" i="3"/>
  <c r="DP47" i="3"/>
  <c r="DO47" i="3"/>
  <c r="DN47" i="3"/>
  <c r="CM47" i="3"/>
  <c r="F47" i="3" s="1"/>
  <c r="CK47" i="3"/>
  <c r="D47" i="3" s="1"/>
  <c r="BJ47" i="3"/>
  <c r="BI47" i="3"/>
  <c r="BH47" i="3"/>
  <c r="BG47" i="3"/>
  <c r="BA47" i="3"/>
  <c r="AW47" i="3"/>
  <c r="AT47" i="3"/>
  <c r="AS47" i="3"/>
  <c r="AR47" i="3"/>
  <c r="AQ47" i="3"/>
  <c r="AP47" i="3"/>
  <c r="AO47" i="3"/>
  <c r="AN47" i="3"/>
  <c r="AM47" i="3"/>
  <c r="AL47" i="3"/>
  <c r="AK47" i="3"/>
  <c r="AJ47" i="3"/>
  <c r="R47" i="3"/>
  <c r="BF47" i="3" s="1"/>
  <c r="M47" i="3"/>
  <c r="Q47" i="3" s="1"/>
  <c r="L47" i="3"/>
  <c r="P47" i="3" s="1"/>
  <c r="K47" i="3"/>
  <c r="O47" i="3" s="1"/>
  <c r="J47" i="3"/>
  <c r="N47" i="3" s="1"/>
  <c r="H47" i="3"/>
  <c r="G47" i="3"/>
  <c r="E47" i="3"/>
  <c r="C47" i="3"/>
  <c r="B47" i="3"/>
  <c r="DZ46" i="3"/>
  <c r="DY46" i="3"/>
  <c r="DX46" i="3"/>
  <c r="DW46" i="3"/>
  <c r="DV46" i="3"/>
  <c r="DU46" i="3"/>
  <c r="DS46" i="3"/>
  <c r="DR46" i="3"/>
  <c r="DQ46" i="3"/>
  <c r="DP46" i="3"/>
  <c r="DO46" i="3"/>
  <c r="DN46" i="3"/>
  <c r="CM46" i="3"/>
  <c r="F46" i="3" s="1"/>
  <c r="CK46" i="3"/>
  <c r="D46" i="3" s="1"/>
  <c r="BJ46" i="3"/>
  <c r="BI46" i="3"/>
  <c r="BH46" i="3"/>
  <c r="BG46" i="3"/>
  <c r="BF46" i="3"/>
  <c r="BE46" i="3"/>
  <c r="BA46" i="3"/>
  <c r="AW46" i="3"/>
  <c r="AT46" i="3"/>
  <c r="AS46" i="3"/>
  <c r="AR46" i="3"/>
  <c r="AQ46" i="3"/>
  <c r="AP46" i="3"/>
  <c r="AO46" i="3"/>
  <c r="AN46" i="3"/>
  <c r="AM46" i="3"/>
  <c r="AL46" i="3"/>
  <c r="AK46" i="3"/>
  <c r="AJ46" i="3"/>
  <c r="R46" i="3"/>
  <c r="M46" i="3"/>
  <c r="Q46" i="3" s="1"/>
  <c r="L46" i="3"/>
  <c r="P46" i="3" s="1"/>
  <c r="K46" i="3"/>
  <c r="O46" i="3" s="1"/>
  <c r="J46" i="3"/>
  <c r="N46" i="3" s="1"/>
  <c r="H46" i="3"/>
  <c r="G46" i="3"/>
  <c r="E46" i="3"/>
  <c r="C46" i="3"/>
  <c r="B46" i="3"/>
  <c r="DZ45" i="3"/>
  <c r="DK45" i="3" s="1"/>
  <c r="DY45" i="3"/>
  <c r="DX45" i="3"/>
  <c r="DW45" i="3"/>
  <c r="DV45" i="3"/>
  <c r="DU45" i="3"/>
  <c r="DS45" i="3"/>
  <c r="DR45" i="3"/>
  <c r="DQ45" i="3"/>
  <c r="DP45" i="3"/>
  <c r="DO45" i="3"/>
  <c r="DN45" i="3"/>
  <c r="DM45" i="3"/>
  <c r="CX45" i="3"/>
  <c r="CM45" i="3"/>
  <c r="F45" i="3" s="1"/>
  <c r="CK45" i="3"/>
  <c r="D45" i="3" s="1"/>
  <c r="BJ45" i="3"/>
  <c r="BI45" i="3"/>
  <c r="BH45" i="3"/>
  <c r="BG45" i="3"/>
  <c r="BA45" i="3"/>
  <c r="AW45" i="3"/>
  <c r="AT45" i="3"/>
  <c r="AS45" i="3"/>
  <c r="AR45" i="3"/>
  <c r="AQ45" i="3"/>
  <c r="AP45" i="3"/>
  <c r="AO45" i="3"/>
  <c r="AN45" i="3"/>
  <c r="AM45" i="3"/>
  <c r="AL45" i="3"/>
  <c r="AK45" i="3"/>
  <c r="AJ45" i="3"/>
  <c r="R45" i="3"/>
  <c r="BF45" i="3" s="1"/>
  <c r="M45" i="3"/>
  <c r="Q45" i="3" s="1"/>
  <c r="L45" i="3"/>
  <c r="P45" i="3" s="1"/>
  <c r="K45" i="3"/>
  <c r="O45" i="3" s="1"/>
  <c r="J45" i="3"/>
  <c r="N45" i="3" s="1"/>
  <c r="H45" i="3"/>
  <c r="G45" i="3"/>
  <c r="E45" i="3"/>
  <c r="C45" i="3"/>
  <c r="B45" i="3"/>
  <c r="CM44" i="3"/>
  <c r="CK44" i="3"/>
  <c r="DZ43" i="3"/>
  <c r="DY43" i="3"/>
  <c r="DX43" i="3"/>
  <c r="DW43" i="3"/>
  <c r="DV43" i="3"/>
  <c r="DU43" i="3"/>
  <c r="DS43" i="3"/>
  <c r="DR43" i="3"/>
  <c r="DQ43" i="3"/>
  <c r="DP43" i="3"/>
  <c r="DO43" i="3"/>
  <c r="DN43" i="3"/>
  <c r="CM43" i="3"/>
  <c r="F43" i="3" s="1"/>
  <c r="CK43" i="3"/>
  <c r="BJ43" i="3"/>
  <c r="BI43" i="3"/>
  <c r="BH43" i="3"/>
  <c r="BG43" i="3"/>
  <c r="BF43" i="3"/>
  <c r="BA43" i="3"/>
  <c r="AW43" i="3"/>
  <c r="AT43" i="3"/>
  <c r="AS43" i="3"/>
  <c r="AR43" i="3"/>
  <c r="AQ43" i="3"/>
  <c r="AP43" i="3"/>
  <c r="AO43" i="3"/>
  <c r="AN43" i="3"/>
  <c r="AM43" i="3"/>
  <c r="AL43" i="3"/>
  <c r="AK43" i="3"/>
  <c r="AJ43" i="3"/>
  <c r="R43" i="3"/>
  <c r="BE43" i="3" s="1"/>
  <c r="O43" i="3"/>
  <c r="CH43" i="3" s="1"/>
  <c r="M43" i="3"/>
  <c r="Q43" i="3" s="1"/>
  <c r="L43" i="3"/>
  <c r="P43" i="3" s="1"/>
  <c r="K43" i="3"/>
  <c r="J43" i="3"/>
  <c r="N43" i="3" s="1"/>
  <c r="H43" i="3"/>
  <c r="G43" i="3"/>
  <c r="E43" i="3"/>
  <c r="D43" i="3"/>
  <c r="C43" i="3"/>
  <c r="B43" i="3"/>
  <c r="DZ42" i="3"/>
  <c r="DY42" i="3"/>
  <c r="DX42" i="3"/>
  <c r="DW42" i="3"/>
  <c r="DV42" i="3"/>
  <c r="DU42" i="3"/>
  <c r="DS42" i="3"/>
  <c r="DR42" i="3"/>
  <c r="DQ42" i="3"/>
  <c r="DP42" i="3"/>
  <c r="DO42" i="3"/>
  <c r="DN42" i="3"/>
  <c r="CM42" i="3"/>
  <c r="F42" i="3" s="1"/>
  <c r="CK42" i="3"/>
  <c r="D42" i="3" s="1"/>
  <c r="BJ42" i="3"/>
  <c r="BI42" i="3"/>
  <c r="BH42" i="3"/>
  <c r="BG42" i="3"/>
  <c r="BF42" i="3"/>
  <c r="BA42" i="3"/>
  <c r="AW42" i="3"/>
  <c r="AT42" i="3"/>
  <c r="AS42" i="3"/>
  <c r="AR42" i="3"/>
  <c r="AQ42" i="3"/>
  <c r="AP42" i="3"/>
  <c r="AO42" i="3"/>
  <c r="AN42" i="3"/>
  <c r="AM42" i="3"/>
  <c r="AL42" i="3"/>
  <c r="AK42" i="3"/>
  <c r="AJ42" i="3"/>
  <c r="R42" i="3"/>
  <c r="M42" i="3"/>
  <c r="Q42" i="3" s="1"/>
  <c r="L42" i="3"/>
  <c r="P42" i="3" s="1"/>
  <c r="K42" i="3"/>
  <c r="O42" i="3" s="1"/>
  <c r="J42" i="3"/>
  <c r="N42" i="3" s="1"/>
  <c r="H42" i="3"/>
  <c r="G42" i="3"/>
  <c r="E42" i="3"/>
  <c r="C42" i="3"/>
  <c r="B42" i="3"/>
  <c r="DZ41" i="3"/>
  <c r="DY41" i="3"/>
  <c r="DX41" i="3"/>
  <c r="DW41" i="3"/>
  <c r="DV41" i="3"/>
  <c r="DU41" i="3"/>
  <c r="DS41" i="3"/>
  <c r="DR41" i="3"/>
  <c r="DQ41" i="3"/>
  <c r="DP41" i="3"/>
  <c r="DO41" i="3"/>
  <c r="DN41" i="3"/>
  <c r="CM41" i="3"/>
  <c r="F41" i="3" s="1"/>
  <c r="CK41" i="3"/>
  <c r="D41" i="3" s="1"/>
  <c r="BJ41" i="3"/>
  <c r="BI41" i="3"/>
  <c r="BH41" i="3"/>
  <c r="BG41" i="3"/>
  <c r="BF41" i="3"/>
  <c r="BE41" i="3"/>
  <c r="BA41" i="3"/>
  <c r="AW41" i="3"/>
  <c r="AT41" i="3"/>
  <c r="AS41" i="3"/>
  <c r="AR41" i="3"/>
  <c r="AQ41" i="3"/>
  <c r="AP41" i="3"/>
  <c r="AO41" i="3"/>
  <c r="AN41" i="3"/>
  <c r="AM41" i="3"/>
  <c r="AL41" i="3"/>
  <c r="AK41" i="3"/>
  <c r="AJ41" i="3"/>
  <c r="R41" i="3"/>
  <c r="M41" i="3"/>
  <c r="Q41" i="3" s="1"/>
  <c r="L41" i="3"/>
  <c r="P41" i="3" s="1"/>
  <c r="K41" i="3"/>
  <c r="O41" i="3" s="1"/>
  <c r="J41" i="3"/>
  <c r="N41" i="3" s="1"/>
  <c r="H41" i="3"/>
  <c r="G41" i="3"/>
  <c r="E41" i="3"/>
  <c r="C41" i="3"/>
  <c r="B41" i="3"/>
  <c r="DZ40" i="3"/>
  <c r="DY40" i="3"/>
  <c r="DX40" i="3"/>
  <c r="DW40" i="3"/>
  <c r="DV40" i="3"/>
  <c r="DU40" i="3"/>
  <c r="DS40" i="3"/>
  <c r="DR40" i="3"/>
  <c r="DQ40" i="3"/>
  <c r="DP40" i="3"/>
  <c r="DO40" i="3"/>
  <c r="DN40" i="3"/>
  <c r="DM40" i="3"/>
  <c r="CX40" i="3"/>
  <c r="CM40" i="3"/>
  <c r="F40" i="3" s="1"/>
  <c r="CK40" i="3"/>
  <c r="D40" i="3" s="1"/>
  <c r="BJ40" i="3"/>
  <c r="BI40" i="3"/>
  <c r="BH40" i="3"/>
  <c r="BG40" i="3"/>
  <c r="BF40" i="3"/>
  <c r="BA40" i="3"/>
  <c r="AW40" i="3"/>
  <c r="AT40" i="3"/>
  <c r="AS40" i="3"/>
  <c r="AR40" i="3"/>
  <c r="AQ40" i="3"/>
  <c r="AP40" i="3"/>
  <c r="AO40" i="3"/>
  <c r="AN40" i="3"/>
  <c r="AM40" i="3"/>
  <c r="AL40" i="3"/>
  <c r="AK40" i="3"/>
  <c r="AJ40" i="3"/>
  <c r="R40" i="3"/>
  <c r="M40" i="3"/>
  <c r="Q40" i="3" s="1"/>
  <c r="L40" i="3"/>
  <c r="P40" i="3" s="1"/>
  <c r="K40" i="3"/>
  <c r="O40" i="3" s="1"/>
  <c r="J40" i="3"/>
  <c r="N40" i="3" s="1"/>
  <c r="H40" i="3"/>
  <c r="G40" i="3"/>
  <c r="E40" i="3"/>
  <c r="C40" i="3"/>
  <c r="B40" i="3"/>
  <c r="CM39" i="3"/>
  <c r="CK39" i="3"/>
  <c r="DZ38" i="3"/>
  <c r="DY38" i="3"/>
  <c r="DX38" i="3"/>
  <c r="DW38" i="3"/>
  <c r="DV38" i="3"/>
  <c r="DU38" i="3"/>
  <c r="DS38" i="3"/>
  <c r="DR38" i="3"/>
  <c r="DQ38" i="3"/>
  <c r="DP38" i="3"/>
  <c r="DO38" i="3"/>
  <c r="DN38" i="3"/>
  <c r="CM38" i="3"/>
  <c r="F38" i="3" s="1"/>
  <c r="CK38" i="3"/>
  <c r="D38" i="3" s="1"/>
  <c r="BJ38" i="3"/>
  <c r="BI38" i="3"/>
  <c r="BH38" i="3"/>
  <c r="BG38" i="3"/>
  <c r="BF38" i="3"/>
  <c r="BA38" i="3"/>
  <c r="AW38" i="3"/>
  <c r="AT38" i="3"/>
  <c r="AS38" i="3"/>
  <c r="AR38" i="3"/>
  <c r="AQ38" i="3"/>
  <c r="AP38" i="3"/>
  <c r="AO38" i="3"/>
  <c r="AN38" i="3"/>
  <c r="AM38" i="3"/>
  <c r="AL38" i="3"/>
  <c r="AK38" i="3"/>
  <c r="AJ38" i="3"/>
  <c r="R38" i="3"/>
  <c r="BE38" i="3" s="1"/>
  <c r="M38" i="3"/>
  <c r="Q38" i="3" s="1"/>
  <c r="L38" i="3"/>
  <c r="P38" i="3" s="1"/>
  <c r="K38" i="3"/>
  <c r="O38" i="3" s="1"/>
  <c r="J38" i="3"/>
  <c r="N38" i="3" s="1"/>
  <c r="H38" i="3"/>
  <c r="G38" i="3"/>
  <c r="E38" i="3"/>
  <c r="C38" i="3"/>
  <c r="B38" i="3"/>
  <c r="DZ37" i="3"/>
  <c r="DY37" i="3"/>
  <c r="DX37" i="3"/>
  <c r="DW37" i="3"/>
  <c r="DV37" i="3"/>
  <c r="DU37" i="3"/>
  <c r="DS37" i="3"/>
  <c r="DR37" i="3"/>
  <c r="DQ37" i="3"/>
  <c r="DP37" i="3"/>
  <c r="DO37" i="3"/>
  <c r="DN37" i="3"/>
  <c r="CM37" i="3"/>
  <c r="F37" i="3" s="1"/>
  <c r="CK37" i="3"/>
  <c r="D37" i="3" s="1"/>
  <c r="BJ37" i="3"/>
  <c r="BI37" i="3"/>
  <c r="BH37" i="3"/>
  <c r="BG37" i="3"/>
  <c r="BF37" i="3"/>
  <c r="BA37" i="3"/>
  <c r="AW37" i="3"/>
  <c r="AT37" i="3"/>
  <c r="AS37" i="3"/>
  <c r="AR37" i="3"/>
  <c r="AQ37" i="3"/>
  <c r="AP37" i="3"/>
  <c r="AO37" i="3"/>
  <c r="AN37" i="3"/>
  <c r="AM37" i="3"/>
  <c r="AL37" i="3"/>
  <c r="AK37" i="3"/>
  <c r="AJ37" i="3"/>
  <c r="R37" i="3"/>
  <c r="BE37" i="3" s="1"/>
  <c r="M37" i="3"/>
  <c r="Q37" i="3" s="1"/>
  <c r="L37" i="3"/>
  <c r="P37" i="3" s="1"/>
  <c r="K37" i="3"/>
  <c r="O37" i="3" s="1"/>
  <c r="J37" i="3"/>
  <c r="N37" i="3" s="1"/>
  <c r="H37" i="3"/>
  <c r="G37" i="3"/>
  <c r="E37" i="3"/>
  <c r="C37" i="3"/>
  <c r="B37" i="3"/>
  <c r="DZ36" i="3"/>
  <c r="DY36" i="3"/>
  <c r="DX36" i="3"/>
  <c r="DW36" i="3"/>
  <c r="DV36" i="3"/>
  <c r="DU36" i="3"/>
  <c r="DS36" i="3"/>
  <c r="DR36" i="3"/>
  <c r="DQ36" i="3"/>
  <c r="DP36" i="3"/>
  <c r="DO36" i="3"/>
  <c r="DN36" i="3"/>
  <c r="CM36" i="3"/>
  <c r="F36" i="3" s="1"/>
  <c r="CK36" i="3"/>
  <c r="D36" i="3" s="1"/>
  <c r="BJ36" i="3"/>
  <c r="BI36" i="3"/>
  <c r="BH36" i="3"/>
  <c r="BG36" i="3"/>
  <c r="BF36" i="3"/>
  <c r="BA36" i="3"/>
  <c r="AW36" i="3"/>
  <c r="AT36" i="3"/>
  <c r="AS36" i="3"/>
  <c r="AR36" i="3"/>
  <c r="AQ36" i="3"/>
  <c r="AP36" i="3"/>
  <c r="AO36" i="3"/>
  <c r="AN36" i="3"/>
  <c r="AM36" i="3"/>
  <c r="AL36" i="3"/>
  <c r="AK36" i="3"/>
  <c r="AJ36" i="3"/>
  <c r="R36" i="3"/>
  <c r="BE36" i="3" s="1"/>
  <c r="M36" i="3"/>
  <c r="Q36" i="3" s="1"/>
  <c r="L36" i="3"/>
  <c r="P36" i="3" s="1"/>
  <c r="K36" i="3"/>
  <c r="O36" i="3" s="1"/>
  <c r="J36" i="3"/>
  <c r="N36" i="3" s="1"/>
  <c r="H36" i="3"/>
  <c r="G36" i="3"/>
  <c r="E36" i="3"/>
  <c r="C36" i="3"/>
  <c r="B36" i="3"/>
  <c r="DZ35" i="3"/>
  <c r="DY35" i="3"/>
  <c r="DX35" i="3"/>
  <c r="DW35" i="3"/>
  <c r="DV35" i="3"/>
  <c r="DU35" i="3"/>
  <c r="DS35" i="3"/>
  <c r="DR35" i="3"/>
  <c r="DQ35" i="3"/>
  <c r="DP35" i="3"/>
  <c r="DO35" i="3"/>
  <c r="DN35" i="3"/>
  <c r="DM35" i="3"/>
  <c r="CX35" i="3"/>
  <c r="CM35" i="3"/>
  <c r="F35" i="3" s="1"/>
  <c r="CK35" i="3"/>
  <c r="D35" i="3" s="1"/>
  <c r="BJ35" i="3"/>
  <c r="BI35" i="3"/>
  <c r="BH35" i="3"/>
  <c r="BG35" i="3"/>
  <c r="BF35" i="3"/>
  <c r="BA35" i="3"/>
  <c r="AW35" i="3"/>
  <c r="AT35" i="3"/>
  <c r="AS35" i="3"/>
  <c r="AR35" i="3"/>
  <c r="AQ35" i="3"/>
  <c r="AP35" i="3"/>
  <c r="AO35" i="3"/>
  <c r="AN35" i="3"/>
  <c r="AM35" i="3"/>
  <c r="AL35" i="3"/>
  <c r="AK35" i="3"/>
  <c r="AJ35" i="3"/>
  <c r="R35" i="3"/>
  <c r="BE35" i="3" s="1"/>
  <c r="M35" i="3"/>
  <c r="Q35" i="3" s="1"/>
  <c r="L35" i="3"/>
  <c r="P35" i="3" s="1"/>
  <c r="K35" i="3"/>
  <c r="O35" i="3" s="1"/>
  <c r="J35" i="3"/>
  <c r="N35" i="3" s="1"/>
  <c r="H35" i="3"/>
  <c r="G35" i="3"/>
  <c r="E35" i="3"/>
  <c r="C35" i="3"/>
  <c r="B35" i="3"/>
  <c r="CM34" i="3"/>
  <c r="CK34" i="3"/>
  <c r="DZ33" i="3"/>
  <c r="DY33" i="3"/>
  <c r="DX33" i="3"/>
  <c r="DW33" i="3"/>
  <c r="DV33" i="3"/>
  <c r="DU33" i="3"/>
  <c r="DS33" i="3"/>
  <c r="DR33" i="3"/>
  <c r="DQ33" i="3"/>
  <c r="DP33" i="3"/>
  <c r="DO33" i="3"/>
  <c r="DN33" i="3"/>
  <c r="CM33" i="3"/>
  <c r="F33" i="3" s="1"/>
  <c r="CK33" i="3"/>
  <c r="D33" i="3" s="1"/>
  <c r="BJ33" i="3"/>
  <c r="BI33" i="3"/>
  <c r="BH33" i="3"/>
  <c r="BG33" i="3"/>
  <c r="BF33" i="3"/>
  <c r="BA33" i="3"/>
  <c r="AW33" i="3"/>
  <c r="AT33" i="3"/>
  <c r="AS33" i="3"/>
  <c r="AR33" i="3"/>
  <c r="AQ33" i="3"/>
  <c r="AP33" i="3"/>
  <c r="AO33" i="3"/>
  <c r="AN33" i="3"/>
  <c r="AM33" i="3"/>
  <c r="AL33" i="3"/>
  <c r="AK33" i="3"/>
  <c r="AJ33" i="3"/>
  <c r="R33" i="3"/>
  <c r="BE33" i="3" s="1"/>
  <c r="M33" i="3"/>
  <c r="Q33" i="3" s="1"/>
  <c r="L33" i="3"/>
  <c r="P33" i="3" s="1"/>
  <c r="K33" i="3"/>
  <c r="O33" i="3" s="1"/>
  <c r="CH33" i="3" s="1"/>
  <c r="J33" i="3"/>
  <c r="N33" i="3" s="1"/>
  <c r="H33" i="3"/>
  <c r="G33" i="3"/>
  <c r="E33" i="3"/>
  <c r="C33" i="3"/>
  <c r="B33" i="3"/>
  <c r="DZ32" i="3"/>
  <c r="DY32" i="3"/>
  <c r="DX32" i="3"/>
  <c r="DW32" i="3"/>
  <c r="DV32" i="3"/>
  <c r="DU32" i="3"/>
  <c r="DS32" i="3"/>
  <c r="DR32" i="3"/>
  <c r="DQ32" i="3"/>
  <c r="DP32" i="3"/>
  <c r="DO32" i="3"/>
  <c r="DN32" i="3"/>
  <c r="CM32" i="3"/>
  <c r="F32" i="3" s="1"/>
  <c r="CK32" i="3"/>
  <c r="D32" i="3" s="1"/>
  <c r="BJ32" i="3"/>
  <c r="BI32" i="3"/>
  <c r="BH32" i="3"/>
  <c r="BG32" i="3"/>
  <c r="BF32" i="3"/>
  <c r="BA32" i="3"/>
  <c r="AW32" i="3"/>
  <c r="AT32" i="3"/>
  <c r="AS32" i="3"/>
  <c r="AR32" i="3"/>
  <c r="AQ32" i="3"/>
  <c r="AP32" i="3"/>
  <c r="AO32" i="3"/>
  <c r="AN32" i="3"/>
  <c r="AM32" i="3"/>
  <c r="AL32" i="3"/>
  <c r="AK32" i="3"/>
  <c r="AJ32" i="3"/>
  <c r="R32" i="3"/>
  <c r="BE32" i="3" s="1"/>
  <c r="N32" i="3"/>
  <c r="M32" i="3"/>
  <c r="Q32" i="3" s="1"/>
  <c r="L32" i="3"/>
  <c r="P32" i="3" s="1"/>
  <c r="K32" i="3"/>
  <c r="O32" i="3" s="1"/>
  <c r="J32" i="3"/>
  <c r="H32" i="3"/>
  <c r="G32" i="3"/>
  <c r="E32" i="3"/>
  <c r="C32" i="3"/>
  <c r="B32" i="3"/>
  <c r="DZ31" i="3"/>
  <c r="DY31" i="3"/>
  <c r="DX31" i="3"/>
  <c r="DW31" i="3"/>
  <c r="DV31" i="3"/>
  <c r="DU31" i="3"/>
  <c r="DS31" i="3"/>
  <c r="DR31" i="3"/>
  <c r="DQ31" i="3"/>
  <c r="DP31" i="3"/>
  <c r="DO31" i="3"/>
  <c r="DN31" i="3"/>
  <c r="CM31" i="3"/>
  <c r="F31" i="3" s="1"/>
  <c r="CK31" i="3"/>
  <c r="D31" i="3" s="1"/>
  <c r="BJ31" i="3"/>
  <c r="BI31" i="3"/>
  <c r="BH31" i="3"/>
  <c r="BG31" i="3"/>
  <c r="BF31" i="3"/>
  <c r="BA31" i="3"/>
  <c r="AW31" i="3"/>
  <c r="AT31" i="3"/>
  <c r="AS31" i="3"/>
  <c r="AR31" i="3"/>
  <c r="AQ31" i="3"/>
  <c r="AP31" i="3"/>
  <c r="AO31" i="3"/>
  <c r="AN31" i="3"/>
  <c r="AM31" i="3"/>
  <c r="AL31" i="3"/>
  <c r="AK31" i="3"/>
  <c r="AJ31" i="3"/>
  <c r="R31" i="3"/>
  <c r="BE31" i="3" s="1"/>
  <c r="M31" i="3"/>
  <c r="Q31" i="3" s="1"/>
  <c r="L31" i="3"/>
  <c r="P31" i="3" s="1"/>
  <c r="K31" i="3"/>
  <c r="O31" i="3" s="1"/>
  <c r="CH31" i="3" s="1"/>
  <c r="J31" i="3"/>
  <c r="N31" i="3" s="1"/>
  <c r="H31" i="3"/>
  <c r="G31" i="3"/>
  <c r="E31" i="3"/>
  <c r="C31" i="3"/>
  <c r="B31" i="3"/>
  <c r="DZ30" i="3"/>
  <c r="DY30" i="3"/>
  <c r="DX30" i="3"/>
  <c r="DW30" i="3"/>
  <c r="DV30" i="3"/>
  <c r="DU30" i="3"/>
  <c r="DS30" i="3"/>
  <c r="DR30" i="3"/>
  <c r="DQ30" i="3"/>
  <c r="DP30" i="3"/>
  <c r="DO30" i="3"/>
  <c r="DN30" i="3"/>
  <c r="DM30" i="3"/>
  <c r="CX30" i="3"/>
  <c r="CM30" i="3"/>
  <c r="F30" i="3" s="1"/>
  <c r="CK30" i="3"/>
  <c r="D30" i="3" s="1"/>
  <c r="BJ30" i="3"/>
  <c r="BI30" i="3"/>
  <c r="BH30" i="3"/>
  <c r="BG30" i="3"/>
  <c r="BF30" i="3"/>
  <c r="BA30" i="3"/>
  <c r="AW30" i="3"/>
  <c r="AT30" i="3"/>
  <c r="AS30" i="3"/>
  <c r="AR30" i="3"/>
  <c r="AQ30" i="3"/>
  <c r="AP30" i="3"/>
  <c r="AO30" i="3"/>
  <c r="AN30" i="3"/>
  <c r="AM30" i="3"/>
  <c r="AL30" i="3"/>
  <c r="AK30" i="3"/>
  <c r="AJ30" i="3"/>
  <c r="R30" i="3"/>
  <c r="BE30" i="3" s="1"/>
  <c r="M30" i="3"/>
  <c r="Q30" i="3" s="1"/>
  <c r="L30" i="3"/>
  <c r="P30" i="3" s="1"/>
  <c r="K30" i="3"/>
  <c r="O30" i="3" s="1"/>
  <c r="CH30" i="3" s="1"/>
  <c r="J30" i="3"/>
  <c r="N30" i="3" s="1"/>
  <c r="H30" i="3"/>
  <c r="G30" i="3"/>
  <c r="E30" i="3"/>
  <c r="C30" i="3"/>
  <c r="B30" i="3"/>
  <c r="CM29" i="3"/>
  <c r="CK29" i="3"/>
  <c r="R29" i="3"/>
  <c r="DZ28" i="3"/>
  <c r="DY28" i="3"/>
  <c r="DX28" i="3"/>
  <c r="DW28" i="3"/>
  <c r="DV28" i="3"/>
  <c r="DU28" i="3"/>
  <c r="DS28" i="3"/>
  <c r="DR28" i="3"/>
  <c r="DQ28" i="3"/>
  <c r="DP28" i="3"/>
  <c r="DO28" i="3"/>
  <c r="DN28" i="3"/>
  <c r="CM28" i="3"/>
  <c r="F28" i="3" s="1"/>
  <c r="CK28" i="3"/>
  <c r="D28" i="3" s="1"/>
  <c r="BJ28" i="3"/>
  <c r="BI28" i="3"/>
  <c r="BH28" i="3"/>
  <c r="BG28" i="3"/>
  <c r="BF28" i="3"/>
  <c r="BA28" i="3"/>
  <c r="AW28" i="3"/>
  <c r="AT28" i="3"/>
  <c r="AS28" i="3"/>
  <c r="AR28" i="3"/>
  <c r="AQ28" i="3"/>
  <c r="AP28" i="3"/>
  <c r="AO28" i="3"/>
  <c r="AN28" i="3"/>
  <c r="AM28" i="3"/>
  <c r="AL28" i="3"/>
  <c r="AK28" i="3"/>
  <c r="AJ28" i="3"/>
  <c r="R28" i="3"/>
  <c r="BE28" i="3" s="1"/>
  <c r="M28" i="3"/>
  <c r="Q28" i="3" s="1"/>
  <c r="L28" i="3"/>
  <c r="P28" i="3" s="1"/>
  <c r="K28" i="3"/>
  <c r="O28" i="3" s="1"/>
  <c r="J28" i="3"/>
  <c r="N28" i="3" s="1"/>
  <c r="H28" i="3"/>
  <c r="G28" i="3"/>
  <c r="E28" i="3"/>
  <c r="C28" i="3"/>
  <c r="B28" i="3"/>
  <c r="DZ27" i="3"/>
  <c r="DY27" i="3"/>
  <c r="DX27" i="3"/>
  <c r="DW27" i="3"/>
  <c r="DV27" i="3"/>
  <c r="DU27" i="3"/>
  <c r="DS27" i="3"/>
  <c r="DR27" i="3"/>
  <c r="DQ27" i="3"/>
  <c r="DP27" i="3"/>
  <c r="DO27" i="3"/>
  <c r="DN27" i="3"/>
  <c r="CM27" i="3"/>
  <c r="F27" i="3" s="1"/>
  <c r="CK27" i="3"/>
  <c r="BJ27" i="3"/>
  <c r="BI27" i="3"/>
  <c r="BH27" i="3"/>
  <c r="BG27" i="3"/>
  <c r="BA27" i="3"/>
  <c r="AW27" i="3"/>
  <c r="AT27" i="3"/>
  <c r="AS27" i="3"/>
  <c r="AR27" i="3"/>
  <c r="AQ27" i="3"/>
  <c r="AP27" i="3"/>
  <c r="AO27" i="3"/>
  <c r="AN27" i="3"/>
  <c r="AM27" i="3"/>
  <c r="AL27" i="3"/>
  <c r="AK27" i="3"/>
  <c r="AJ27" i="3"/>
  <c r="R27" i="3"/>
  <c r="BE27" i="3" s="1"/>
  <c r="M27" i="3"/>
  <c r="Q27" i="3" s="1"/>
  <c r="L27" i="3"/>
  <c r="P27" i="3" s="1"/>
  <c r="K27" i="3"/>
  <c r="O27" i="3" s="1"/>
  <c r="J27" i="3"/>
  <c r="N27" i="3" s="1"/>
  <c r="H27" i="3"/>
  <c r="G27" i="3"/>
  <c r="E27" i="3"/>
  <c r="D27" i="3"/>
  <c r="C27" i="3"/>
  <c r="B27" i="3"/>
  <c r="DZ26" i="3"/>
  <c r="DY26" i="3"/>
  <c r="DX26" i="3"/>
  <c r="DW26" i="3"/>
  <c r="DV26" i="3"/>
  <c r="DU26" i="3"/>
  <c r="DS26" i="3"/>
  <c r="DR26" i="3"/>
  <c r="DQ26" i="3"/>
  <c r="DP26" i="3"/>
  <c r="DO26" i="3"/>
  <c r="DN26" i="3"/>
  <c r="CM26" i="3"/>
  <c r="F26" i="3" s="1"/>
  <c r="CK26" i="3"/>
  <c r="D26" i="3" s="1"/>
  <c r="BJ26" i="3"/>
  <c r="BI26" i="3"/>
  <c r="BH26" i="3"/>
  <c r="BG26" i="3"/>
  <c r="BF26" i="3"/>
  <c r="BA26" i="3"/>
  <c r="AW26" i="3"/>
  <c r="AT26" i="3"/>
  <c r="AS26" i="3"/>
  <c r="AR26" i="3"/>
  <c r="AQ26" i="3"/>
  <c r="AP26" i="3"/>
  <c r="AO26" i="3"/>
  <c r="AN26" i="3"/>
  <c r="AM26" i="3"/>
  <c r="AL26" i="3"/>
  <c r="AK26" i="3"/>
  <c r="AJ26" i="3"/>
  <c r="R26" i="3"/>
  <c r="BE26" i="3" s="1"/>
  <c r="M26" i="3"/>
  <c r="Q26" i="3" s="1"/>
  <c r="L26" i="3"/>
  <c r="P26" i="3" s="1"/>
  <c r="K26" i="3"/>
  <c r="O26" i="3" s="1"/>
  <c r="J26" i="3"/>
  <c r="N26" i="3" s="1"/>
  <c r="H26" i="3"/>
  <c r="G26" i="3"/>
  <c r="E26" i="3"/>
  <c r="C26" i="3"/>
  <c r="B26" i="3"/>
  <c r="DZ25" i="3"/>
  <c r="DY25" i="3"/>
  <c r="DX25" i="3"/>
  <c r="DW25" i="3"/>
  <c r="DV25" i="3"/>
  <c r="DU25" i="3"/>
  <c r="DS25" i="3"/>
  <c r="DR25" i="3"/>
  <c r="DQ25" i="3"/>
  <c r="DP25" i="3"/>
  <c r="DO25" i="3"/>
  <c r="DN25" i="3"/>
  <c r="DM25" i="3"/>
  <c r="CX25" i="3"/>
  <c r="CM25" i="3"/>
  <c r="F25" i="3" s="1"/>
  <c r="CK25" i="3"/>
  <c r="D25" i="3" s="1"/>
  <c r="BJ25" i="3"/>
  <c r="BI25" i="3"/>
  <c r="BH25" i="3"/>
  <c r="BG25" i="3"/>
  <c r="BA25" i="3"/>
  <c r="AW25" i="3"/>
  <c r="AT25" i="3"/>
  <c r="AS25" i="3"/>
  <c r="AR25" i="3"/>
  <c r="AQ25" i="3"/>
  <c r="AP25" i="3"/>
  <c r="AO25" i="3"/>
  <c r="AN25" i="3"/>
  <c r="AM25" i="3"/>
  <c r="AL25" i="3"/>
  <c r="AK25" i="3"/>
  <c r="AJ25" i="3"/>
  <c r="R25" i="3"/>
  <c r="BF25" i="3" s="1"/>
  <c r="M25" i="3"/>
  <c r="Q25" i="3" s="1"/>
  <c r="L25" i="3"/>
  <c r="P25" i="3" s="1"/>
  <c r="K25" i="3"/>
  <c r="O25" i="3" s="1"/>
  <c r="J25" i="3"/>
  <c r="N25" i="3" s="1"/>
  <c r="H25" i="3"/>
  <c r="G25" i="3"/>
  <c r="E25" i="3"/>
  <c r="C25" i="3"/>
  <c r="B25" i="3"/>
  <c r="H21" i="3"/>
  <c r="BI18" i="3"/>
  <c r="BD18" i="3"/>
  <c r="BL17" i="3"/>
  <c r="BI17" i="3"/>
  <c r="BG82" i="3" s="1"/>
  <c r="BD17" i="3"/>
  <c r="AX17" i="3"/>
  <c r="AX18" i="3" s="1"/>
  <c r="BL16" i="3"/>
  <c r="BD16" i="3"/>
  <c r="AJ15" i="3"/>
  <c r="AJ18" i="3" s="1"/>
  <c r="AJ13" i="3"/>
  <c r="BM4" i="3"/>
  <c r="DA1" i="3"/>
  <c r="CZ1" i="3"/>
  <c r="CW1" i="3"/>
  <c r="DD100" i="3" l="1"/>
  <c r="DC110" i="3"/>
  <c r="BG80" i="3"/>
  <c r="BQ80" i="3" s="1"/>
  <c r="AV90" i="3"/>
  <c r="BE85" i="3"/>
  <c r="CH48" i="3"/>
  <c r="DI105" i="3"/>
  <c r="DD55" i="3"/>
  <c r="DA70" i="3"/>
  <c r="CH71" i="3"/>
  <c r="CH86" i="3"/>
  <c r="CH90" i="3"/>
  <c r="CH97" i="3"/>
  <c r="DB105" i="3"/>
  <c r="DK105" i="3"/>
  <c r="CH113" i="3"/>
  <c r="DG40" i="3"/>
  <c r="CZ40" i="3"/>
  <c r="CH46" i="3"/>
  <c r="DB60" i="3"/>
  <c r="CH76" i="3"/>
  <c r="BF106" i="3"/>
  <c r="BF27" i="3"/>
  <c r="BQ27" i="3" s="1"/>
  <c r="DI35" i="3"/>
  <c r="DI45" i="3"/>
  <c r="BF83" i="3"/>
  <c r="CZ105" i="3"/>
  <c r="DB35" i="3"/>
  <c r="CH52" i="3"/>
  <c r="DD60" i="3"/>
  <c r="DK60" i="3"/>
  <c r="CZ65" i="3"/>
  <c r="DC70" i="3"/>
  <c r="CH75" i="3"/>
  <c r="DK75" i="3"/>
  <c r="DI40" i="3"/>
  <c r="CZ60" i="3"/>
  <c r="DI60" i="3"/>
  <c r="DC60" i="3"/>
  <c r="CH70" i="3"/>
  <c r="BF77" i="3"/>
  <c r="CH85" i="3"/>
  <c r="BF102" i="3"/>
  <c r="BQ102" i="3" s="1"/>
  <c r="CH26" i="3"/>
  <c r="DD40" i="3"/>
  <c r="DD45" i="3"/>
  <c r="CH53" i="3"/>
  <c r="CH61" i="3"/>
  <c r="BF80" i="3"/>
  <c r="CH27" i="3"/>
  <c r="DH50" i="3"/>
  <c r="BE61" i="3"/>
  <c r="BQ61" i="3" s="1"/>
  <c r="CH73" i="3"/>
  <c r="BF82" i="3"/>
  <c r="DI50" i="3"/>
  <c r="BF87" i="3"/>
  <c r="DG90" i="3"/>
  <c r="CY110" i="3"/>
  <c r="DF70" i="3"/>
  <c r="AV71" i="3"/>
  <c r="BK71" i="3" s="1"/>
  <c r="DF50" i="3"/>
  <c r="CY45" i="3"/>
  <c r="AV40" i="3"/>
  <c r="CY35" i="3"/>
  <c r="DF30" i="3"/>
  <c r="CZ25" i="3"/>
  <c r="DF25" i="3"/>
  <c r="DD70" i="3"/>
  <c r="DK30" i="3"/>
  <c r="DD95" i="3"/>
  <c r="DK110" i="3"/>
  <c r="DK25" i="3"/>
  <c r="AV85" i="3"/>
  <c r="BK85" i="3" s="1"/>
  <c r="AV72" i="3"/>
  <c r="BK72" i="3" s="1"/>
  <c r="AX72" i="3" s="1"/>
  <c r="BD72" i="3" s="1"/>
  <c r="AV75" i="3"/>
  <c r="BK75" i="3" s="1"/>
  <c r="AX75" i="3" s="1"/>
  <c r="BD75" i="3" s="1"/>
  <c r="DC75" i="3"/>
  <c r="DC80" i="3"/>
  <c r="DJ60" i="3"/>
  <c r="DC85" i="3"/>
  <c r="DJ30" i="3"/>
  <c r="DC30" i="3"/>
  <c r="DC55" i="3"/>
  <c r="DC40" i="3"/>
  <c r="DC45" i="3"/>
  <c r="AV62" i="3"/>
  <c r="BK62" i="3" s="1"/>
  <c r="DJ70" i="3"/>
  <c r="DJ100" i="3"/>
  <c r="DJ105" i="3"/>
  <c r="DC105" i="3"/>
  <c r="AV50" i="3"/>
  <c r="AV33" i="3"/>
  <c r="BK33" i="3" s="1"/>
  <c r="BL33" i="3" s="1"/>
  <c r="BM33" i="3" s="1"/>
  <c r="BN33" i="3" s="1"/>
  <c r="BO33" i="3" s="1"/>
  <c r="AV41" i="3"/>
  <c r="BK41" i="3" s="1"/>
  <c r="BL41" i="3" s="1"/>
  <c r="BM41" i="3" s="1"/>
  <c r="BN41" i="3" s="1"/>
  <c r="BO41" i="3" s="1"/>
  <c r="AV48" i="3"/>
  <c r="BK48" i="3" s="1"/>
  <c r="AX48" i="3" s="1"/>
  <c r="BD48" i="3" s="1"/>
  <c r="DI110" i="3"/>
  <c r="AV113" i="3"/>
  <c r="BK113" i="3" s="1"/>
  <c r="BL113" i="3" s="1"/>
  <c r="BM113" i="3" s="1"/>
  <c r="BN113" i="3" s="1"/>
  <c r="BO113" i="3" s="1"/>
  <c r="DI30" i="3"/>
  <c r="DB30" i="3"/>
  <c r="DB45" i="3"/>
  <c r="DI65" i="3"/>
  <c r="AV86" i="3"/>
  <c r="DB25" i="3"/>
  <c r="DI25" i="3"/>
  <c r="AV65" i="3"/>
  <c r="BK65" i="3" s="1"/>
  <c r="AX65" i="3" s="1"/>
  <c r="BD65" i="3" s="1"/>
  <c r="DI85" i="3"/>
  <c r="DB110" i="3"/>
  <c r="AV27" i="3"/>
  <c r="DI75" i="3"/>
  <c r="AV101" i="3"/>
  <c r="AV26" i="3"/>
  <c r="BK26" i="3" s="1"/>
  <c r="AV46" i="3"/>
  <c r="DH70" i="3"/>
  <c r="DA30" i="3"/>
  <c r="AV35" i="3"/>
  <c r="AV110" i="3"/>
  <c r="BK110" i="3" s="1"/>
  <c r="DH45" i="3"/>
  <c r="DH80" i="3"/>
  <c r="DH85" i="3"/>
  <c r="DA95" i="3"/>
  <c r="DH100" i="3"/>
  <c r="DA110" i="3"/>
  <c r="DA40" i="3"/>
  <c r="AV57" i="3"/>
  <c r="BK57" i="3" s="1"/>
  <c r="CB57" i="3" s="1"/>
  <c r="CC57" i="3" s="1"/>
  <c r="AV68" i="3"/>
  <c r="BK68" i="3" s="1"/>
  <c r="CA68" i="3" s="1"/>
  <c r="DH75" i="3"/>
  <c r="AV78" i="3"/>
  <c r="AV81" i="3"/>
  <c r="BK81" i="3" s="1"/>
  <c r="AX81" i="3" s="1"/>
  <c r="BD81" i="3" s="1"/>
  <c r="AV25" i="3"/>
  <c r="AV37" i="3"/>
  <c r="AV52" i="3"/>
  <c r="BK52" i="3" s="1"/>
  <c r="AX52" i="3" s="1"/>
  <c r="BD52" i="3" s="1"/>
  <c r="AV60" i="3"/>
  <c r="BK60" i="3" s="1"/>
  <c r="AX60" i="3" s="1"/>
  <c r="BD60" i="3" s="1"/>
  <c r="DA60" i="3"/>
  <c r="DA100" i="3"/>
  <c r="DH110" i="3"/>
  <c r="AV93" i="3"/>
  <c r="AV105" i="3"/>
  <c r="AV43" i="3"/>
  <c r="BK43" i="3" s="1"/>
  <c r="CA43" i="3" s="1"/>
  <c r="AV63" i="3"/>
  <c r="BK63" i="3" s="1"/>
  <c r="CB63" i="3" s="1"/>
  <c r="CC63" i="3" s="1"/>
  <c r="AV66" i="3"/>
  <c r="BK66" i="3" s="1"/>
  <c r="CB66" i="3" s="1"/>
  <c r="CC66" i="3" s="1"/>
  <c r="AV73" i="3"/>
  <c r="BK73" i="3" s="1"/>
  <c r="BL73" i="3" s="1"/>
  <c r="BM73" i="3" s="1"/>
  <c r="BN73" i="3" s="1"/>
  <c r="BO73" i="3" s="1"/>
  <c r="AV98" i="3"/>
  <c r="DA105" i="3"/>
  <c r="AV45" i="3"/>
  <c r="CZ30" i="3"/>
  <c r="AV47" i="3"/>
  <c r="CZ45" i="3"/>
  <c r="AV61" i="3"/>
  <c r="AV76" i="3"/>
  <c r="BK76" i="3" s="1"/>
  <c r="DG80" i="3"/>
  <c r="AV91" i="3"/>
  <c r="DG85" i="3"/>
  <c r="CZ75" i="3"/>
  <c r="CZ85" i="3"/>
  <c r="AV95" i="3"/>
  <c r="AV106" i="3"/>
  <c r="AV28" i="3"/>
  <c r="BK28" i="3" s="1"/>
  <c r="CZ50" i="3"/>
  <c r="AV58" i="3"/>
  <c r="BK58" i="3" s="1"/>
  <c r="AX58" i="3" s="1"/>
  <c r="BD58" i="3" s="1"/>
  <c r="AV87" i="3"/>
  <c r="BK87" i="3" s="1"/>
  <c r="AV97" i="3"/>
  <c r="AV51" i="3"/>
  <c r="BK51" i="3" s="1"/>
  <c r="AV42" i="3"/>
  <c r="DG50" i="3"/>
  <c r="DG65" i="3"/>
  <c r="DG70" i="3"/>
  <c r="DG105" i="3"/>
  <c r="AV107" i="3"/>
  <c r="AV55" i="3"/>
  <c r="BK55" i="3" s="1"/>
  <c r="AX55" i="3" s="1"/>
  <c r="BD55" i="3" s="1"/>
  <c r="AV67" i="3"/>
  <c r="AV70" i="3"/>
  <c r="BK70" i="3" s="1"/>
  <c r="CB70" i="3" s="1"/>
  <c r="CC70" i="3" s="1"/>
  <c r="AV83" i="3"/>
  <c r="BK83" i="3" s="1"/>
  <c r="CZ90" i="3"/>
  <c r="AV30" i="3"/>
  <c r="BK30" i="3" s="1"/>
  <c r="CA30" i="3" s="1"/>
  <c r="AV32" i="3"/>
  <c r="BK32" i="3" s="1"/>
  <c r="CA32" i="3" s="1"/>
  <c r="AV31" i="3"/>
  <c r="BK31" i="3" s="1"/>
  <c r="AX31" i="3" s="1"/>
  <c r="BD31" i="3" s="1"/>
  <c r="BK37" i="3"/>
  <c r="AX37" i="3" s="1"/>
  <c r="BD37" i="3" s="1"/>
  <c r="CY50" i="3"/>
  <c r="DF60" i="3"/>
  <c r="CY70" i="3"/>
  <c r="AV111" i="3"/>
  <c r="BK111" i="3" s="1"/>
  <c r="DF110" i="3"/>
  <c r="DF40" i="3"/>
  <c r="CY80" i="3"/>
  <c r="CY75" i="3"/>
  <c r="AV88" i="3"/>
  <c r="BK88" i="3" s="1"/>
  <c r="AV103" i="3"/>
  <c r="BK103" i="3" s="1"/>
  <c r="AX103" i="3" s="1"/>
  <c r="BD103" i="3" s="1"/>
  <c r="DF45" i="3"/>
  <c r="BK35" i="3"/>
  <c r="AX35" i="3" s="1"/>
  <c r="BD35" i="3" s="1"/>
  <c r="DF35" i="3"/>
  <c r="CY100" i="3"/>
  <c r="CH112" i="3"/>
  <c r="CH108" i="3"/>
  <c r="CH103" i="3"/>
  <c r="CH98" i="3"/>
  <c r="CH96" i="3"/>
  <c r="CH95" i="3"/>
  <c r="BF93" i="3"/>
  <c r="CH92" i="3"/>
  <c r="BE92" i="3"/>
  <c r="BG92" i="3"/>
  <c r="CH88" i="3"/>
  <c r="CH87" i="3"/>
  <c r="CH83" i="3"/>
  <c r="CH81" i="3"/>
  <c r="BK78" i="3"/>
  <c r="AX78" i="3" s="1"/>
  <c r="BD78" i="3" s="1"/>
  <c r="CH78" i="3"/>
  <c r="CH77" i="3"/>
  <c r="CH68" i="3"/>
  <c r="CH67" i="3"/>
  <c r="CH66" i="3"/>
  <c r="CH65" i="3"/>
  <c r="CH63" i="3"/>
  <c r="CH62" i="3"/>
  <c r="CH58" i="3"/>
  <c r="CH56" i="3"/>
  <c r="CH50" i="3"/>
  <c r="CH41" i="3"/>
  <c r="CH38" i="3"/>
  <c r="CH37" i="3"/>
  <c r="BQ37" i="3"/>
  <c r="BS37" i="3" s="1"/>
  <c r="CH36" i="3"/>
  <c r="CH35" i="3"/>
  <c r="CH32" i="3"/>
  <c r="CH28" i="3"/>
  <c r="DD110" i="3"/>
  <c r="DG110" i="3"/>
  <c r="CY105" i="3"/>
  <c r="DH105" i="3"/>
  <c r="DD105" i="3"/>
  <c r="DG100" i="3"/>
  <c r="DF100" i="3"/>
  <c r="DC100" i="3"/>
  <c r="CZ100" i="3"/>
  <c r="DI100" i="3"/>
  <c r="DG95" i="3"/>
  <c r="DJ95" i="3"/>
  <c r="CZ95" i="3"/>
  <c r="DI95" i="3"/>
  <c r="DC95" i="3"/>
  <c r="CY95" i="3"/>
  <c r="DH95" i="3"/>
  <c r="DB95" i="3"/>
  <c r="DK95" i="3"/>
  <c r="DF95" i="3"/>
  <c r="DA90" i="3"/>
  <c r="DJ90" i="3"/>
  <c r="DD90" i="3"/>
  <c r="DB90" i="3"/>
  <c r="DK90" i="3"/>
  <c r="DF90" i="3"/>
  <c r="CY85" i="3"/>
  <c r="DB85" i="3"/>
  <c r="DK85" i="3"/>
  <c r="DF85" i="3"/>
  <c r="DD85" i="3"/>
  <c r="DA85" i="3"/>
  <c r="DJ85" i="3"/>
  <c r="CZ80" i="3"/>
  <c r="DD80" i="3"/>
  <c r="DB80" i="3"/>
  <c r="DK80" i="3"/>
  <c r="DF80" i="3"/>
  <c r="DA80" i="3"/>
  <c r="DJ80" i="3"/>
  <c r="DD75" i="3"/>
  <c r="DB75" i="3"/>
  <c r="DG75" i="3"/>
  <c r="DA75" i="3"/>
  <c r="DJ75" i="3"/>
  <c r="DF75" i="3"/>
  <c r="DB70" i="3"/>
  <c r="DK70" i="3"/>
  <c r="CZ70" i="3"/>
  <c r="DI70" i="3"/>
  <c r="DA65" i="3"/>
  <c r="DJ65" i="3"/>
  <c r="DB65" i="3"/>
  <c r="DK65" i="3"/>
  <c r="DC65" i="3"/>
  <c r="DD65" i="3"/>
  <c r="DF65" i="3"/>
  <c r="CY65" i="3"/>
  <c r="DH65" i="3"/>
  <c r="DH60" i="3"/>
  <c r="CY60" i="3"/>
  <c r="DG60" i="3"/>
  <c r="DF55" i="3"/>
  <c r="DA55" i="3"/>
  <c r="DJ55" i="3"/>
  <c r="CY55" i="3"/>
  <c r="DH55" i="3"/>
  <c r="DG55" i="3"/>
  <c r="DD50" i="3"/>
  <c r="DA50" i="3"/>
  <c r="DJ50" i="3"/>
  <c r="DB50" i="3"/>
  <c r="DK50" i="3"/>
  <c r="DC50" i="3"/>
  <c r="DG45" i="3"/>
  <c r="DA45" i="3"/>
  <c r="DJ45" i="3"/>
  <c r="CY40" i="3"/>
  <c r="DH40" i="3"/>
  <c r="DJ40" i="3"/>
  <c r="DH35" i="3"/>
  <c r="DK35" i="3"/>
  <c r="DD35" i="3"/>
  <c r="CZ35" i="3"/>
  <c r="DG35" i="3"/>
  <c r="CY30" i="3"/>
  <c r="DH30" i="3"/>
  <c r="DD30" i="3"/>
  <c r="DG30" i="3"/>
  <c r="DH25" i="3"/>
  <c r="DG25" i="3"/>
  <c r="CY25" i="3"/>
  <c r="DD25" i="3"/>
  <c r="DA25" i="3"/>
  <c r="DJ25" i="3"/>
  <c r="DC25" i="3"/>
  <c r="BQ35" i="3"/>
  <c r="BT35" i="3" s="1"/>
  <c r="CH105" i="3"/>
  <c r="CH45" i="3"/>
  <c r="CH25" i="3"/>
  <c r="CH107" i="3"/>
  <c r="CH47" i="3"/>
  <c r="BQ30" i="3"/>
  <c r="BQ26" i="3"/>
  <c r="BQ33" i="3"/>
  <c r="BQ32" i="3"/>
  <c r="BQ52" i="3"/>
  <c r="BE25" i="3"/>
  <c r="BQ36" i="3"/>
  <c r="AV38" i="3"/>
  <c r="BK38" i="3" s="1"/>
  <c r="AX38" i="3" s="1"/>
  <c r="BD38" i="3" s="1"/>
  <c r="CH40" i="3"/>
  <c r="BE40" i="3"/>
  <c r="BQ46" i="3"/>
  <c r="AV36" i="3"/>
  <c r="BK36" i="3" s="1"/>
  <c r="BQ28" i="3"/>
  <c r="DA35" i="3"/>
  <c r="DJ35" i="3"/>
  <c r="DC35" i="3"/>
  <c r="BQ38" i="3"/>
  <c r="DB40" i="3"/>
  <c r="DK40" i="3"/>
  <c r="CH42" i="3"/>
  <c r="BE42" i="3"/>
  <c r="BQ53" i="3"/>
  <c r="BQ31" i="3"/>
  <c r="BQ48" i="3"/>
  <c r="BQ60" i="3"/>
  <c r="BQ71" i="3"/>
  <c r="BE50" i="3"/>
  <c r="AV53" i="3"/>
  <c r="BK53" i="3" s="1"/>
  <c r="BF50" i="3"/>
  <c r="BQ41" i="3"/>
  <c r="BQ51" i="3"/>
  <c r="BQ56" i="3"/>
  <c r="BQ73" i="3"/>
  <c r="BQ75" i="3"/>
  <c r="BQ43" i="3"/>
  <c r="BE45" i="3"/>
  <c r="BE47" i="3"/>
  <c r="CH55" i="3"/>
  <c r="AV56" i="3"/>
  <c r="BQ70" i="3"/>
  <c r="BQ58" i="3"/>
  <c r="BQ63" i="3"/>
  <c r="BQ72" i="3"/>
  <c r="DB55" i="3"/>
  <c r="DK55" i="3"/>
  <c r="BQ62" i="3"/>
  <c r="BQ82" i="3"/>
  <c r="BQ66" i="3"/>
  <c r="CH80" i="3"/>
  <c r="DB100" i="3"/>
  <c r="DK100" i="3"/>
  <c r="BQ55" i="3"/>
  <c r="BQ57" i="3"/>
  <c r="BQ65" i="3"/>
  <c r="BQ67" i="3"/>
  <c r="AV77" i="3"/>
  <c r="BQ68" i="3"/>
  <c r="AV82" i="3"/>
  <c r="AV80" i="3"/>
  <c r="BQ85" i="3"/>
  <c r="BQ112" i="3"/>
  <c r="BQ81" i="3"/>
  <c r="BF86" i="3"/>
  <c r="BE86" i="3"/>
  <c r="BQ87" i="3"/>
  <c r="BQ96" i="3"/>
  <c r="BQ91" i="3"/>
  <c r="BG95" i="3"/>
  <c r="BQ100" i="3"/>
  <c r="AV102" i="3"/>
  <c r="BK102" i="3" s="1"/>
  <c r="AV112" i="3"/>
  <c r="CY90" i="3"/>
  <c r="DH90" i="3"/>
  <c r="AV92" i="3"/>
  <c r="AV96" i="3"/>
  <c r="BQ108" i="3"/>
  <c r="CH111" i="3"/>
  <c r="BQ113" i="3"/>
  <c r="BQ76" i="3"/>
  <c r="BQ77" i="3"/>
  <c r="AV100" i="3"/>
  <c r="BF101" i="3"/>
  <c r="BQ101" i="3" s="1"/>
  <c r="BG97" i="3"/>
  <c r="BY98" i="3"/>
  <c r="DF105" i="3"/>
  <c r="BQ106" i="3"/>
  <c r="BQ110" i="3"/>
  <c r="BQ111" i="3"/>
  <c r="BE90" i="3"/>
  <c r="AV108" i="3"/>
  <c r="BK108" i="3" s="1"/>
  <c r="AX108" i="3" s="1"/>
  <c r="BD108" i="3" s="1"/>
  <c r="BG90" i="3"/>
  <c r="BF95" i="3"/>
  <c r="BQ95" i="3" s="1"/>
  <c r="BF97" i="3"/>
  <c r="BE98" i="3"/>
  <c r="BE105" i="3"/>
  <c r="BE107" i="3"/>
  <c r="BK40" i="3" l="1"/>
  <c r="CA40" i="3" s="1"/>
  <c r="BK25" i="3"/>
  <c r="CA25" i="3" s="1"/>
  <c r="BK42" i="3"/>
  <c r="AX42" i="3" s="1"/>
  <c r="BD42" i="3" s="1"/>
  <c r="BK106" i="3"/>
  <c r="CB106" i="3" s="1"/>
  <c r="CC106" i="3" s="1"/>
  <c r="BK27" i="3"/>
  <c r="AX27" i="3" s="1"/>
  <c r="BD27" i="3" s="1"/>
  <c r="BK93" i="3"/>
  <c r="CA93" i="3" s="1"/>
  <c r="BL65" i="3"/>
  <c r="BM65" i="3" s="1"/>
  <c r="BN65" i="3" s="1"/>
  <c r="BO65" i="3" s="1"/>
  <c r="BL35" i="3"/>
  <c r="BM35" i="3" s="1"/>
  <c r="BN35" i="3" s="1"/>
  <c r="BO35" i="3" s="1"/>
  <c r="BK61" i="3"/>
  <c r="CA61" i="3" s="1"/>
  <c r="CB65" i="3"/>
  <c r="CC65" i="3" s="1"/>
  <c r="AX111" i="3"/>
  <c r="BD111" i="3" s="1"/>
  <c r="BL111" i="3"/>
  <c r="BM111" i="3" s="1"/>
  <c r="BN111" i="3" s="1"/>
  <c r="BO111" i="3" s="1"/>
  <c r="CB111" i="3"/>
  <c r="CC111" i="3" s="1"/>
  <c r="BK98" i="3"/>
  <c r="CA98" i="3" s="1"/>
  <c r="BQ92" i="3"/>
  <c r="BT92" i="3" s="1"/>
  <c r="BK91" i="3"/>
  <c r="CB91" i="3" s="1"/>
  <c r="CC91" i="3" s="1"/>
  <c r="AX85" i="3"/>
  <c r="BD85" i="3" s="1"/>
  <c r="CA85" i="3"/>
  <c r="BL85" i="3"/>
  <c r="BM85" i="3" s="1"/>
  <c r="BN85" i="3" s="1"/>
  <c r="BO85" i="3" s="1"/>
  <c r="BL78" i="3"/>
  <c r="BM78" i="3" s="1"/>
  <c r="BN78" i="3" s="1"/>
  <c r="BO78" i="3" s="1"/>
  <c r="BL71" i="3"/>
  <c r="BM71" i="3" s="1"/>
  <c r="BN71" i="3" s="1"/>
  <c r="BO71" i="3" s="1"/>
  <c r="CA71" i="3"/>
  <c r="CB71" i="3"/>
  <c r="CC71" i="3" s="1"/>
  <c r="CA65" i="3"/>
  <c r="CD65" i="3" s="1"/>
  <c r="CE65" i="3" s="1"/>
  <c r="CF65" i="3" s="1"/>
  <c r="CA62" i="3"/>
  <c r="BL62" i="3"/>
  <c r="BM62" i="3" s="1"/>
  <c r="BN62" i="3" s="1"/>
  <c r="BO62" i="3" s="1"/>
  <c r="CB58" i="3"/>
  <c r="CC58" i="3" s="1"/>
  <c r="BL58" i="3"/>
  <c r="BM58" i="3" s="1"/>
  <c r="BN58" i="3" s="1"/>
  <c r="BO58" i="3" s="1"/>
  <c r="CA58" i="3"/>
  <c r="BK46" i="3"/>
  <c r="AX46" i="3" s="1"/>
  <c r="BD46" i="3" s="1"/>
  <c r="CA46" i="3"/>
  <c r="CB37" i="3"/>
  <c r="CC37" i="3" s="1"/>
  <c r="CB35" i="3"/>
  <c r="CC35" i="3" s="1"/>
  <c r="AX26" i="3"/>
  <c r="BD26" i="3" s="1"/>
  <c r="BL26" i="3"/>
  <c r="BM26" i="3" s="1"/>
  <c r="BN26" i="3" s="1"/>
  <c r="BO26" i="3" s="1"/>
  <c r="CB26" i="3"/>
  <c r="CC26" i="3" s="1"/>
  <c r="CA26" i="3"/>
  <c r="CD26" i="3" s="1"/>
  <c r="BK67" i="3"/>
  <c r="CA67" i="3" s="1"/>
  <c r="CA78" i="3"/>
  <c r="BQ78" i="3"/>
  <c r="BR78" i="3" s="1"/>
  <c r="CB48" i="3"/>
  <c r="CC48" i="3" s="1"/>
  <c r="CB78" i="3"/>
  <c r="CC78" i="3" s="1"/>
  <c r="CB85" i="3"/>
  <c r="CC85" i="3" s="1"/>
  <c r="CB52" i="3"/>
  <c r="CC52" i="3" s="1"/>
  <c r="BL37" i="3"/>
  <c r="BM37" i="3" s="1"/>
  <c r="BN37" i="3" s="1"/>
  <c r="BO37" i="3" s="1"/>
  <c r="CA37" i="3"/>
  <c r="BL52" i="3"/>
  <c r="BM52" i="3" s="1"/>
  <c r="BN52" i="3" s="1"/>
  <c r="BO52" i="3" s="1"/>
  <c r="CA52" i="3"/>
  <c r="CA35" i="3"/>
  <c r="AX87" i="3"/>
  <c r="BD87" i="3" s="1"/>
  <c r="CB87" i="3"/>
  <c r="CC87" i="3" s="1"/>
  <c r="BL87" i="3"/>
  <c r="BM87" i="3" s="1"/>
  <c r="BN87" i="3" s="1"/>
  <c r="BO87" i="3" s="1"/>
  <c r="CA87" i="3"/>
  <c r="CA57" i="3"/>
  <c r="CD57" i="3" s="1"/>
  <c r="CE57" i="3" s="1"/>
  <c r="BT37" i="3"/>
  <c r="BU37" i="3"/>
  <c r="BL83" i="3"/>
  <c r="BM83" i="3" s="1"/>
  <c r="BN83" i="3" s="1"/>
  <c r="BO83" i="3" s="1"/>
  <c r="CB83" i="3"/>
  <c r="CC83" i="3" s="1"/>
  <c r="BQ83" i="3"/>
  <c r="BX83" i="3" s="1"/>
  <c r="CA76" i="3"/>
  <c r="AX76" i="3"/>
  <c r="BD76" i="3" s="1"/>
  <c r="CA110" i="3"/>
  <c r="CB110" i="3"/>
  <c r="CC110" i="3" s="1"/>
  <c r="AX110" i="3"/>
  <c r="BD110" i="3" s="1"/>
  <c r="BL110" i="3"/>
  <c r="BM110" i="3" s="1"/>
  <c r="BN110" i="3" s="1"/>
  <c r="BO110" i="3" s="1"/>
  <c r="CA60" i="3"/>
  <c r="AX71" i="3"/>
  <c r="BD71" i="3" s="1"/>
  <c r="BL66" i="3"/>
  <c r="BM66" i="3" s="1"/>
  <c r="BN66" i="3" s="1"/>
  <c r="BO66" i="3" s="1"/>
  <c r="BW37" i="3"/>
  <c r="BL60" i="3"/>
  <c r="BM60" i="3" s="1"/>
  <c r="BN60" i="3" s="1"/>
  <c r="BO60" i="3" s="1"/>
  <c r="BV37" i="3"/>
  <c r="CA66" i="3"/>
  <c r="CD66" i="3" s="1"/>
  <c r="CE66" i="3" s="1"/>
  <c r="AX66" i="3"/>
  <c r="BD66" i="3" s="1"/>
  <c r="BL27" i="3"/>
  <c r="BM27" i="3" s="1"/>
  <c r="BN27" i="3" s="1"/>
  <c r="BO27" i="3" s="1"/>
  <c r="CB60" i="3"/>
  <c r="CC60" i="3" s="1"/>
  <c r="AX28" i="3"/>
  <c r="BD28" i="3" s="1"/>
  <c r="CB28" i="3"/>
  <c r="CC28" i="3" s="1"/>
  <c r="BL28" i="3"/>
  <c r="BM28" i="3" s="1"/>
  <c r="BN28" i="3" s="1"/>
  <c r="BO28" i="3" s="1"/>
  <c r="CA28" i="3"/>
  <c r="CA51" i="3"/>
  <c r="BL51" i="3"/>
  <c r="BM51" i="3" s="1"/>
  <c r="BN51" i="3" s="1"/>
  <c r="BO51" i="3" s="1"/>
  <c r="AX51" i="3"/>
  <c r="BD51" i="3" s="1"/>
  <c r="CB51" i="3"/>
  <c r="CC51" i="3" s="1"/>
  <c r="CB98" i="3"/>
  <c r="CC98" i="3" s="1"/>
  <c r="CB33" i="3"/>
  <c r="CC33" i="3" s="1"/>
  <c r="BS35" i="3"/>
  <c r="CA83" i="3"/>
  <c r="AX32" i="3"/>
  <c r="BD32" i="3" s="1"/>
  <c r="BX37" i="3"/>
  <c r="CB76" i="3"/>
  <c r="CC76" i="3" s="1"/>
  <c r="BL76" i="3"/>
  <c r="BM76" i="3" s="1"/>
  <c r="BN76" i="3" s="1"/>
  <c r="BO76" i="3" s="1"/>
  <c r="AX33" i="3"/>
  <c r="BD33" i="3" s="1"/>
  <c r="CA33" i="3"/>
  <c r="CA63" i="3"/>
  <c r="CD63" i="3" s="1"/>
  <c r="CE63" i="3" s="1"/>
  <c r="AX63" i="3"/>
  <c r="BD63" i="3" s="1"/>
  <c r="BL63" i="3"/>
  <c r="BM63" i="3" s="1"/>
  <c r="BN63" i="3" s="1"/>
  <c r="BO63" i="3" s="1"/>
  <c r="CA27" i="3"/>
  <c r="AX88" i="3"/>
  <c r="BD88" i="3" s="1"/>
  <c r="BL88" i="3"/>
  <c r="BM88" i="3" s="1"/>
  <c r="BN88" i="3" s="1"/>
  <c r="BO88" i="3" s="1"/>
  <c r="CB88" i="3"/>
  <c r="CC88" i="3" s="1"/>
  <c r="BQ88" i="3"/>
  <c r="BT88" i="3" s="1"/>
  <c r="BL103" i="3"/>
  <c r="BM103" i="3" s="1"/>
  <c r="BN103" i="3" s="1"/>
  <c r="BO103" i="3" s="1"/>
  <c r="CA75" i="3"/>
  <c r="CB62" i="3"/>
  <c r="CC62" i="3" s="1"/>
  <c r="CB32" i="3"/>
  <c r="CC32" i="3" s="1"/>
  <c r="BR37" i="3"/>
  <c r="CA41" i="3"/>
  <c r="CA111" i="3"/>
  <c r="BL40" i="3"/>
  <c r="BM40" i="3" s="1"/>
  <c r="BN40" i="3" s="1"/>
  <c r="BO40" i="3" s="1"/>
  <c r="BL31" i="3"/>
  <c r="BM31" i="3" s="1"/>
  <c r="BN31" i="3" s="1"/>
  <c r="BO31" i="3" s="1"/>
  <c r="AX41" i="3"/>
  <c r="BD41" i="3" s="1"/>
  <c r="BL32" i="3"/>
  <c r="BM32" i="3" s="1"/>
  <c r="BN32" i="3" s="1"/>
  <c r="BO32" i="3" s="1"/>
  <c r="BW35" i="3"/>
  <c r="BQ50" i="3"/>
  <c r="BW50" i="3" s="1"/>
  <c r="BU35" i="3"/>
  <c r="CA103" i="3"/>
  <c r="BL75" i="3"/>
  <c r="BM75" i="3" s="1"/>
  <c r="BN75" i="3" s="1"/>
  <c r="BO75" i="3" s="1"/>
  <c r="CB27" i="3"/>
  <c r="CC27" i="3" s="1"/>
  <c r="BR35" i="3"/>
  <c r="CA72" i="3"/>
  <c r="CB41" i="3"/>
  <c r="CC41" i="3" s="1"/>
  <c r="AX62" i="3"/>
  <c r="BD62" i="3" s="1"/>
  <c r="BQ103" i="3"/>
  <c r="BR103" i="3" s="1"/>
  <c r="BQ86" i="3"/>
  <c r="BS86" i="3" s="1"/>
  <c r="BQ40" i="3"/>
  <c r="BU40" i="3" s="1"/>
  <c r="BQ98" i="3"/>
  <c r="BT98" i="3" s="1"/>
  <c r="BQ97" i="3"/>
  <c r="BU97" i="3" s="1"/>
  <c r="CA88" i="3"/>
  <c r="AX83" i="3"/>
  <c r="BD83" i="3" s="1"/>
  <c r="CB75" i="3"/>
  <c r="CC75" i="3" s="1"/>
  <c r="CA73" i="3"/>
  <c r="AX73" i="3"/>
  <c r="BD73" i="3" s="1"/>
  <c r="CB73" i="3"/>
  <c r="CC73" i="3" s="1"/>
  <c r="BL72" i="3"/>
  <c r="BM72" i="3" s="1"/>
  <c r="BN72" i="3" s="1"/>
  <c r="BO72" i="3" s="1"/>
  <c r="CB72" i="3"/>
  <c r="CC72" i="3" s="1"/>
  <c r="CA70" i="3"/>
  <c r="CD70" i="3" s="1"/>
  <c r="CE70" i="3" s="1"/>
  <c r="CB61" i="3"/>
  <c r="CC61" i="3" s="1"/>
  <c r="BK50" i="3"/>
  <c r="CB50" i="3" s="1"/>
  <c r="CC50" i="3" s="1"/>
  <c r="BQ42" i="3"/>
  <c r="BS42" i="3" s="1"/>
  <c r="BV35" i="3"/>
  <c r="AX25" i="3"/>
  <c r="BD25" i="3" s="1"/>
  <c r="BQ25" i="3"/>
  <c r="BV25" i="3" s="1"/>
  <c r="BX35" i="3"/>
  <c r="BR101" i="3"/>
  <c r="BX101" i="3"/>
  <c r="BV101" i="3"/>
  <c r="BT101" i="3"/>
  <c r="BS101" i="3"/>
  <c r="BW101" i="3"/>
  <c r="BU101" i="3"/>
  <c r="CA53" i="3"/>
  <c r="AX53" i="3"/>
  <c r="BD53" i="3" s="1"/>
  <c r="BL53" i="3"/>
  <c r="BM53" i="3" s="1"/>
  <c r="BN53" i="3" s="1"/>
  <c r="BO53" i="3" s="1"/>
  <c r="CA102" i="3"/>
  <c r="AX102" i="3"/>
  <c r="BD102" i="3" s="1"/>
  <c r="BL102" i="3"/>
  <c r="BM102" i="3" s="1"/>
  <c r="BN102" i="3" s="1"/>
  <c r="BO102" i="3" s="1"/>
  <c r="BV95" i="3"/>
  <c r="BU95" i="3"/>
  <c r="BT95" i="3"/>
  <c r="BR95" i="3"/>
  <c r="BX95" i="3"/>
  <c r="BW95" i="3"/>
  <c r="BS95" i="3"/>
  <c r="BL36" i="3"/>
  <c r="BM36" i="3" s="1"/>
  <c r="BN36" i="3" s="1"/>
  <c r="BO36" i="3" s="1"/>
  <c r="CA36" i="3"/>
  <c r="AX36" i="3"/>
  <c r="BD36" i="3" s="1"/>
  <c r="BS91" i="3"/>
  <c r="BR91" i="3"/>
  <c r="BX91" i="3"/>
  <c r="BV91" i="3"/>
  <c r="BU91" i="3"/>
  <c r="BW91" i="3"/>
  <c r="BT91" i="3"/>
  <c r="CB113" i="3"/>
  <c r="CC113" i="3" s="1"/>
  <c r="AX113" i="3"/>
  <c r="BD113" i="3" s="1"/>
  <c r="BU83" i="3"/>
  <c r="BT83" i="3"/>
  <c r="BS85" i="3"/>
  <c r="BR85" i="3"/>
  <c r="BX85" i="3"/>
  <c r="BW85" i="3"/>
  <c r="BV85" i="3"/>
  <c r="BU85" i="3"/>
  <c r="BT85" i="3"/>
  <c r="CA106" i="3"/>
  <c r="CD106" i="3" s="1"/>
  <c r="CE106" i="3" s="1"/>
  <c r="BW82" i="3"/>
  <c r="BV82" i="3"/>
  <c r="BU82" i="3"/>
  <c r="BT82" i="3"/>
  <c r="BS82" i="3"/>
  <c r="BR82" i="3"/>
  <c r="BX82" i="3"/>
  <c r="BU41" i="3"/>
  <c r="BT41" i="3"/>
  <c r="BS41" i="3"/>
  <c r="BR41" i="3"/>
  <c r="BX41" i="3"/>
  <c r="BW41" i="3"/>
  <c r="BV41" i="3"/>
  <c r="BL61" i="3"/>
  <c r="BM61" i="3" s="1"/>
  <c r="BN61" i="3" s="1"/>
  <c r="BO61" i="3" s="1"/>
  <c r="BS61" i="3"/>
  <c r="BR61" i="3"/>
  <c r="BX61" i="3"/>
  <c r="BW61" i="3"/>
  <c r="BV61" i="3"/>
  <c r="BU61" i="3"/>
  <c r="BT61" i="3"/>
  <c r="BV113" i="3"/>
  <c r="BU113" i="3"/>
  <c r="BT113" i="3"/>
  <c r="BR113" i="3"/>
  <c r="BX113" i="3"/>
  <c r="BW113" i="3"/>
  <c r="BS113" i="3"/>
  <c r="BS87" i="3"/>
  <c r="BR87" i="3"/>
  <c r="BX87" i="3"/>
  <c r="BW87" i="3"/>
  <c r="BV87" i="3"/>
  <c r="BU87" i="3"/>
  <c r="BT87" i="3"/>
  <c r="BX111" i="3"/>
  <c r="BW111" i="3"/>
  <c r="BV111" i="3"/>
  <c r="BT111" i="3"/>
  <c r="BS111" i="3"/>
  <c r="BR111" i="3"/>
  <c r="BU111" i="3"/>
  <c r="BK97" i="3"/>
  <c r="BK100" i="3"/>
  <c r="BW96" i="3"/>
  <c r="BV96" i="3"/>
  <c r="BU96" i="3"/>
  <c r="BS96" i="3"/>
  <c r="BX96" i="3"/>
  <c r="BR96" i="3"/>
  <c r="BT96" i="3"/>
  <c r="BK112" i="3"/>
  <c r="CB112" i="3" s="1"/>
  <c r="CC112" i="3" s="1"/>
  <c r="AX106" i="3"/>
  <c r="BD106" i="3" s="1"/>
  <c r="BX100" i="3"/>
  <c r="BW100" i="3"/>
  <c r="BU100" i="3"/>
  <c r="BS100" i="3"/>
  <c r="BR100" i="3"/>
  <c r="BV100" i="3"/>
  <c r="BT100" i="3"/>
  <c r="CA113" i="3"/>
  <c r="BK86" i="3"/>
  <c r="BW112" i="3"/>
  <c r="BV112" i="3"/>
  <c r="BU112" i="3"/>
  <c r="BS112" i="3"/>
  <c r="BR112" i="3"/>
  <c r="BX112" i="3"/>
  <c r="BT112" i="3"/>
  <c r="CB103" i="3"/>
  <c r="CC103" i="3" s="1"/>
  <c r="BK80" i="3"/>
  <c r="BK82" i="3"/>
  <c r="CB82" i="3" s="1"/>
  <c r="CC82" i="3" s="1"/>
  <c r="BV67" i="3"/>
  <c r="BU67" i="3"/>
  <c r="BT67" i="3"/>
  <c r="BS67" i="3"/>
  <c r="BR67" i="3"/>
  <c r="BX67" i="3"/>
  <c r="BW67" i="3"/>
  <c r="BX63" i="3"/>
  <c r="BW63" i="3"/>
  <c r="BV63" i="3"/>
  <c r="BU63" i="3"/>
  <c r="BT63" i="3"/>
  <c r="BS63" i="3"/>
  <c r="BR63" i="3"/>
  <c r="BK56" i="3"/>
  <c r="BS73" i="3"/>
  <c r="BR73" i="3"/>
  <c r="BX73" i="3"/>
  <c r="BU73" i="3"/>
  <c r="BT73" i="3"/>
  <c r="BW73" i="3"/>
  <c r="BV73" i="3"/>
  <c r="CB68" i="3"/>
  <c r="CC68" i="3" s="1"/>
  <c r="BL48" i="3"/>
  <c r="BM48" i="3" s="1"/>
  <c r="BN48" i="3" s="1"/>
  <c r="BO48" i="3" s="1"/>
  <c r="CB40" i="3"/>
  <c r="CC40" i="3" s="1"/>
  <c r="AX40" i="3"/>
  <c r="BD40" i="3" s="1"/>
  <c r="CB25" i="3"/>
  <c r="CC25" i="3" s="1"/>
  <c r="BX32" i="3"/>
  <c r="BW32" i="3"/>
  <c r="BV32" i="3"/>
  <c r="BU32" i="3"/>
  <c r="BT32" i="3"/>
  <c r="BS32" i="3"/>
  <c r="BR32" i="3"/>
  <c r="BL25" i="3"/>
  <c r="BM25" i="3" s="1"/>
  <c r="BN25" i="3" s="1"/>
  <c r="BO25" i="3" s="1"/>
  <c r="AX30" i="3"/>
  <c r="BD30" i="3" s="1"/>
  <c r="BW66" i="3"/>
  <c r="BV66" i="3"/>
  <c r="BU66" i="3"/>
  <c r="BT66" i="3"/>
  <c r="BS66" i="3"/>
  <c r="BR66" i="3"/>
  <c r="BX66" i="3"/>
  <c r="CA38" i="3"/>
  <c r="BX46" i="3"/>
  <c r="BW46" i="3"/>
  <c r="BV46" i="3"/>
  <c r="BU46" i="3"/>
  <c r="BT46" i="3"/>
  <c r="BS46" i="3"/>
  <c r="BR46" i="3"/>
  <c r="BT52" i="3"/>
  <c r="BS52" i="3"/>
  <c r="BR52" i="3"/>
  <c r="BX52" i="3"/>
  <c r="BW52" i="3"/>
  <c r="BV52" i="3"/>
  <c r="BU52" i="3"/>
  <c r="BW33" i="3"/>
  <c r="BV33" i="3"/>
  <c r="BU33" i="3"/>
  <c r="BT33" i="3"/>
  <c r="BS33" i="3"/>
  <c r="BR33" i="3"/>
  <c r="BX33" i="3"/>
  <c r="BX30" i="3"/>
  <c r="BW30" i="3"/>
  <c r="BV30" i="3"/>
  <c r="BU30" i="3"/>
  <c r="BT30" i="3"/>
  <c r="BR30" i="3"/>
  <c r="BS30" i="3"/>
  <c r="BT76" i="3"/>
  <c r="BS76" i="3"/>
  <c r="BX76" i="3"/>
  <c r="BW76" i="3"/>
  <c r="BV76" i="3"/>
  <c r="BU76" i="3"/>
  <c r="BR76" i="3"/>
  <c r="BW80" i="3"/>
  <c r="BV80" i="3"/>
  <c r="BU80" i="3"/>
  <c r="BT80" i="3"/>
  <c r="BS80" i="3"/>
  <c r="BR80" i="3"/>
  <c r="BX80" i="3"/>
  <c r="BW56" i="3"/>
  <c r="BU56" i="3"/>
  <c r="BS56" i="3"/>
  <c r="BR56" i="3"/>
  <c r="BX56" i="3"/>
  <c r="BV56" i="3"/>
  <c r="BT56" i="3"/>
  <c r="BT28" i="3"/>
  <c r="BS28" i="3"/>
  <c r="BR28" i="3"/>
  <c r="BX28" i="3"/>
  <c r="BV28" i="3"/>
  <c r="BW28" i="3"/>
  <c r="BU28" i="3"/>
  <c r="CB38" i="3"/>
  <c r="CC38" i="3" s="1"/>
  <c r="BW110" i="3"/>
  <c r="BV110" i="3"/>
  <c r="BU110" i="3"/>
  <c r="BS110" i="3"/>
  <c r="BX110" i="3"/>
  <c r="BT110" i="3"/>
  <c r="BR110" i="3"/>
  <c r="BV65" i="3"/>
  <c r="BU65" i="3"/>
  <c r="BT65" i="3"/>
  <c r="BS65" i="3"/>
  <c r="BR65" i="3"/>
  <c r="BX65" i="3"/>
  <c r="BW65" i="3"/>
  <c r="CA81" i="3"/>
  <c r="BT72" i="3"/>
  <c r="BX72" i="3"/>
  <c r="BW72" i="3"/>
  <c r="BV72" i="3"/>
  <c r="BU72" i="3"/>
  <c r="BS72" i="3"/>
  <c r="BR72" i="3"/>
  <c r="AX70" i="3"/>
  <c r="BD70" i="3" s="1"/>
  <c r="BL68" i="3"/>
  <c r="BM68" i="3" s="1"/>
  <c r="BN68" i="3" s="1"/>
  <c r="BO68" i="3" s="1"/>
  <c r="BK105" i="3"/>
  <c r="BQ105" i="3"/>
  <c r="BK90" i="3"/>
  <c r="BK101" i="3"/>
  <c r="AX98" i="3"/>
  <c r="BD98" i="3" s="1"/>
  <c r="BQ90" i="3"/>
  <c r="BL106" i="3"/>
  <c r="BM106" i="3" s="1"/>
  <c r="BN106" i="3" s="1"/>
  <c r="BO106" i="3" s="1"/>
  <c r="BK95" i="3"/>
  <c r="BK92" i="3"/>
  <c r="BL81" i="3"/>
  <c r="BM81" i="3" s="1"/>
  <c r="BN81" i="3" s="1"/>
  <c r="BO81" i="3" s="1"/>
  <c r="BL108" i="3"/>
  <c r="BM108" i="3" s="1"/>
  <c r="BN108" i="3" s="1"/>
  <c r="BO108" i="3" s="1"/>
  <c r="CB81" i="3"/>
  <c r="CC81" i="3" s="1"/>
  <c r="BK96" i="3"/>
  <c r="BV57" i="3"/>
  <c r="BT57" i="3"/>
  <c r="BR57" i="3"/>
  <c r="BX57" i="3"/>
  <c r="BW57" i="3"/>
  <c r="BS57" i="3"/>
  <c r="BU57" i="3"/>
  <c r="BR62" i="3"/>
  <c r="BX62" i="3"/>
  <c r="BW62" i="3"/>
  <c r="BV62" i="3"/>
  <c r="BU62" i="3"/>
  <c r="BT62" i="3"/>
  <c r="BS62" i="3"/>
  <c r="BL70" i="3"/>
  <c r="BM70" i="3" s="1"/>
  <c r="BN70" i="3" s="1"/>
  <c r="BO70" i="3" s="1"/>
  <c r="BX70" i="3"/>
  <c r="BW70" i="3"/>
  <c r="BV70" i="3"/>
  <c r="BU70" i="3"/>
  <c r="BT70" i="3"/>
  <c r="BS70" i="3"/>
  <c r="BR70" i="3"/>
  <c r="BK47" i="3"/>
  <c r="BQ47" i="3"/>
  <c r="AX68" i="3"/>
  <c r="BD68" i="3" s="1"/>
  <c r="BL57" i="3"/>
  <c r="BM57" i="3" s="1"/>
  <c r="BN57" i="3" s="1"/>
  <c r="BO57" i="3" s="1"/>
  <c r="AX57" i="3"/>
  <c r="BD57" i="3" s="1"/>
  <c r="CB43" i="3"/>
  <c r="CC43" i="3" s="1"/>
  <c r="CA42" i="3"/>
  <c r="CB55" i="3"/>
  <c r="CC55" i="3" s="1"/>
  <c r="BL43" i="3"/>
  <c r="BM43" i="3" s="1"/>
  <c r="BN43" i="3" s="1"/>
  <c r="BO43" i="3" s="1"/>
  <c r="BL30" i="3"/>
  <c r="BM30" i="3" s="1"/>
  <c r="BN30" i="3" s="1"/>
  <c r="BO30" i="3" s="1"/>
  <c r="BK107" i="3"/>
  <c r="BQ107" i="3"/>
  <c r="BU106" i="3"/>
  <c r="BT106" i="3"/>
  <c r="BS106" i="3"/>
  <c r="BW106" i="3"/>
  <c r="BV106" i="3"/>
  <c r="BX106" i="3"/>
  <c r="BR106" i="3"/>
  <c r="CA108" i="3"/>
  <c r="BT77" i="3"/>
  <c r="BS77" i="3"/>
  <c r="BX77" i="3"/>
  <c r="BW77" i="3"/>
  <c r="BV77" i="3"/>
  <c r="BU77" i="3"/>
  <c r="BR77" i="3"/>
  <c r="BX81" i="3"/>
  <c r="BW81" i="3"/>
  <c r="BV81" i="3"/>
  <c r="BU81" i="3"/>
  <c r="BT81" i="3"/>
  <c r="BS81" i="3"/>
  <c r="BR81" i="3"/>
  <c r="BV55" i="3"/>
  <c r="BT55" i="3"/>
  <c r="BR55" i="3"/>
  <c r="BX55" i="3"/>
  <c r="BW55" i="3"/>
  <c r="BU55" i="3"/>
  <c r="BS55" i="3"/>
  <c r="BL55" i="3"/>
  <c r="BM55" i="3" s="1"/>
  <c r="BN55" i="3" s="1"/>
  <c r="BO55" i="3" s="1"/>
  <c r="BK45" i="3"/>
  <c r="BQ45" i="3"/>
  <c r="BU71" i="3"/>
  <c r="BT71" i="3"/>
  <c r="BS71" i="3"/>
  <c r="BR71" i="3"/>
  <c r="BX71" i="3"/>
  <c r="BW71" i="3"/>
  <c r="BV71" i="3"/>
  <c r="BR60" i="3"/>
  <c r="BX60" i="3"/>
  <c r="BV60" i="3"/>
  <c r="BU60" i="3"/>
  <c r="BT60" i="3"/>
  <c r="BS60" i="3"/>
  <c r="BW60" i="3"/>
  <c r="CA55" i="3"/>
  <c r="CB36" i="3"/>
  <c r="CC36" i="3" s="1"/>
  <c r="AX43" i="3"/>
  <c r="BD43" i="3" s="1"/>
  <c r="CA48" i="3"/>
  <c r="CA31" i="3"/>
  <c r="BU27" i="3"/>
  <c r="BT27" i="3"/>
  <c r="BS27" i="3"/>
  <c r="BR27" i="3"/>
  <c r="BW27" i="3"/>
  <c r="BX27" i="3"/>
  <c r="BV27" i="3"/>
  <c r="BU68" i="3"/>
  <c r="BT68" i="3"/>
  <c r="BS68" i="3"/>
  <c r="BR68" i="3"/>
  <c r="BX68" i="3"/>
  <c r="BW68" i="3"/>
  <c r="BV68" i="3"/>
  <c r="BX102" i="3"/>
  <c r="BW102" i="3"/>
  <c r="BU102" i="3"/>
  <c r="BS102" i="3"/>
  <c r="BR102" i="3"/>
  <c r="BT102" i="3"/>
  <c r="BV102" i="3"/>
  <c r="BK77" i="3"/>
  <c r="CB77" i="3" s="1"/>
  <c r="CC77" i="3" s="1"/>
  <c r="BS43" i="3"/>
  <c r="BR43" i="3"/>
  <c r="BX43" i="3"/>
  <c r="BW43" i="3"/>
  <c r="BV43" i="3"/>
  <c r="BU43" i="3"/>
  <c r="BT43" i="3"/>
  <c r="BW48" i="3"/>
  <c r="BV48" i="3"/>
  <c r="BU48" i="3"/>
  <c r="BT48" i="3"/>
  <c r="BS48" i="3"/>
  <c r="BR48" i="3"/>
  <c r="BX48" i="3"/>
  <c r="BX31" i="3"/>
  <c r="BW31" i="3"/>
  <c r="BV31" i="3"/>
  <c r="BS31" i="3"/>
  <c r="BU31" i="3"/>
  <c r="BT31" i="3"/>
  <c r="BR31" i="3"/>
  <c r="BW36" i="3"/>
  <c r="BT36" i="3"/>
  <c r="BS36" i="3"/>
  <c r="BX36" i="3"/>
  <c r="BV36" i="3"/>
  <c r="BU36" i="3"/>
  <c r="BR36" i="3"/>
  <c r="BL38" i="3"/>
  <c r="BM38" i="3" s="1"/>
  <c r="BN38" i="3" s="1"/>
  <c r="BO38" i="3" s="1"/>
  <c r="BV26" i="3"/>
  <c r="BU26" i="3"/>
  <c r="BX26" i="3"/>
  <c r="BT26" i="3"/>
  <c r="BS26" i="3"/>
  <c r="BR26" i="3"/>
  <c r="BW26" i="3"/>
  <c r="CB30" i="3"/>
  <c r="CC30" i="3" s="1"/>
  <c r="CB108" i="3"/>
  <c r="CC108" i="3" s="1"/>
  <c r="BS108" i="3"/>
  <c r="BR108" i="3"/>
  <c r="BW108" i="3"/>
  <c r="BU108" i="3"/>
  <c r="BT108" i="3"/>
  <c r="BX108" i="3"/>
  <c r="BV108" i="3"/>
  <c r="CB102" i="3"/>
  <c r="CC102" i="3" s="1"/>
  <c r="BU58" i="3"/>
  <c r="BS58" i="3"/>
  <c r="BX58" i="3"/>
  <c r="BW58" i="3"/>
  <c r="BV58" i="3"/>
  <c r="BT58" i="3"/>
  <c r="BR58" i="3"/>
  <c r="BR75" i="3"/>
  <c r="BX75" i="3"/>
  <c r="BW75" i="3"/>
  <c r="BU75" i="3"/>
  <c r="BT75" i="3"/>
  <c r="BS75" i="3"/>
  <c r="BV75" i="3"/>
  <c r="BU51" i="3"/>
  <c r="BT51" i="3"/>
  <c r="BS51" i="3"/>
  <c r="BR51" i="3"/>
  <c r="BX51" i="3"/>
  <c r="BW51" i="3"/>
  <c r="BV51" i="3"/>
  <c r="AX61" i="3"/>
  <c r="BD61" i="3" s="1"/>
  <c r="CB53" i="3"/>
  <c r="CC53" i="3" s="1"/>
  <c r="BU53" i="3"/>
  <c r="BT53" i="3"/>
  <c r="BS53" i="3"/>
  <c r="BR53" i="3"/>
  <c r="BV53" i="3"/>
  <c r="BX53" i="3"/>
  <c r="BW53" i="3"/>
  <c r="BW38" i="3"/>
  <c r="BU38" i="3"/>
  <c r="BS38" i="3"/>
  <c r="BR38" i="3"/>
  <c r="BV38" i="3"/>
  <c r="BT38" i="3"/>
  <c r="BX38" i="3"/>
  <c r="CB31" i="3"/>
  <c r="CC31" i="3" s="1"/>
  <c r="R110" i="1"/>
  <c r="CD37" i="3" l="1"/>
  <c r="CE37" i="3" s="1"/>
  <c r="CF37" i="3" s="1"/>
  <c r="CD58" i="3"/>
  <c r="CE58" i="3" s="1"/>
  <c r="CF58" i="3" s="1"/>
  <c r="BL98" i="3"/>
  <c r="BM98" i="3" s="1"/>
  <c r="BN98" i="3" s="1"/>
  <c r="BO98" i="3" s="1"/>
  <c r="BL42" i="3"/>
  <c r="BM42" i="3" s="1"/>
  <c r="BN42" i="3" s="1"/>
  <c r="BO42" i="3" s="1"/>
  <c r="CB93" i="3"/>
  <c r="CC93" i="3" s="1"/>
  <c r="BQ93" i="3"/>
  <c r="BX93" i="3" s="1"/>
  <c r="CB42" i="3"/>
  <c r="CC42" i="3" s="1"/>
  <c r="BL93" i="3"/>
  <c r="BM93" i="3" s="1"/>
  <c r="BN93" i="3" s="1"/>
  <c r="BO93" i="3" s="1"/>
  <c r="AX93" i="3"/>
  <c r="BD93" i="3" s="1"/>
  <c r="CD48" i="3"/>
  <c r="CE48" i="3" s="1"/>
  <c r="BL46" i="3"/>
  <c r="BM46" i="3" s="1"/>
  <c r="BN46" i="3" s="1"/>
  <c r="BO46" i="3" s="1"/>
  <c r="CB46" i="3"/>
  <c r="CC46" i="3" s="1"/>
  <c r="CD111" i="3"/>
  <c r="CE111" i="3" s="1"/>
  <c r="CF111" i="3" s="1"/>
  <c r="CD110" i="3"/>
  <c r="CE110" i="3" s="1"/>
  <c r="CF110" i="3" s="1"/>
  <c r="BU103" i="3"/>
  <c r="BV103" i="3"/>
  <c r="BX98" i="3"/>
  <c r="BU98" i="3"/>
  <c r="BS98" i="3"/>
  <c r="BR98" i="3"/>
  <c r="BV93" i="3"/>
  <c r="BW92" i="3"/>
  <c r="BR92" i="3"/>
  <c r="BU92" i="3"/>
  <c r="BS92" i="3"/>
  <c r="BV92" i="3"/>
  <c r="BX92" i="3"/>
  <c r="AX91" i="3"/>
  <c r="BD91" i="3" s="1"/>
  <c r="BL91" i="3"/>
  <c r="BM91" i="3" s="1"/>
  <c r="BN91" i="3" s="1"/>
  <c r="BO91" i="3" s="1"/>
  <c r="CA91" i="3"/>
  <c r="CD91" i="3" s="1"/>
  <c r="CE91" i="3" s="1"/>
  <c r="BV88" i="3"/>
  <c r="BX88" i="3"/>
  <c r="BS88" i="3"/>
  <c r="BR88" i="3"/>
  <c r="BW88" i="3"/>
  <c r="CD88" i="3"/>
  <c r="CE88" i="3" s="1"/>
  <c r="CF88" i="3" s="1"/>
  <c r="BU88" i="3"/>
  <c r="CD87" i="3"/>
  <c r="CE87" i="3" s="1"/>
  <c r="CF87" i="3" s="1"/>
  <c r="BU86" i="3"/>
  <c r="BV86" i="3"/>
  <c r="BW86" i="3"/>
  <c r="CD85" i="3"/>
  <c r="CE85" i="3" s="1"/>
  <c r="CF85" i="3" s="1"/>
  <c r="BS83" i="3"/>
  <c r="BW83" i="3"/>
  <c r="BR83" i="3"/>
  <c r="BV83" i="3"/>
  <c r="CD78" i="3"/>
  <c r="CE78" i="3" s="1"/>
  <c r="CF78" i="3" s="1"/>
  <c r="BS78" i="3"/>
  <c r="BT78" i="3"/>
  <c r="BY78" i="3" s="1"/>
  <c r="BU78" i="3"/>
  <c r="BV78" i="3"/>
  <c r="BW78" i="3"/>
  <c r="BX78" i="3"/>
  <c r="CD72" i="3"/>
  <c r="CE72" i="3" s="1"/>
  <c r="CF72" i="3" s="1"/>
  <c r="CD71" i="3"/>
  <c r="CE71" i="3" s="1"/>
  <c r="CF71" i="3" s="1"/>
  <c r="CD62" i="3"/>
  <c r="CE62" i="3" s="1"/>
  <c r="CF62" i="3" s="1"/>
  <c r="CD61" i="3"/>
  <c r="CE61" i="3" s="1"/>
  <c r="CF61" i="3" s="1"/>
  <c r="CD60" i="3"/>
  <c r="CE60" i="3" s="1"/>
  <c r="CF60" i="3" s="1"/>
  <c r="CD51" i="3"/>
  <c r="CE51" i="3" s="1"/>
  <c r="CF51" i="3" s="1"/>
  <c r="BR50" i="3"/>
  <c r="BX50" i="3"/>
  <c r="BS50" i="3"/>
  <c r="BT50" i="3"/>
  <c r="BU50" i="3"/>
  <c r="BV50" i="3"/>
  <c r="CD46" i="3"/>
  <c r="CE46" i="3" s="1"/>
  <c r="CF46" i="3" s="1"/>
  <c r="CD41" i="3"/>
  <c r="CE41" i="3" s="1"/>
  <c r="CF41" i="3" s="1"/>
  <c r="BT40" i="3"/>
  <c r="BY37" i="3"/>
  <c r="CD35" i="3"/>
  <c r="CE35" i="3" s="1"/>
  <c r="CF35" i="3" s="1"/>
  <c r="CD33" i="3"/>
  <c r="CE33" i="3" s="1"/>
  <c r="CF33" i="3" s="1"/>
  <c r="CD32" i="3"/>
  <c r="CE32" i="3" s="1"/>
  <c r="CF32" i="3" s="1"/>
  <c r="CE26" i="3"/>
  <c r="CF26" i="3" s="1"/>
  <c r="BT25" i="3"/>
  <c r="BU25" i="3"/>
  <c r="BW25" i="3"/>
  <c r="BX25" i="3"/>
  <c r="BR25" i="3"/>
  <c r="BS25" i="3"/>
  <c r="BT103" i="3"/>
  <c r="BY103" i="3" s="1"/>
  <c r="CD52" i="3"/>
  <c r="CE52" i="3" s="1"/>
  <c r="CF52" i="3" s="1"/>
  <c r="BS40" i="3"/>
  <c r="BV40" i="3"/>
  <c r="CD83" i="3"/>
  <c r="CE83" i="3" s="1"/>
  <c r="CF83" i="3" s="1"/>
  <c r="BR40" i="3"/>
  <c r="BS93" i="3"/>
  <c r="BR86" i="3"/>
  <c r="AX67" i="3"/>
  <c r="BD67" i="3" s="1"/>
  <c r="BL67" i="3"/>
  <c r="BM67" i="3" s="1"/>
  <c r="BN67" i="3" s="1"/>
  <c r="BO67" i="3" s="1"/>
  <c r="CB67" i="3"/>
  <c r="CC67" i="3" s="1"/>
  <c r="BT86" i="3"/>
  <c r="CF66" i="3"/>
  <c r="CF63" i="3"/>
  <c r="BX86" i="3"/>
  <c r="CD27" i="3"/>
  <c r="CE27" i="3" s="1"/>
  <c r="CF27" i="3" s="1"/>
  <c r="BV42" i="3"/>
  <c r="CD28" i="3"/>
  <c r="CE28" i="3" s="1"/>
  <c r="CF28" i="3" s="1"/>
  <c r="BV98" i="3"/>
  <c r="BW103" i="3"/>
  <c r="BW93" i="3"/>
  <c r="BW98" i="3"/>
  <c r="BX103" i="3"/>
  <c r="BR93" i="3"/>
  <c r="BS103" i="3"/>
  <c r="BT93" i="3"/>
  <c r="BT42" i="3"/>
  <c r="BY35" i="3"/>
  <c r="BV97" i="3"/>
  <c r="BW40" i="3"/>
  <c r="BX40" i="3"/>
  <c r="CD81" i="3"/>
  <c r="CE81" i="3" s="1"/>
  <c r="CF81" i="3" s="1"/>
  <c r="CD103" i="3"/>
  <c r="CE103" i="3" s="1"/>
  <c r="CF103" i="3" s="1"/>
  <c r="BU42" i="3"/>
  <c r="BW42" i="3"/>
  <c r="CD76" i="3"/>
  <c r="CE76" i="3" s="1"/>
  <c r="CF76" i="3" s="1"/>
  <c r="CD98" i="3"/>
  <c r="CE98" i="3" s="1"/>
  <c r="CF98" i="3" s="1"/>
  <c r="BX42" i="3"/>
  <c r="BR42" i="3"/>
  <c r="CD55" i="3"/>
  <c r="CE55" i="3" s="1"/>
  <c r="CF55" i="3" s="1"/>
  <c r="CA50" i="3"/>
  <c r="CD50" i="3" s="1"/>
  <c r="CE50" i="3" s="1"/>
  <c r="BY80" i="3"/>
  <c r="BS97" i="3"/>
  <c r="BW97" i="3"/>
  <c r="BY71" i="3"/>
  <c r="BX97" i="3"/>
  <c r="CD40" i="3"/>
  <c r="BR97" i="3"/>
  <c r="BT97" i="3"/>
  <c r="CD113" i="3"/>
  <c r="CE113" i="3" s="1"/>
  <c r="CF113" i="3" s="1"/>
  <c r="BY111" i="3"/>
  <c r="BY91" i="3"/>
  <c r="CD75" i="3"/>
  <c r="CE75" i="3" s="1"/>
  <c r="CF75" i="3" s="1"/>
  <c r="CD73" i="3"/>
  <c r="CE73" i="3" s="1"/>
  <c r="CF73" i="3" s="1"/>
  <c r="CD68" i="3"/>
  <c r="CE68" i="3" s="1"/>
  <c r="CF68" i="3" s="1"/>
  <c r="BY60" i="3"/>
  <c r="AX50" i="3"/>
  <c r="BD50" i="3" s="1"/>
  <c r="BL50" i="3"/>
  <c r="BM50" i="3" s="1"/>
  <c r="BN50" i="3" s="1"/>
  <c r="BO50" i="3" s="1"/>
  <c r="CD25" i="3"/>
  <c r="CE25" i="3" s="1"/>
  <c r="CF25" i="3" s="1"/>
  <c r="BY101" i="3"/>
  <c r="BY96" i="3"/>
  <c r="BY81" i="3"/>
  <c r="BY76" i="3"/>
  <c r="BY66" i="3"/>
  <c r="BY61" i="3"/>
  <c r="BY56" i="3"/>
  <c r="BY51" i="3"/>
  <c r="BY41" i="3"/>
  <c r="BY31" i="3"/>
  <c r="BY110" i="3"/>
  <c r="BY95" i="3"/>
  <c r="BY85" i="3"/>
  <c r="BY75" i="3"/>
  <c r="BY65" i="3"/>
  <c r="BY113" i="3"/>
  <c r="BY108" i="3"/>
  <c r="BY68" i="3"/>
  <c r="BY58" i="3"/>
  <c r="BY53" i="3"/>
  <c r="BY48" i="3"/>
  <c r="BY43" i="3"/>
  <c r="BY38" i="3"/>
  <c r="BY28" i="3"/>
  <c r="BY102" i="3"/>
  <c r="BY87" i="3"/>
  <c r="BY82" i="3"/>
  <c r="BY77" i="3"/>
  <c r="BY72" i="3"/>
  <c r="BY52" i="3"/>
  <c r="CF57" i="3"/>
  <c r="BT105" i="3"/>
  <c r="BS105" i="3"/>
  <c r="BR105" i="3"/>
  <c r="BX105" i="3"/>
  <c r="BV105" i="3"/>
  <c r="BU105" i="3"/>
  <c r="BW105" i="3"/>
  <c r="BY36" i="3"/>
  <c r="AX107" i="3"/>
  <c r="BD107" i="3" s="1"/>
  <c r="CA107" i="3"/>
  <c r="BL107" i="3"/>
  <c r="BM107" i="3" s="1"/>
  <c r="BN107" i="3" s="1"/>
  <c r="BO107" i="3" s="1"/>
  <c r="CB107" i="3"/>
  <c r="CC107" i="3" s="1"/>
  <c r="BY63" i="3"/>
  <c r="CF106" i="3"/>
  <c r="BY83" i="3"/>
  <c r="CA80" i="3"/>
  <c r="AX80" i="3"/>
  <c r="BD80" i="3" s="1"/>
  <c r="BL80" i="3"/>
  <c r="BM80" i="3" s="1"/>
  <c r="BN80" i="3" s="1"/>
  <c r="BO80" i="3" s="1"/>
  <c r="BY106" i="3"/>
  <c r="AX47" i="3"/>
  <c r="BD47" i="3" s="1"/>
  <c r="BL47" i="3"/>
  <c r="BM47" i="3" s="1"/>
  <c r="BN47" i="3" s="1"/>
  <c r="BO47" i="3" s="1"/>
  <c r="CB47" i="3"/>
  <c r="CC47" i="3" s="1"/>
  <c r="CA47" i="3"/>
  <c r="AX95" i="3"/>
  <c r="BD95" i="3" s="1"/>
  <c r="CA95" i="3"/>
  <c r="CB95" i="3"/>
  <c r="CC95" i="3" s="1"/>
  <c r="BL95" i="3"/>
  <c r="BM95" i="3" s="1"/>
  <c r="BN95" i="3" s="1"/>
  <c r="BO95" i="3" s="1"/>
  <c r="AX105" i="3"/>
  <c r="BD105" i="3" s="1"/>
  <c r="CA105" i="3"/>
  <c r="BL105" i="3"/>
  <c r="BM105" i="3" s="1"/>
  <c r="BN105" i="3" s="1"/>
  <c r="BO105" i="3" s="1"/>
  <c r="CB105" i="3"/>
  <c r="CC105" i="3" s="1"/>
  <c r="BY88" i="3"/>
  <c r="CD38" i="3"/>
  <c r="CE38" i="3" s="1"/>
  <c r="CF38" i="3" s="1"/>
  <c r="BY67" i="3"/>
  <c r="BY100" i="3"/>
  <c r="CD43" i="3"/>
  <c r="CE43" i="3" s="1"/>
  <c r="CF43" i="3" s="1"/>
  <c r="CD102" i="3"/>
  <c r="CE102" i="3" s="1"/>
  <c r="CF102" i="3" s="1"/>
  <c r="CD53" i="3"/>
  <c r="CE53" i="3" s="1"/>
  <c r="CF53" i="3" s="1"/>
  <c r="CD30" i="3"/>
  <c r="CE30" i="3" s="1"/>
  <c r="CF30" i="3" s="1"/>
  <c r="BY73" i="3"/>
  <c r="AX86" i="3"/>
  <c r="BD86" i="3" s="1"/>
  <c r="CB86" i="3"/>
  <c r="CC86" i="3" s="1"/>
  <c r="BL86" i="3"/>
  <c r="BM86" i="3" s="1"/>
  <c r="BN86" i="3" s="1"/>
  <c r="BO86" i="3" s="1"/>
  <c r="CA86" i="3"/>
  <c r="CA112" i="3"/>
  <c r="CD112" i="3" s="1"/>
  <c r="CE112" i="3" s="1"/>
  <c r="BL112" i="3"/>
  <c r="BM112" i="3" s="1"/>
  <c r="BN112" i="3" s="1"/>
  <c r="BO112" i="3" s="1"/>
  <c r="AX112" i="3"/>
  <c r="BD112" i="3" s="1"/>
  <c r="AX92" i="3"/>
  <c r="BD92" i="3" s="1"/>
  <c r="CA92" i="3"/>
  <c r="BL92" i="3"/>
  <c r="BM92" i="3" s="1"/>
  <c r="BN92" i="3" s="1"/>
  <c r="BO92" i="3" s="1"/>
  <c r="BX45" i="3"/>
  <c r="BW45" i="3"/>
  <c r="BV45" i="3"/>
  <c r="BU45" i="3"/>
  <c r="BT45" i="3"/>
  <c r="BS45" i="3"/>
  <c r="BR45" i="3"/>
  <c r="BY70" i="3"/>
  <c r="BY62" i="3"/>
  <c r="CA96" i="3"/>
  <c r="AX96" i="3"/>
  <c r="BD96" i="3" s="1"/>
  <c r="BL96" i="3"/>
  <c r="BM96" i="3" s="1"/>
  <c r="BN96" i="3" s="1"/>
  <c r="BO96" i="3" s="1"/>
  <c r="BR90" i="3"/>
  <c r="BW90" i="3"/>
  <c r="BU90" i="3"/>
  <c r="BT90" i="3"/>
  <c r="BX90" i="3"/>
  <c r="BV90" i="3"/>
  <c r="BS90" i="3"/>
  <c r="CF70" i="3"/>
  <c r="BY46" i="3"/>
  <c r="CA56" i="3"/>
  <c r="AX56" i="3"/>
  <c r="BD56" i="3" s="1"/>
  <c r="BL56" i="3"/>
  <c r="BM56" i="3" s="1"/>
  <c r="BN56" i="3" s="1"/>
  <c r="BO56" i="3" s="1"/>
  <c r="CA100" i="3"/>
  <c r="AX100" i="3"/>
  <c r="BD100" i="3" s="1"/>
  <c r="BL100" i="3"/>
  <c r="BM100" i="3" s="1"/>
  <c r="BN100" i="3" s="1"/>
  <c r="BO100" i="3" s="1"/>
  <c r="CD36" i="3"/>
  <c r="CE36" i="3" s="1"/>
  <c r="CF36" i="3" s="1"/>
  <c r="BL77" i="3"/>
  <c r="BM77" i="3" s="1"/>
  <c r="BN77" i="3" s="1"/>
  <c r="BO77" i="3" s="1"/>
  <c r="AX77" i="3"/>
  <c r="BD77" i="3" s="1"/>
  <c r="CA77" i="3"/>
  <c r="CD77" i="3" s="1"/>
  <c r="CE77" i="3" s="1"/>
  <c r="AX45" i="3"/>
  <c r="BD45" i="3" s="1"/>
  <c r="BL45" i="3"/>
  <c r="BM45" i="3" s="1"/>
  <c r="BN45" i="3" s="1"/>
  <c r="BO45" i="3" s="1"/>
  <c r="CB45" i="3"/>
  <c r="CC45" i="3" s="1"/>
  <c r="CA45" i="3"/>
  <c r="CD108" i="3"/>
  <c r="CE108" i="3" s="1"/>
  <c r="CF108" i="3" s="1"/>
  <c r="BY57" i="3"/>
  <c r="BY30" i="3"/>
  <c r="CB56" i="3"/>
  <c r="CC56" i="3" s="1"/>
  <c r="CB100" i="3"/>
  <c r="CC100" i="3" s="1"/>
  <c r="CB96" i="3"/>
  <c r="CC96" i="3" s="1"/>
  <c r="BX47" i="3"/>
  <c r="BW47" i="3"/>
  <c r="BV47" i="3"/>
  <c r="BU47" i="3"/>
  <c r="BT47" i="3"/>
  <c r="BS47" i="3"/>
  <c r="BR47" i="3"/>
  <c r="BL101" i="3"/>
  <c r="BM101" i="3" s="1"/>
  <c r="BN101" i="3" s="1"/>
  <c r="BO101" i="3" s="1"/>
  <c r="CA101" i="3"/>
  <c r="AX101" i="3"/>
  <c r="BD101" i="3" s="1"/>
  <c r="CB101" i="3"/>
  <c r="CC101" i="3" s="1"/>
  <c r="BY32" i="3"/>
  <c r="CE40" i="3"/>
  <c r="CF40" i="3" s="1"/>
  <c r="CA82" i="3"/>
  <c r="CD82" i="3" s="1"/>
  <c r="CE82" i="3" s="1"/>
  <c r="AX82" i="3"/>
  <c r="BD82" i="3" s="1"/>
  <c r="BL82" i="3"/>
  <c r="BM82" i="3" s="1"/>
  <c r="BN82" i="3" s="1"/>
  <c r="BO82" i="3" s="1"/>
  <c r="CB92" i="3"/>
  <c r="CC92" i="3" s="1"/>
  <c r="CB80" i="3"/>
  <c r="CC80" i="3" s="1"/>
  <c r="BY27" i="3"/>
  <c r="BY26" i="3"/>
  <c r="CD31" i="3"/>
  <c r="CE31" i="3" s="1"/>
  <c r="CF31" i="3" s="1"/>
  <c r="BY55" i="3"/>
  <c r="BT107" i="3"/>
  <c r="BS107" i="3"/>
  <c r="BR107" i="3"/>
  <c r="BX107" i="3"/>
  <c r="BV107" i="3"/>
  <c r="BU107" i="3"/>
  <c r="BW107" i="3"/>
  <c r="AX90" i="3"/>
  <c r="BD90" i="3" s="1"/>
  <c r="CB90" i="3"/>
  <c r="CC90" i="3" s="1"/>
  <c r="CA90" i="3"/>
  <c r="BL90" i="3"/>
  <c r="BM90" i="3" s="1"/>
  <c r="BN90" i="3" s="1"/>
  <c r="BO90" i="3" s="1"/>
  <c r="BY33" i="3"/>
  <c r="CF48" i="3"/>
  <c r="BY112" i="3"/>
  <c r="AX97" i="3"/>
  <c r="BD97" i="3" s="1"/>
  <c r="CA97" i="3"/>
  <c r="CB97" i="3"/>
  <c r="CC97" i="3" s="1"/>
  <c r="BL97" i="3"/>
  <c r="BM97" i="3" s="1"/>
  <c r="BN97" i="3" s="1"/>
  <c r="BO97" i="3" s="1"/>
  <c r="B58" i="1"/>
  <c r="CK125" i="1"/>
  <c r="CM125" i="1"/>
  <c r="CK126" i="1"/>
  <c r="D126" i="1" s="1"/>
  <c r="CM126" i="1"/>
  <c r="F126" i="1" s="1"/>
  <c r="CK127" i="1"/>
  <c r="D127" i="1" s="1"/>
  <c r="CM127" i="1"/>
  <c r="F127" i="1" s="1"/>
  <c r="CK128" i="1"/>
  <c r="D128" i="1" s="1"/>
  <c r="CM128" i="1"/>
  <c r="F128" i="1" s="1"/>
  <c r="CK129" i="1"/>
  <c r="D129" i="1" s="1"/>
  <c r="CM129" i="1"/>
  <c r="F129" i="1" s="1"/>
  <c r="CK34" i="1"/>
  <c r="CM34" i="1"/>
  <c r="CK35" i="1"/>
  <c r="D35" i="1" s="1"/>
  <c r="CM35" i="1"/>
  <c r="F35" i="1" s="1"/>
  <c r="CK36" i="1"/>
  <c r="D36" i="1" s="1"/>
  <c r="CM36" i="1"/>
  <c r="F36" i="1" s="1"/>
  <c r="CK37" i="1"/>
  <c r="D37" i="1" s="1"/>
  <c r="CM37" i="1"/>
  <c r="F37" i="1" s="1"/>
  <c r="CK38" i="1"/>
  <c r="D38" i="1" s="1"/>
  <c r="CM38" i="1"/>
  <c r="F38" i="1" s="1"/>
  <c r="CK39" i="1"/>
  <c r="CM39" i="1"/>
  <c r="CK40" i="1"/>
  <c r="D40" i="1" s="1"/>
  <c r="CM40" i="1"/>
  <c r="F40" i="1" s="1"/>
  <c r="CK41" i="1"/>
  <c r="D41" i="1" s="1"/>
  <c r="CM41" i="1"/>
  <c r="F41" i="1" s="1"/>
  <c r="CK42" i="1"/>
  <c r="D42" i="1" s="1"/>
  <c r="CM42" i="1"/>
  <c r="F42" i="1" s="1"/>
  <c r="CK43" i="1"/>
  <c r="D43" i="1" s="1"/>
  <c r="CM43" i="1"/>
  <c r="F43" i="1" s="1"/>
  <c r="CK44" i="1"/>
  <c r="CM44" i="1"/>
  <c r="CK45" i="1"/>
  <c r="D45" i="1" s="1"/>
  <c r="CM45" i="1"/>
  <c r="F45" i="1" s="1"/>
  <c r="CK46" i="1"/>
  <c r="D46" i="1" s="1"/>
  <c r="CM46" i="1"/>
  <c r="F46" i="1" s="1"/>
  <c r="CK47" i="1"/>
  <c r="D47" i="1" s="1"/>
  <c r="CM47" i="1"/>
  <c r="F47" i="1" s="1"/>
  <c r="CK48" i="1"/>
  <c r="D48" i="1" s="1"/>
  <c r="CM48" i="1"/>
  <c r="F48" i="1" s="1"/>
  <c r="CK54" i="1"/>
  <c r="CM54" i="1"/>
  <c r="CK55" i="1"/>
  <c r="D55" i="1" s="1"/>
  <c r="CM55" i="1"/>
  <c r="F55" i="1" s="1"/>
  <c r="CK56" i="1"/>
  <c r="D56" i="1" s="1"/>
  <c r="CM56" i="1"/>
  <c r="F56" i="1" s="1"/>
  <c r="CK57" i="1"/>
  <c r="D57" i="1" s="1"/>
  <c r="CM57" i="1"/>
  <c r="F57" i="1" s="1"/>
  <c r="CK58" i="1"/>
  <c r="D58" i="1" s="1"/>
  <c r="CM58" i="1"/>
  <c r="F58" i="1" s="1"/>
  <c r="CK59" i="1"/>
  <c r="CM59" i="1"/>
  <c r="CK60" i="1"/>
  <c r="D60" i="1" s="1"/>
  <c r="CM60" i="1"/>
  <c r="F60" i="1" s="1"/>
  <c r="CK61" i="1"/>
  <c r="D61" i="1" s="1"/>
  <c r="CM61" i="1"/>
  <c r="F61" i="1" s="1"/>
  <c r="CK62" i="1"/>
  <c r="D62" i="1" s="1"/>
  <c r="CM62" i="1"/>
  <c r="F62" i="1" s="1"/>
  <c r="CK63" i="1"/>
  <c r="D63" i="1" s="1"/>
  <c r="CM63" i="1"/>
  <c r="F63" i="1" s="1"/>
  <c r="CK64" i="1"/>
  <c r="CM64" i="1"/>
  <c r="CK65" i="1"/>
  <c r="D65" i="1" s="1"/>
  <c r="CM65" i="1"/>
  <c r="F65" i="1" s="1"/>
  <c r="CK66" i="1"/>
  <c r="D66" i="1" s="1"/>
  <c r="CM66" i="1"/>
  <c r="F66" i="1" s="1"/>
  <c r="CK67" i="1"/>
  <c r="D67" i="1" s="1"/>
  <c r="CM67" i="1"/>
  <c r="F67" i="1" s="1"/>
  <c r="CK68" i="1"/>
  <c r="D68" i="1" s="1"/>
  <c r="CM68" i="1"/>
  <c r="F68" i="1" s="1"/>
  <c r="CK74" i="1"/>
  <c r="CM74" i="1"/>
  <c r="CK75" i="1"/>
  <c r="D75" i="1" s="1"/>
  <c r="CM75" i="1"/>
  <c r="F75" i="1" s="1"/>
  <c r="CK76" i="1"/>
  <c r="D76" i="1" s="1"/>
  <c r="CM76" i="1"/>
  <c r="F76" i="1" s="1"/>
  <c r="CK77" i="1"/>
  <c r="D77" i="1" s="1"/>
  <c r="CM77" i="1"/>
  <c r="F77" i="1" s="1"/>
  <c r="CK78" i="1"/>
  <c r="D78" i="1" s="1"/>
  <c r="CM78" i="1"/>
  <c r="F78" i="1" s="1"/>
  <c r="CK79" i="1"/>
  <c r="CM79" i="1"/>
  <c r="CK80" i="1"/>
  <c r="D80" i="1" s="1"/>
  <c r="CM80" i="1"/>
  <c r="F80" i="1" s="1"/>
  <c r="CK81" i="1"/>
  <c r="D81" i="1" s="1"/>
  <c r="CM81" i="1"/>
  <c r="F81" i="1" s="1"/>
  <c r="CK82" i="1"/>
  <c r="D82" i="1" s="1"/>
  <c r="CM82" i="1"/>
  <c r="F82" i="1" s="1"/>
  <c r="CK83" i="1"/>
  <c r="D83" i="1" s="1"/>
  <c r="CM83" i="1"/>
  <c r="F83" i="1" s="1"/>
  <c r="CK84" i="1"/>
  <c r="CM84" i="1"/>
  <c r="CK85" i="1"/>
  <c r="D85" i="1" s="1"/>
  <c r="CM85" i="1"/>
  <c r="F85" i="1" s="1"/>
  <c r="CK86" i="1"/>
  <c r="D86" i="1" s="1"/>
  <c r="CM86" i="1"/>
  <c r="F86" i="1" s="1"/>
  <c r="CK87" i="1"/>
  <c r="D87" i="1" s="1"/>
  <c r="CM87" i="1"/>
  <c r="F87" i="1" s="1"/>
  <c r="CK88" i="1"/>
  <c r="D88" i="1" s="1"/>
  <c r="CM88" i="1"/>
  <c r="F88" i="1" s="1"/>
  <c r="CK89" i="1"/>
  <c r="CM89" i="1"/>
  <c r="CK90" i="1"/>
  <c r="D90" i="1" s="1"/>
  <c r="CM90" i="1"/>
  <c r="F90" i="1" s="1"/>
  <c r="CK91" i="1"/>
  <c r="D91" i="1" s="1"/>
  <c r="CM91" i="1"/>
  <c r="F91" i="1" s="1"/>
  <c r="CK92" i="1"/>
  <c r="D92" i="1" s="1"/>
  <c r="CM92" i="1"/>
  <c r="F92" i="1" s="1"/>
  <c r="CK93" i="1"/>
  <c r="D93" i="1" s="1"/>
  <c r="CM93" i="1"/>
  <c r="F93" i="1" s="1"/>
  <c r="CK99" i="1"/>
  <c r="CM99" i="1"/>
  <c r="CK100" i="1"/>
  <c r="D100" i="1" s="1"/>
  <c r="CM100" i="1"/>
  <c r="F100" i="1" s="1"/>
  <c r="CK101" i="1"/>
  <c r="D101" i="1" s="1"/>
  <c r="CM101" i="1"/>
  <c r="F101" i="1" s="1"/>
  <c r="CK102" i="1"/>
  <c r="D102" i="1" s="1"/>
  <c r="CM102" i="1"/>
  <c r="F102" i="1" s="1"/>
  <c r="CK103" i="1"/>
  <c r="D103" i="1" s="1"/>
  <c r="CM103" i="1"/>
  <c r="F103" i="1" s="1"/>
  <c r="CK104" i="1"/>
  <c r="CM104" i="1"/>
  <c r="CK105" i="1"/>
  <c r="D105" i="1" s="1"/>
  <c r="CM105" i="1"/>
  <c r="F105" i="1" s="1"/>
  <c r="CK106" i="1"/>
  <c r="D106" i="1" s="1"/>
  <c r="CM106" i="1"/>
  <c r="F106" i="1" s="1"/>
  <c r="CK107" i="1"/>
  <c r="D107" i="1" s="1"/>
  <c r="CM107" i="1"/>
  <c r="F107" i="1" s="1"/>
  <c r="CK108" i="1"/>
  <c r="D108" i="1" s="1"/>
  <c r="CM108" i="1"/>
  <c r="F108" i="1" s="1"/>
  <c r="CK109" i="1"/>
  <c r="CM109" i="1"/>
  <c r="CK110" i="1"/>
  <c r="D110" i="1" s="1"/>
  <c r="CM110" i="1"/>
  <c r="F110" i="1" s="1"/>
  <c r="CK111" i="1"/>
  <c r="D111" i="1" s="1"/>
  <c r="CM111" i="1"/>
  <c r="F111" i="1" s="1"/>
  <c r="CK112" i="1"/>
  <c r="D112" i="1" s="1"/>
  <c r="CM112" i="1"/>
  <c r="F112" i="1" s="1"/>
  <c r="CK113" i="1"/>
  <c r="D113" i="1" s="1"/>
  <c r="CM113" i="1"/>
  <c r="F113" i="1" s="1"/>
  <c r="CK119" i="1"/>
  <c r="CM119" i="1"/>
  <c r="CK120" i="1"/>
  <c r="D120" i="1" s="1"/>
  <c r="CM120" i="1"/>
  <c r="F120" i="1" s="1"/>
  <c r="CK121" i="1"/>
  <c r="D121" i="1" s="1"/>
  <c r="CM121" i="1"/>
  <c r="F121" i="1" s="1"/>
  <c r="CK122" i="1"/>
  <c r="D122" i="1" s="1"/>
  <c r="CM122" i="1"/>
  <c r="F122" i="1" s="1"/>
  <c r="CK123" i="1"/>
  <c r="D123" i="1" s="1"/>
  <c r="CM123" i="1"/>
  <c r="F123" i="1" s="1"/>
  <c r="CK124" i="1"/>
  <c r="CM124" i="1"/>
  <c r="CK26" i="1"/>
  <c r="D26" i="1" s="1"/>
  <c r="CM26" i="1"/>
  <c r="F26" i="1" s="1"/>
  <c r="CK27" i="1"/>
  <c r="D27" i="1" s="1"/>
  <c r="CM27" i="1"/>
  <c r="F27" i="1" s="1"/>
  <c r="CK28" i="1"/>
  <c r="D28" i="1" s="1"/>
  <c r="CM28" i="1"/>
  <c r="F28" i="1" s="1"/>
  <c r="CM25" i="1"/>
  <c r="F25" i="1" s="1"/>
  <c r="CK25" i="1"/>
  <c r="D25" i="1" s="1"/>
  <c r="B100" i="1"/>
  <c r="CW1" i="1"/>
  <c r="DA1" i="1"/>
  <c r="CZ1" i="1"/>
  <c r="DZ129" i="1"/>
  <c r="DY129" i="1"/>
  <c r="DX129" i="1"/>
  <c r="DW129" i="1"/>
  <c r="DV129" i="1"/>
  <c r="DU129" i="1"/>
  <c r="DS129" i="1"/>
  <c r="DR129" i="1"/>
  <c r="DQ129" i="1"/>
  <c r="DP129" i="1"/>
  <c r="DO129" i="1"/>
  <c r="DN129" i="1"/>
  <c r="BJ129" i="1"/>
  <c r="BI129" i="1"/>
  <c r="BH129" i="1"/>
  <c r="BG129" i="1"/>
  <c r="BF129" i="1"/>
  <c r="BA129" i="1"/>
  <c r="AW129" i="1"/>
  <c r="AT129" i="1"/>
  <c r="AS129" i="1"/>
  <c r="AR129" i="1"/>
  <c r="AQ129" i="1"/>
  <c r="AP129" i="1"/>
  <c r="AO129" i="1"/>
  <c r="AN129" i="1"/>
  <c r="AM129" i="1"/>
  <c r="AL129" i="1"/>
  <c r="AK129" i="1"/>
  <c r="AJ129" i="1"/>
  <c r="M129" i="1"/>
  <c r="Q129" i="1" s="1"/>
  <c r="L129" i="1"/>
  <c r="P129" i="1" s="1"/>
  <c r="K129" i="1"/>
  <c r="O129" i="1" s="1"/>
  <c r="J129" i="1"/>
  <c r="N129" i="1" s="1"/>
  <c r="H129" i="1"/>
  <c r="G129" i="1"/>
  <c r="E129" i="1"/>
  <c r="C129" i="1"/>
  <c r="B129" i="1"/>
  <c r="DZ128" i="1"/>
  <c r="DY128" i="1"/>
  <c r="DX128" i="1"/>
  <c r="DW128" i="1"/>
  <c r="DV128" i="1"/>
  <c r="DU128" i="1"/>
  <c r="DS128" i="1"/>
  <c r="DR128" i="1"/>
  <c r="DQ128" i="1"/>
  <c r="DP128" i="1"/>
  <c r="DO128" i="1"/>
  <c r="DN128" i="1"/>
  <c r="BJ128" i="1"/>
  <c r="BI128" i="1"/>
  <c r="BH128" i="1"/>
  <c r="BG128" i="1"/>
  <c r="BF128" i="1"/>
  <c r="BA128" i="1"/>
  <c r="AW128" i="1"/>
  <c r="AT128" i="1"/>
  <c r="AS128" i="1"/>
  <c r="AR128" i="1"/>
  <c r="AQ128" i="1"/>
  <c r="AP128" i="1"/>
  <c r="AO128" i="1"/>
  <c r="AN128" i="1"/>
  <c r="AM128" i="1"/>
  <c r="AL128" i="1"/>
  <c r="AK128" i="1"/>
  <c r="AJ128" i="1"/>
  <c r="M128" i="1"/>
  <c r="Q128" i="1" s="1"/>
  <c r="L128" i="1"/>
  <c r="P128" i="1" s="1"/>
  <c r="K128" i="1"/>
  <c r="O128" i="1" s="1"/>
  <c r="J128" i="1"/>
  <c r="N128" i="1" s="1"/>
  <c r="H128" i="1"/>
  <c r="G128" i="1"/>
  <c r="E128" i="1"/>
  <c r="C128" i="1"/>
  <c r="B128" i="1"/>
  <c r="DZ127" i="1"/>
  <c r="DY127" i="1"/>
  <c r="DX127" i="1"/>
  <c r="DW127" i="1"/>
  <c r="DV127" i="1"/>
  <c r="DU127" i="1"/>
  <c r="DS127" i="1"/>
  <c r="DR127" i="1"/>
  <c r="DQ127" i="1"/>
  <c r="DP127" i="1"/>
  <c r="DO127" i="1"/>
  <c r="DN127" i="1"/>
  <c r="BJ127" i="1"/>
  <c r="BI127" i="1"/>
  <c r="BH127" i="1"/>
  <c r="BG127" i="1"/>
  <c r="BF127" i="1"/>
  <c r="BA127" i="1"/>
  <c r="AW127" i="1"/>
  <c r="AT127" i="1"/>
  <c r="AS127" i="1"/>
  <c r="AR127" i="1"/>
  <c r="AQ127" i="1"/>
  <c r="AP127" i="1"/>
  <c r="AO127" i="1"/>
  <c r="AN127" i="1"/>
  <c r="AM127" i="1"/>
  <c r="AL127" i="1"/>
  <c r="AK127" i="1"/>
  <c r="AJ127" i="1"/>
  <c r="M127" i="1"/>
  <c r="Q127" i="1" s="1"/>
  <c r="L127" i="1"/>
  <c r="P127" i="1" s="1"/>
  <c r="K127" i="1"/>
  <c r="O127" i="1" s="1"/>
  <c r="J127" i="1"/>
  <c r="N127" i="1" s="1"/>
  <c r="H127" i="1"/>
  <c r="G127" i="1"/>
  <c r="E127" i="1"/>
  <c r="C127" i="1"/>
  <c r="B127" i="1"/>
  <c r="DZ126" i="1"/>
  <c r="DY126" i="1"/>
  <c r="DX126" i="1"/>
  <c r="DW126" i="1"/>
  <c r="DV126" i="1"/>
  <c r="DU126" i="1"/>
  <c r="DS126" i="1"/>
  <c r="DR126" i="1"/>
  <c r="DQ126" i="1"/>
  <c r="DP126" i="1"/>
  <c r="DO126" i="1"/>
  <c r="DN126" i="1"/>
  <c r="DM126" i="1"/>
  <c r="CX126" i="1"/>
  <c r="BJ126" i="1"/>
  <c r="BI126" i="1"/>
  <c r="BH126" i="1"/>
  <c r="BG126" i="1"/>
  <c r="BF126" i="1"/>
  <c r="BA126" i="1"/>
  <c r="AW126" i="1"/>
  <c r="AT126" i="1"/>
  <c r="AS126" i="1"/>
  <c r="AR126" i="1"/>
  <c r="AQ126" i="1"/>
  <c r="AP126" i="1"/>
  <c r="AO126" i="1"/>
  <c r="AN126" i="1"/>
  <c r="AM126" i="1"/>
  <c r="AL126" i="1"/>
  <c r="AK126" i="1"/>
  <c r="AJ126" i="1"/>
  <c r="R126" i="1"/>
  <c r="BE126" i="1" s="1"/>
  <c r="M126" i="1"/>
  <c r="Q126" i="1" s="1"/>
  <c r="L126" i="1"/>
  <c r="P126" i="1" s="1"/>
  <c r="K126" i="1"/>
  <c r="O126" i="1" s="1"/>
  <c r="J126" i="1"/>
  <c r="N126" i="1" s="1"/>
  <c r="H126" i="1"/>
  <c r="G126" i="1"/>
  <c r="E126" i="1"/>
  <c r="C126" i="1"/>
  <c r="R125" i="1"/>
  <c r="R124" i="1"/>
  <c r="DZ123" i="1"/>
  <c r="DY123" i="1"/>
  <c r="DX123" i="1"/>
  <c r="DW123" i="1"/>
  <c r="DV123" i="1"/>
  <c r="DU123" i="1"/>
  <c r="DS123" i="1"/>
  <c r="DR123" i="1"/>
  <c r="DQ123" i="1"/>
  <c r="DP123" i="1"/>
  <c r="DO123" i="1"/>
  <c r="DN123" i="1"/>
  <c r="BJ123" i="1"/>
  <c r="BI123" i="1"/>
  <c r="BH123" i="1"/>
  <c r="BG123" i="1"/>
  <c r="BA123" i="1"/>
  <c r="AW123" i="1"/>
  <c r="AT123" i="1"/>
  <c r="AS123" i="1"/>
  <c r="AR123" i="1"/>
  <c r="AQ123" i="1"/>
  <c r="AP123" i="1"/>
  <c r="AO123" i="1"/>
  <c r="AN123" i="1"/>
  <c r="AM123" i="1"/>
  <c r="AL123" i="1"/>
  <c r="AK123" i="1"/>
  <c r="AJ123" i="1"/>
  <c r="M123" i="1"/>
  <c r="Q123" i="1" s="1"/>
  <c r="L123" i="1"/>
  <c r="P123" i="1" s="1"/>
  <c r="K123" i="1"/>
  <c r="O123" i="1" s="1"/>
  <c r="J123" i="1"/>
  <c r="N123" i="1" s="1"/>
  <c r="H123" i="1"/>
  <c r="G123" i="1"/>
  <c r="E123" i="1"/>
  <c r="C123" i="1"/>
  <c r="DZ122" i="1"/>
  <c r="DY122" i="1"/>
  <c r="DX122" i="1"/>
  <c r="DW122" i="1"/>
  <c r="DV122" i="1"/>
  <c r="DU122" i="1"/>
  <c r="DS122" i="1"/>
  <c r="DR122" i="1"/>
  <c r="DQ122" i="1"/>
  <c r="DP122" i="1"/>
  <c r="DO122" i="1"/>
  <c r="DN122" i="1"/>
  <c r="BJ122" i="1"/>
  <c r="BI122" i="1"/>
  <c r="BH122" i="1"/>
  <c r="BA122" i="1"/>
  <c r="AW122" i="1"/>
  <c r="AT122" i="1"/>
  <c r="AS122" i="1"/>
  <c r="AR122" i="1"/>
  <c r="AQ122" i="1"/>
  <c r="AP122" i="1"/>
  <c r="AO122" i="1"/>
  <c r="AN122" i="1"/>
  <c r="AM122" i="1"/>
  <c r="AL122" i="1"/>
  <c r="AK122" i="1"/>
  <c r="AJ122" i="1"/>
  <c r="M122" i="1"/>
  <c r="Q122" i="1" s="1"/>
  <c r="L122" i="1"/>
  <c r="P122" i="1" s="1"/>
  <c r="K122" i="1"/>
  <c r="O122" i="1" s="1"/>
  <c r="J122" i="1"/>
  <c r="N122" i="1" s="1"/>
  <c r="H122" i="1"/>
  <c r="G122" i="1"/>
  <c r="E122" i="1"/>
  <c r="C122" i="1"/>
  <c r="DZ121" i="1"/>
  <c r="DY121" i="1"/>
  <c r="DX121" i="1"/>
  <c r="DW121" i="1"/>
  <c r="DV121" i="1"/>
  <c r="DU121" i="1"/>
  <c r="DS121" i="1"/>
  <c r="DR121" i="1"/>
  <c r="DQ121" i="1"/>
  <c r="DP121" i="1"/>
  <c r="DO121" i="1"/>
  <c r="DN121" i="1"/>
  <c r="R121" i="1"/>
  <c r="BE121" i="1" s="1"/>
  <c r="BG121" i="1"/>
  <c r="BJ121" i="1"/>
  <c r="BI121" i="1"/>
  <c r="BH121" i="1"/>
  <c r="BA121" i="1"/>
  <c r="AW121" i="1"/>
  <c r="AT121" i="1"/>
  <c r="AS121" i="1"/>
  <c r="AR121" i="1"/>
  <c r="AQ121" i="1"/>
  <c r="AP121" i="1"/>
  <c r="AO121" i="1"/>
  <c r="AN121" i="1"/>
  <c r="AM121" i="1"/>
  <c r="AL121" i="1"/>
  <c r="AK121" i="1"/>
  <c r="AJ121" i="1"/>
  <c r="M121" i="1"/>
  <c r="Q121" i="1" s="1"/>
  <c r="L121" i="1"/>
  <c r="P121" i="1" s="1"/>
  <c r="K121" i="1"/>
  <c r="O121" i="1" s="1"/>
  <c r="J121" i="1"/>
  <c r="N121" i="1" s="1"/>
  <c r="H121" i="1"/>
  <c r="G121" i="1"/>
  <c r="E121" i="1"/>
  <c r="C121" i="1"/>
  <c r="DZ120" i="1"/>
  <c r="DY120" i="1"/>
  <c r="DX120" i="1"/>
  <c r="DW120" i="1"/>
  <c r="DV120" i="1"/>
  <c r="DU120" i="1"/>
  <c r="DS120" i="1"/>
  <c r="DR120" i="1"/>
  <c r="DQ120" i="1"/>
  <c r="DP120" i="1"/>
  <c r="DO120" i="1"/>
  <c r="DN120" i="1"/>
  <c r="DM120" i="1"/>
  <c r="CX120" i="1"/>
  <c r="BJ120" i="1"/>
  <c r="BI120" i="1"/>
  <c r="BH120" i="1"/>
  <c r="BA120" i="1"/>
  <c r="AW120" i="1"/>
  <c r="AT120" i="1"/>
  <c r="AS120" i="1"/>
  <c r="AR120" i="1"/>
  <c r="AQ120" i="1"/>
  <c r="AP120" i="1"/>
  <c r="AO120" i="1"/>
  <c r="AN120" i="1"/>
  <c r="AM120" i="1"/>
  <c r="AL120" i="1"/>
  <c r="AK120" i="1"/>
  <c r="AJ120" i="1"/>
  <c r="R120" i="1"/>
  <c r="M120" i="1"/>
  <c r="Q120" i="1" s="1"/>
  <c r="L120" i="1"/>
  <c r="P120" i="1" s="1"/>
  <c r="K120" i="1"/>
  <c r="O120" i="1" s="1"/>
  <c r="J120" i="1"/>
  <c r="N120" i="1" s="1"/>
  <c r="H120" i="1"/>
  <c r="G120" i="1"/>
  <c r="E120" i="1"/>
  <c r="C120" i="1"/>
  <c r="R119" i="1"/>
  <c r="DZ113" i="1"/>
  <c r="DY113" i="1"/>
  <c r="DX113" i="1"/>
  <c r="DW113" i="1"/>
  <c r="DV113" i="1"/>
  <c r="DU113" i="1"/>
  <c r="DS113" i="1"/>
  <c r="DR113" i="1"/>
  <c r="DQ113" i="1"/>
  <c r="DP113" i="1"/>
  <c r="DO113" i="1"/>
  <c r="DN113" i="1"/>
  <c r="BJ113" i="1"/>
  <c r="BI113" i="1"/>
  <c r="BH113" i="1"/>
  <c r="BG113" i="1"/>
  <c r="BA113" i="1"/>
  <c r="AW113" i="1"/>
  <c r="AT113" i="1"/>
  <c r="AS113" i="1"/>
  <c r="AR113" i="1"/>
  <c r="AQ113" i="1"/>
  <c r="AP113" i="1"/>
  <c r="AO113" i="1"/>
  <c r="AN113" i="1"/>
  <c r="AM113" i="1"/>
  <c r="AL113" i="1"/>
  <c r="AK113" i="1"/>
  <c r="AJ113" i="1"/>
  <c r="M113" i="1"/>
  <c r="Q113" i="1" s="1"/>
  <c r="L113" i="1"/>
  <c r="P113" i="1" s="1"/>
  <c r="K113" i="1"/>
  <c r="O113" i="1" s="1"/>
  <c r="J113" i="1"/>
  <c r="N113" i="1" s="1"/>
  <c r="H113" i="1"/>
  <c r="G113" i="1"/>
  <c r="E113" i="1"/>
  <c r="C113" i="1"/>
  <c r="DZ112" i="1"/>
  <c r="DY112" i="1"/>
  <c r="DX112" i="1"/>
  <c r="DW112" i="1"/>
  <c r="DV112" i="1"/>
  <c r="DU112" i="1"/>
  <c r="DS112" i="1"/>
  <c r="DR112" i="1"/>
  <c r="DQ112" i="1"/>
  <c r="DP112" i="1"/>
  <c r="DO112" i="1"/>
  <c r="DN112" i="1"/>
  <c r="BJ112" i="1"/>
  <c r="BI112" i="1"/>
  <c r="BH112" i="1"/>
  <c r="BA112" i="1"/>
  <c r="AW112" i="1"/>
  <c r="AT112" i="1"/>
  <c r="AS112" i="1"/>
  <c r="AR112" i="1"/>
  <c r="AQ112" i="1"/>
  <c r="AP112" i="1"/>
  <c r="AO112" i="1"/>
  <c r="AN112" i="1"/>
  <c r="AM112" i="1"/>
  <c r="AL112" i="1"/>
  <c r="AK112" i="1"/>
  <c r="AJ112" i="1"/>
  <c r="M112" i="1"/>
  <c r="Q112" i="1" s="1"/>
  <c r="L112" i="1"/>
  <c r="P112" i="1" s="1"/>
  <c r="K112" i="1"/>
  <c r="O112" i="1" s="1"/>
  <c r="J112" i="1"/>
  <c r="N112" i="1" s="1"/>
  <c r="H112" i="1"/>
  <c r="G112" i="1"/>
  <c r="E112" i="1"/>
  <c r="C112" i="1"/>
  <c r="DZ111" i="1"/>
  <c r="DY111" i="1"/>
  <c r="DX111" i="1"/>
  <c r="DW111" i="1"/>
  <c r="DV111" i="1"/>
  <c r="DU111" i="1"/>
  <c r="DS111" i="1"/>
  <c r="DR111" i="1"/>
  <c r="DQ111" i="1"/>
  <c r="DP111" i="1"/>
  <c r="DO111" i="1"/>
  <c r="DN111" i="1"/>
  <c r="BJ111" i="1"/>
  <c r="BI111" i="1"/>
  <c r="BH111" i="1"/>
  <c r="BG111" i="1"/>
  <c r="BF111" i="1"/>
  <c r="BA111" i="1"/>
  <c r="AW111" i="1"/>
  <c r="AT111" i="1"/>
  <c r="AS111" i="1"/>
  <c r="AR111" i="1"/>
  <c r="AQ111" i="1"/>
  <c r="AP111" i="1"/>
  <c r="AO111" i="1"/>
  <c r="AN111" i="1"/>
  <c r="AM111" i="1"/>
  <c r="AL111" i="1"/>
  <c r="AK111" i="1"/>
  <c r="AJ111" i="1"/>
  <c r="M111" i="1"/>
  <c r="Q111" i="1" s="1"/>
  <c r="L111" i="1"/>
  <c r="P111" i="1" s="1"/>
  <c r="K111" i="1"/>
  <c r="O111" i="1" s="1"/>
  <c r="J111" i="1"/>
  <c r="N111" i="1" s="1"/>
  <c r="H111" i="1"/>
  <c r="G111" i="1"/>
  <c r="E111" i="1"/>
  <c r="C111" i="1"/>
  <c r="DZ110" i="1"/>
  <c r="DY110" i="1"/>
  <c r="DX110" i="1"/>
  <c r="DW110" i="1"/>
  <c r="DV110" i="1"/>
  <c r="DU110" i="1"/>
  <c r="DS110" i="1"/>
  <c r="DR110" i="1"/>
  <c r="DQ110" i="1"/>
  <c r="DP110" i="1"/>
  <c r="DO110" i="1"/>
  <c r="DN110" i="1"/>
  <c r="DM110" i="1"/>
  <c r="CX110" i="1"/>
  <c r="BJ110" i="1"/>
  <c r="BI110" i="1"/>
  <c r="BH110" i="1"/>
  <c r="BA110" i="1"/>
  <c r="AW110" i="1"/>
  <c r="AT110" i="1"/>
  <c r="AS110" i="1"/>
  <c r="AR110" i="1"/>
  <c r="AQ110" i="1"/>
  <c r="AP110" i="1"/>
  <c r="AO110" i="1"/>
  <c r="AN110" i="1"/>
  <c r="AM110" i="1"/>
  <c r="AL110" i="1"/>
  <c r="AK110" i="1"/>
  <c r="AJ110" i="1"/>
  <c r="BF110" i="1"/>
  <c r="M110" i="1"/>
  <c r="Q110" i="1" s="1"/>
  <c r="L110" i="1"/>
  <c r="P110" i="1" s="1"/>
  <c r="K110" i="1"/>
  <c r="O110" i="1" s="1"/>
  <c r="CH110" i="1" s="1"/>
  <c r="J110" i="1"/>
  <c r="N110" i="1" s="1"/>
  <c r="H110" i="1"/>
  <c r="G110" i="1"/>
  <c r="E110" i="1"/>
  <c r="C110" i="1"/>
  <c r="B110" i="1"/>
  <c r="R111" i="1"/>
  <c r="BE111" i="1" s="1"/>
  <c r="B105" i="1"/>
  <c r="B90" i="1"/>
  <c r="B85" i="1"/>
  <c r="B80" i="1"/>
  <c r="B75" i="1"/>
  <c r="R92" i="1"/>
  <c r="BE92" i="1" s="1"/>
  <c r="R66" i="1"/>
  <c r="BE66" i="1" s="1"/>
  <c r="BF66" i="1"/>
  <c r="R61" i="1"/>
  <c r="BE61" i="1" s="1"/>
  <c r="R62" i="1"/>
  <c r="BE62" i="1" s="1"/>
  <c r="DZ108" i="1"/>
  <c r="DY108" i="1"/>
  <c r="DX108" i="1"/>
  <c r="DW108" i="1"/>
  <c r="DV108" i="1"/>
  <c r="DU108" i="1"/>
  <c r="DS108" i="1"/>
  <c r="DR108" i="1"/>
  <c r="DQ108" i="1"/>
  <c r="DP108" i="1"/>
  <c r="DO108" i="1"/>
  <c r="DN108" i="1"/>
  <c r="BJ108" i="1"/>
  <c r="BI108" i="1"/>
  <c r="BH108" i="1"/>
  <c r="BA108" i="1"/>
  <c r="AW108" i="1"/>
  <c r="AT108" i="1"/>
  <c r="AS108" i="1"/>
  <c r="AR108" i="1"/>
  <c r="AQ108" i="1"/>
  <c r="AP108" i="1"/>
  <c r="AO108" i="1"/>
  <c r="AN108" i="1"/>
  <c r="AM108" i="1"/>
  <c r="AL108" i="1"/>
  <c r="AK108" i="1"/>
  <c r="AJ108" i="1"/>
  <c r="M108" i="1"/>
  <c r="Q108" i="1" s="1"/>
  <c r="L108" i="1"/>
  <c r="P108" i="1" s="1"/>
  <c r="K108" i="1"/>
  <c r="O108" i="1" s="1"/>
  <c r="J108" i="1"/>
  <c r="N108" i="1" s="1"/>
  <c r="H108" i="1"/>
  <c r="G108" i="1"/>
  <c r="E108" i="1"/>
  <c r="C108" i="1"/>
  <c r="B108" i="1"/>
  <c r="DZ107" i="1"/>
  <c r="DY107" i="1"/>
  <c r="DX107" i="1"/>
  <c r="DW107" i="1"/>
  <c r="DV107" i="1"/>
  <c r="DU107" i="1"/>
  <c r="DS107" i="1"/>
  <c r="DR107" i="1"/>
  <c r="DQ107" i="1"/>
  <c r="DP107" i="1"/>
  <c r="DO107" i="1"/>
  <c r="DN107" i="1"/>
  <c r="BJ107" i="1"/>
  <c r="BI107" i="1"/>
  <c r="BH107" i="1"/>
  <c r="BA107" i="1"/>
  <c r="AW107" i="1"/>
  <c r="AT107" i="1"/>
  <c r="AS107" i="1"/>
  <c r="AR107" i="1"/>
  <c r="AQ107" i="1"/>
  <c r="AP107" i="1"/>
  <c r="AO107" i="1"/>
  <c r="AN107" i="1"/>
  <c r="AM107" i="1"/>
  <c r="AL107" i="1"/>
  <c r="AK107" i="1"/>
  <c r="AJ107" i="1"/>
  <c r="M107" i="1"/>
  <c r="Q107" i="1" s="1"/>
  <c r="L107" i="1"/>
  <c r="P107" i="1" s="1"/>
  <c r="K107" i="1"/>
  <c r="O107" i="1" s="1"/>
  <c r="J107" i="1"/>
  <c r="N107" i="1" s="1"/>
  <c r="H107" i="1"/>
  <c r="G107" i="1"/>
  <c r="E107" i="1"/>
  <c r="C107" i="1"/>
  <c r="B107" i="1"/>
  <c r="DZ106" i="1"/>
  <c r="DY106" i="1"/>
  <c r="DX106" i="1"/>
  <c r="DW106" i="1"/>
  <c r="DV106" i="1"/>
  <c r="DU106" i="1"/>
  <c r="DS106" i="1"/>
  <c r="DR106" i="1"/>
  <c r="DQ106" i="1"/>
  <c r="DP106" i="1"/>
  <c r="DO106" i="1"/>
  <c r="DN106" i="1"/>
  <c r="BJ106" i="1"/>
  <c r="BI106" i="1"/>
  <c r="BH106" i="1"/>
  <c r="BA106" i="1"/>
  <c r="AW106" i="1"/>
  <c r="AT106" i="1"/>
  <c r="AS106" i="1"/>
  <c r="AR106" i="1"/>
  <c r="AQ106" i="1"/>
  <c r="AP106" i="1"/>
  <c r="AO106" i="1"/>
  <c r="AN106" i="1"/>
  <c r="AM106" i="1"/>
  <c r="AL106" i="1"/>
  <c r="AK106" i="1"/>
  <c r="AJ106" i="1"/>
  <c r="M106" i="1"/>
  <c r="Q106" i="1" s="1"/>
  <c r="L106" i="1"/>
  <c r="P106" i="1" s="1"/>
  <c r="K106" i="1"/>
  <c r="O106" i="1" s="1"/>
  <c r="J106" i="1"/>
  <c r="N106" i="1" s="1"/>
  <c r="H106" i="1"/>
  <c r="G106" i="1"/>
  <c r="E106" i="1"/>
  <c r="C106" i="1"/>
  <c r="B106" i="1"/>
  <c r="DZ105" i="1"/>
  <c r="DY105" i="1"/>
  <c r="DX105" i="1"/>
  <c r="DW105" i="1"/>
  <c r="DV105" i="1"/>
  <c r="DU105" i="1"/>
  <c r="DS105" i="1"/>
  <c r="DR105" i="1"/>
  <c r="DQ105" i="1"/>
  <c r="DP105" i="1"/>
  <c r="DO105" i="1"/>
  <c r="DN105" i="1"/>
  <c r="DM105" i="1"/>
  <c r="CX105" i="1"/>
  <c r="BJ105" i="1"/>
  <c r="BI105" i="1"/>
  <c r="BH105" i="1"/>
  <c r="BA105" i="1"/>
  <c r="AW105" i="1"/>
  <c r="AT105" i="1"/>
  <c r="AS105" i="1"/>
  <c r="AR105" i="1"/>
  <c r="AQ105" i="1"/>
  <c r="AP105" i="1"/>
  <c r="AO105" i="1"/>
  <c r="AN105" i="1"/>
  <c r="AM105" i="1"/>
  <c r="AL105" i="1"/>
  <c r="AK105" i="1"/>
  <c r="AJ105" i="1"/>
  <c r="R105" i="1"/>
  <c r="BE105" i="1" s="1"/>
  <c r="M105" i="1"/>
  <c r="Q105" i="1" s="1"/>
  <c r="L105" i="1"/>
  <c r="P105" i="1" s="1"/>
  <c r="K105" i="1"/>
  <c r="O105" i="1" s="1"/>
  <c r="J105" i="1"/>
  <c r="N105" i="1" s="1"/>
  <c r="H105" i="1"/>
  <c r="G105" i="1"/>
  <c r="E105" i="1"/>
  <c r="C105" i="1"/>
  <c r="DZ103" i="1"/>
  <c r="DY103" i="1"/>
  <c r="DX103" i="1"/>
  <c r="DW103" i="1"/>
  <c r="DV103" i="1"/>
  <c r="DU103" i="1"/>
  <c r="DS103" i="1"/>
  <c r="DR103" i="1"/>
  <c r="DQ103" i="1"/>
  <c r="DP103" i="1"/>
  <c r="DO103" i="1"/>
  <c r="DN103" i="1"/>
  <c r="BJ103" i="1"/>
  <c r="BI103" i="1"/>
  <c r="BH103" i="1"/>
  <c r="BG103" i="1"/>
  <c r="BA103" i="1"/>
  <c r="AW103" i="1"/>
  <c r="AT103" i="1"/>
  <c r="AS103" i="1"/>
  <c r="AR103" i="1"/>
  <c r="AQ103" i="1"/>
  <c r="AP103" i="1"/>
  <c r="AO103" i="1"/>
  <c r="AN103" i="1"/>
  <c r="AM103" i="1"/>
  <c r="AL103" i="1"/>
  <c r="AK103" i="1"/>
  <c r="AJ103" i="1"/>
  <c r="M103" i="1"/>
  <c r="Q103" i="1" s="1"/>
  <c r="L103" i="1"/>
  <c r="P103" i="1" s="1"/>
  <c r="K103" i="1"/>
  <c r="O103" i="1" s="1"/>
  <c r="J103" i="1"/>
  <c r="N103" i="1" s="1"/>
  <c r="H103" i="1"/>
  <c r="G103" i="1"/>
  <c r="E103" i="1"/>
  <c r="C103" i="1"/>
  <c r="B103" i="1"/>
  <c r="DZ102" i="1"/>
  <c r="DY102" i="1"/>
  <c r="DX102" i="1"/>
  <c r="DW102" i="1"/>
  <c r="DV102" i="1"/>
  <c r="DU102" i="1"/>
  <c r="DS102" i="1"/>
  <c r="DR102" i="1"/>
  <c r="DQ102" i="1"/>
  <c r="DP102" i="1"/>
  <c r="DO102" i="1"/>
  <c r="DN102" i="1"/>
  <c r="BJ102" i="1"/>
  <c r="BI102" i="1"/>
  <c r="BH102" i="1"/>
  <c r="BG102" i="1"/>
  <c r="BF102" i="1"/>
  <c r="BA102" i="1"/>
  <c r="AW102" i="1"/>
  <c r="AT102" i="1"/>
  <c r="AS102" i="1"/>
  <c r="AR102" i="1"/>
  <c r="AQ102" i="1"/>
  <c r="AP102" i="1"/>
  <c r="AO102" i="1"/>
  <c r="AN102" i="1"/>
  <c r="AM102" i="1"/>
  <c r="AL102" i="1"/>
  <c r="AK102" i="1"/>
  <c r="AJ102" i="1"/>
  <c r="M102" i="1"/>
  <c r="Q102" i="1" s="1"/>
  <c r="L102" i="1"/>
  <c r="P102" i="1" s="1"/>
  <c r="K102" i="1"/>
  <c r="O102" i="1" s="1"/>
  <c r="J102" i="1"/>
  <c r="N102" i="1" s="1"/>
  <c r="H102" i="1"/>
  <c r="G102" i="1"/>
  <c r="E102" i="1"/>
  <c r="C102" i="1"/>
  <c r="B102" i="1"/>
  <c r="DZ101" i="1"/>
  <c r="DY101" i="1"/>
  <c r="DX101" i="1"/>
  <c r="DW101" i="1"/>
  <c r="DV101" i="1"/>
  <c r="DU101" i="1"/>
  <c r="DS101" i="1"/>
  <c r="DR101" i="1"/>
  <c r="DQ101" i="1"/>
  <c r="DP101" i="1"/>
  <c r="DO101" i="1"/>
  <c r="DN101" i="1"/>
  <c r="BJ101" i="1"/>
  <c r="BI101" i="1"/>
  <c r="BH101" i="1"/>
  <c r="BG101" i="1"/>
  <c r="BA101" i="1"/>
  <c r="AW101" i="1"/>
  <c r="AT101" i="1"/>
  <c r="AS101" i="1"/>
  <c r="AR101" i="1"/>
  <c r="AQ101" i="1"/>
  <c r="AP101" i="1"/>
  <c r="AO101" i="1"/>
  <c r="AN101" i="1"/>
  <c r="AM101" i="1"/>
  <c r="AL101" i="1"/>
  <c r="AK101" i="1"/>
  <c r="AJ101" i="1"/>
  <c r="M101" i="1"/>
  <c r="Q101" i="1" s="1"/>
  <c r="L101" i="1"/>
  <c r="P101" i="1" s="1"/>
  <c r="K101" i="1"/>
  <c r="O101" i="1" s="1"/>
  <c r="J101" i="1"/>
  <c r="N101" i="1" s="1"/>
  <c r="H101" i="1"/>
  <c r="G101" i="1"/>
  <c r="E101" i="1"/>
  <c r="C101" i="1"/>
  <c r="B101" i="1"/>
  <c r="DZ100" i="1"/>
  <c r="DY100" i="1"/>
  <c r="DX100" i="1"/>
  <c r="DW100" i="1"/>
  <c r="DV100" i="1"/>
  <c r="DU100" i="1"/>
  <c r="DS100" i="1"/>
  <c r="DR100" i="1"/>
  <c r="DQ100" i="1"/>
  <c r="DP100" i="1"/>
  <c r="DO100" i="1"/>
  <c r="DN100" i="1"/>
  <c r="DM100" i="1"/>
  <c r="CX100" i="1"/>
  <c r="BJ100" i="1"/>
  <c r="BI100" i="1"/>
  <c r="BH100" i="1"/>
  <c r="BA100" i="1"/>
  <c r="AW100" i="1"/>
  <c r="AT100" i="1"/>
  <c r="AS100" i="1"/>
  <c r="AR100" i="1"/>
  <c r="AQ100" i="1"/>
  <c r="AP100" i="1"/>
  <c r="AO100" i="1"/>
  <c r="AN100" i="1"/>
  <c r="AM100" i="1"/>
  <c r="AL100" i="1"/>
  <c r="AK100" i="1"/>
  <c r="AJ100" i="1"/>
  <c r="R100" i="1"/>
  <c r="BE100" i="1" s="1"/>
  <c r="M100" i="1"/>
  <c r="Q100" i="1" s="1"/>
  <c r="L100" i="1"/>
  <c r="P100" i="1" s="1"/>
  <c r="K100" i="1"/>
  <c r="O100" i="1" s="1"/>
  <c r="J100" i="1"/>
  <c r="N100" i="1" s="1"/>
  <c r="H100" i="1"/>
  <c r="G100" i="1"/>
  <c r="E100" i="1"/>
  <c r="C100" i="1"/>
  <c r="R99" i="1"/>
  <c r="DZ93" i="1"/>
  <c r="DY93" i="1"/>
  <c r="DX93" i="1"/>
  <c r="DW93" i="1"/>
  <c r="DV93" i="1"/>
  <c r="DU93" i="1"/>
  <c r="DS93" i="1"/>
  <c r="DR93" i="1"/>
  <c r="DQ93" i="1"/>
  <c r="DP93" i="1"/>
  <c r="DO93" i="1"/>
  <c r="DN93" i="1"/>
  <c r="BJ93" i="1"/>
  <c r="BI93" i="1"/>
  <c r="BH93" i="1"/>
  <c r="BA93" i="1"/>
  <c r="AW93" i="1"/>
  <c r="AT93" i="1"/>
  <c r="AS93" i="1"/>
  <c r="AR93" i="1"/>
  <c r="AQ93" i="1"/>
  <c r="AP93" i="1"/>
  <c r="AO93" i="1"/>
  <c r="AN93" i="1"/>
  <c r="AM93" i="1"/>
  <c r="AL93" i="1"/>
  <c r="AK93" i="1"/>
  <c r="AJ93" i="1"/>
  <c r="M93" i="1"/>
  <c r="Q93" i="1" s="1"/>
  <c r="L93" i="1"/>
  <c r="P93" i="1" s="1"/>
  <c r="K93" i="1"/>
  <c r="O93" i="1" s="1"/>
  <c r="J93" i="1"/>
  <c r="N93" i="1" s="1"/>
  <c r="H93" i="1"/>
  <c r="G93" i="1"/>
  <c r="E93" i="1"/>
  <c r="C93" i="1"/>
  <c r="B93" i="1"/>
  <c r="DZ92" i="1"/>
  <c r="DY92" i="1"/>
  <c r="DX92" i="1"/>
  <c r="DW92" i="1"/>
  <c r="DV92" i="1"/>
  <c r="DU92" i="1"/>
  <c r="DS92" i="1"/>
  <c r="DR92" i="1"/>
  <c r="DQ92" i="1"/>
  <c r="DP92" i="1"/>
  <c r="DO92" i="1"/>
  <c r="DN92" i="1"/>
  <c r="BJ92" i="1"/>
  <c r="BI92" i="1"/>
  <c r="BH92" i="1"/>
  <c r="BG92" i="1"/>
  <c r="BA92" i="1"/>
  <c r="AW92" i="1"/>
  <c r="AT92" i="1"/>
  <c r="AS92" i="1"/>
  <c r="AR92" i="1"/>
  <c r="AQ92" i="1"/>
  <c r="AP92" i="1"/>
  <c r="AO92" i="1"/>
  <c r="AN92" i="1"/>
  <c r="AM92" i="1"/>
  <c r="AL92" i="1"/>
  <c r="AK92" i="1"/>
  <c r="AJ92" i="1"/>
  <c r="M92" i="1"/>
  <c r="Q92" i="1" s="1"/>
  <c r="L92" i="1"/>
  <c r="P92" i="1" s="1"/>
  <c r="K92" i="1"/>
  <c r="O92" i="1" s="1"/>
  <c r="CH92" i="1" s="1"/>
  <c r="J92" i="1"/>
  <c r="N92" i="1" s="1"/>
  <c r="H92" i="1"/>
  <c r="G92" i="1"/>
  <c r="E92" i="1"/>
  <c r="C92" i="1"/>
  <c r="DZ91" i="1"/>
  <c r="DY91" i="1"/>
  <c r="DX91" i="1"/>
  <c r="DW91" i="1"/>
  <c r="DV91" i="1"/>
  <c r="DU91" i="1"/>
  <c r="DS91" i="1"/>
  <c r="DR91" i="1"/>
  <c r="DQ91" i="1"/>
  <c r="DP91" i="1"/>
  <c r="DO91" i="1"/>
  <c r="DN91" i="1"/>
  <c r="BJ91" i="1"/>
  <c r="BI91" i="1"/>
  <c r="BH91" i="1"/>
  <c r="BA91" i="1"/>
  <c r="AW91" i="1"/>
  <c r="AT91" i="1"/>
  <c r="AS91" i="1"/>
  <c r="AR91" i="1"/>
  <c r="AQ91" i="1"/>
  <c r="AP91" i="1"/>
  <c r="AO91" i="1"/>
  <c r="AN91" i="1"/>
  <c r="AM91" i="1"/>
  <c r="AL91" i="1"/>
  <c r="AK91" i="1"/>
  <c r="AJ91" i="1"/>
  <c r="M91" i="1"/>
  <c r="Q91" i="1" s="1"/>
  <c r="L91" i="1"/>
  <c r="P91" i="1" s="1"/>
  <c r="K91" i="1"/>
  <c r="O91" i="1" s="1"/>
  <c r="J91" i="1"/>
  <c r="N91" i="1" s="1"/>
  <c r="H91" i="1"/>
  <c r="G91" i="1"/>
  <c r="E91" i="1"/>
  <c r="C91" i="1"/>
  <c r="B91" i="1"/>
  <c r="DZ90" i="1"/>
  <c r="DY90" i="1"/>
  <c r="DX90" i="1"/>
  <c r="DW90" i="1"/>
  <c r="DV90" i="1"/>
  <c r="DU90" i="1"/>
  <c r="DS90" i="1"/>
  <c r="DR90" i="1"/>
  <c r="DQ90" i="1"/>
  <c r="DP90" i="1"/>
  <c r="DO90" i="1"/>
  <c r="DN90" i="1"/>
  <c r="DM90" i="1"/>
  <c r="CX90" i="1"/>
  <c r="BJ90" i="1"/>
  <c r="BI90" i="1"/>
  <c r="BH90" i="1"/>
  <c r="BA90" i="1"/>
  <c r="AW90" i="1"/>
  <c r="AT90" i="1"/>
  <c r="AS90" i="1"/>
  <c r="AR90" i="1"/>
  <c r="AQ90" i="1"/>
  <c r="AP90" i="1"/>
  <c r="AO90" i="1"/>
  <c r="AN90" i="1"/>
  <c r="AM90" i="1"/>
  <c r="AL90" i="1"/>
  <c r="AK90" i="1"/>
  <c r="AJ90" i="1"/>
  <c r="R90" i="1"/>
  <c r="BF90" i="1" s="1"/>
  <c r="M90" i="1"/>
  <c r="Q90" i="1" s="1"/>
  <c r="L90" i="1"/>
  <c r="P90" i="1" s="1"/>
  <c r="K90" i="1"/>
  <c r="O90" i="1" s="1"/>
  <c r="J90" i="1"/>
  <c r="N90" i="1" s="1"/>
  <c r="H90" i="1"/>
  <c r="G90" i="1"/>
  <c r="E90" i="1"/>
  <c r="C90" i="1"/>
  <c r="R106" i="1"/>
  <c r="BG106" i="1" s="1"/>
  <c r="R91" i="1"/>
  <c r="BE91" i="1" s="1"/>
  <c r="BF91" i="1"/>
  <c r="DZ88" i="1"/>
  <c r="DY88" i="1"/>
  <c r="DX88" i="1"/>
  <c r="DW88" i="1"/>
  <c r="DV88" i="1"/>
  <c r="DU88" i="1"/>
  <c r="DS88" i="1"/>
  <c r="DR88" i="1"/>
  <c r="DQ88" i="1"/>
  <c r="DP88" i="1"/>
  <c r="DO88" i="1"/>
  <c r="DN88" i="1"/>
  <c r="BJ88" i="1"/>
  <c r="BI88" i="1"/>
  <c r="BH88" i="1"/>
  <c r="BG88" i="1"/>
  <c r="BF88" i="1"/>
  <c r="BA88" i="1"/>
  <c r="AW88" i="1"/>
  <c r="AT88" i="1"/>
  <c r="AS88" i="1"/>
  <c r="AR88" i="1"/>
  <c r="AQ88" i="1"/>
  <c r="AP88" i="1"/>
  <c r="AO88" i="1"/>
  <c r="AN88" i="1"/>
  <c r="AM88" i="1"/>
  <c r="AL88" i="1"/>
  <c r="AK88" i="1"/>
  <c r="AJ88" i="1"/>
  <c r="M88" i="1"/>
  <c r="Q88" i="1" s="1"/>
  <c r="L88" i="1"/>
  <c r="P88" i="1" s="1"/>
  <c r="K88" i="1"/>
  <c r="O88" i="1" s="1"/>
  <c r="J88" i="1"/>
  <c r="N88" i="1" s="1"/>
  <c r="H88" i="1"/>
  <c r="G88" i="1"/>
  <c r="E88" i="1"/>
  <c r="C88" i="1"/>
  <c r="B88" i="1"/>
  <c r="DZ87" i="1"/>
  <c r="DY87" i="1"/>
  <c r="DX87" i="1"/>
  <c r="DW87" i="1"/>
  <c r="DV87" i="1"/>
  <c r="DU87" i="1"/>
  <c r="DS87" i="1"/>
  <c r="DR87" i="1"/>
  <c r="DQ87" i="1"/>
  <c r="DP87" i="1"/>
  <c r="DO87" i="1"/>
  <c r="DN87" i="1"/>
  <c r="BJ87" i="1"/>
  <c r="BI87" i="1"/>
  <c r="BH87" i="1"/>
  <c r="BA87" i="1"/>
  <c r="AW87" i="1"/>
  <c r="AT87" i="1"/>
  <c r="AS87" i="1"/>
  <c r="AR87" i="1"/>
  <c r="AQ87" i="1"/>
  <c r="AP87" i="1"/>
  <c r="AO87" i="1"/>
  <c r="AN87" i="1"/>
  <c r="AM87" i="1"/>
  <c r="AL87" i="1"/>
  <c r="AK87" i="1"/>
  <c r="AJ87" i="1"/>
  <c r="M87" i="1"/>
  <c r="Q87" i="1" s="1"/>
  <c r="L87" i="1"/>
  <c r="P87" i="1" s="1"/>
  <c r="K87" i="1"/>
  <c r="O87" i="1" s="1"/>
  <c r="J87" i="1"/>
  <c r="N87" i="1" s="1"/>
  <c r="H87" i="1"/>
  <c r="G87" i="1"/>
  <c r="E87" i="1"/>
  <c r="C87" i="1"/>
  <c r="B87" i="1"/>
  <c r="DZ86" i="1"/>
  <c r="DY86" i="1"/>
  <c r="DX86" i="1"/>
  <c r="DW86" i="1"/>
  <c r="DV86" i="1"/>
  <c r="DU86" i="1"/>
  <c r="DS86" i="1"/>
  <c r="DR86" i="1"/>
  <c r="DQ86" i="1"/>
  <c r="DP86" i="1"/>
  <c r="DO86" i="1"/>
  <c r="DN86" i="1"/>
  <c r="BJ86" i="1"/>
  <c r="BI86" i="1"/>
  <c r="BH86" i="1"/>
  <c r="BA86" i="1"/>
  <c r="AW86" i="1"/>
  <c r="AT86" i="1"/>
  <c r="AS86" i="1"/>
  <c r="AR86" i="1"/>
  <c r="AQ86" i="1"/>
  <c r="AP86" i="1"/>
  <c r="AO86" i="1"/>
  <c r="AN86" i="1"/>
  <c r="AM86" i="1"/>
  <c r="AL86" i="1"/>
  <c r="AK86" i="1"/>
  <c r="AJ86" i="1"/>
  <c r="M86" i="1"/>
  <c r="Q86" i="1" s="1"/>
  <c r="L86" i="1"/>
  <c r="P86" i="1" s="1"/>
  <c r="K86" i="1"/>
  <c r="O86" i="1" s="1"/>
  <c r="J86" i="1"/>
  <c r="N86" i="1" s="1"/>
  <c r="H86" i="1"/>
  <c r="G86" i="1"/>
  <c r="E86" i="1"/>
  <c r="C86" i="1"/>
  <c r="B86" i="1"/>
  <c r="DZ85" i="1"/>
  <c r="DY85" i="1"/>
  <c r="DX85" i="1"/>
  <c r="DW85" i="1"/>
  <c r="DV85" i="1"/>
  <c r="DU85" i="1"/>
  <c r="DS85" i="1"/>
  <c r="DR85" i="1"/>
  <c r="DQ85" i="1"/>
  <c r="DP85" i="1"/>
  <c r="DO85" i="1"/>
  <c r="DN85" i="1"/>
  <c r="DM85" i="1"/>
  <c r="CX85" i="1"/>
  <c r="BA85" i="1"/>
  <c r="AW85" i="1"/>
  <c r="AT85" i="1"/>
  <c r="AS85" i="1"/>
  <c r="AR85" i="1"/>
  <c r="AQ85" i="1"/>
  <c r="AP85" i="1"/>
  <c r="AO85" i="1"/>
  <c r="AN85" i="1"/>
  <c r="AM85" i="1"/>
  <c r="AL85" i="1"/>
  <c r="AK85" i="1"/>
  <c r="AJ85" i="1"/>
  <c r="R85" i="1"/>
  <c r="BE85" i="1" s="1"/>
  <c r="BJ85" i="1"/>
  <c r="M85" i="1"/>
  <c r="Q85" i="1" s="1"/>
  <c r="L85" i="1"/>
  <c r="P85" i="1" s="1"/>
  <c r="K85" i="1"/>
  <c r="O85" i="1" s="1"/>
  <c r="J85" i="1"/>
  <c r="N85" i="1" s="1"/>
  <c r="H85" i="1"/>
  <c r="G85" i="1"/>
  <c r="E85" i="1"/>
  <c r="C85" i="1"/>
  <c r="R84" i="1"/>
  <c r="DZ83" i="1"/>
  <c r="DY83" i="1"/>
  <c r="DX83" i="1"/>
  <c r="DW83" i="1"/>
  <c r="DV83" i="1"/>
  <c r="DU83" i="1"/>
  <c r="DS83" i="1"/>
  <c r="DR83" i="1"/>
  <c r="DQ83" i="1"/>
  <c r="DP83" i="1"/>
  <c r="DO83" i="1"/>
  <c r="DN83" i="1"/>
  <c r="BJ83" i="1"/>
  <c r="BI83" i="1"/>
  <c r="BH83" i="1"/>
  <c r="BG83" i="1"/>
  <c r="BA83" i="1"/>
  <c r="AW83" i="1"/>
  <c r="AT83" i="1"/>
  <c r="AS83" i="1"/>
  <c r="AR83" i="1"/>
  <c r="AQ83" i="1"/>
  <c r="AP83" i="1"/>
  <c r="AO83" i="1"/>
  <c r="AN83" i="1"/>
  <c r="AM83" i="1"/>
  <c r="AL83" i="1"/>
  <c r="AK83" i="1"/>
  <c r="AJ83" i="1"/>
  <c r="M83" i="1"/>
  <c r="Q83" i="1" s="1"/>
  <c r="L83" i="1"/>
  <c r="P83" i="1" s="1"/>
  <c r="K83" i="1"/>
  <c r="O83" i="1" s="1"/>
  <c r="J83" i="1"/>
  <c r="N83" i="1" s="1"/>
  <c r="H83" i="1"/>
  <c r="G83" i="1"/>
  <c r="E83" i="1"/>
  <c r="C83" i="1"/>
  <c r="B83" i="1"/>
  <c r="DZ82" i="1"/>
  <c r="DY82" i="1"/>
  <c r="DX82" i="1"/>
  <c r="DW82" i="1"/>
  <c r="DV82" i="1"/>
  <c r="DU82" i="1"/>
  <c r="DS82" i="1"/>
  <c r="DR82" i="1"/>
  <c r="DQ82" i="1"/>
  <c r="DP82" i="1"/>
  <c r="DO82" i="1"/>
  <c r="DN82" i="1"/>
  <c r="BJ82" i="1"/>
  <c r="BI82" i="1"/>
  <c r="BH82" i="1"/>
  <c r="BA82" i="1"/>
  <c r="AW82" i="1"/>
  <c r="AT82" i="1"/>
  <c r="AS82" i="1"/>
  <c r="AR82" i="1"/>
  <c r="AQ82" i="1"/>
  <c r="AP82" i="1"/>
  <c r="AO82" i="1"/>
  <c r="AN82" i="1"/>
  <c r="AM82" i="1"/>
  <c r="AL82" i="1"/>
  <c r="AK82" i="1"/>
  <c r="AJ82" i="1"/>
  <c r="M82" i="1"/>
  <c r="Q82" i="1" s="1"/>
  <c r="L82" i="1"/>
  <c r="P82" i="1" s="1"/>
  <c r="K82" i="1"/>
  <c r="O82" i="1" s="1"/>
  <c r="J82" i="1"/>
  <c r="N82" i="1" s="1"/>
  <c r="H82" i="1"/>
  <c r="G82" i="1"/>
  <c r="E82" i="1"/>
  <c r="C82" i="1"/>
  <c r="B82" i="1"/>
  <c r="DZ81" i="1"/>
  <c r="DY81" i="1"/>
  <c r="DX81" i="1"/>
  <c r="DW81" i="1"/>
  <c r="DV81" i="1"/>
  <c r="DU81" i="1"/>
  <c r="DS81" i="1"/>
  <c r="DR81" i="1"/>
  <c r="DQ81" i="1"/>
  <c r="DP81" i="1"/>
  <c r="DO81" i="1"/>
  <c r="DN81" i="1"/>
  <c r="BA81" i="1"/>
  <c r="AW81" i="1"/>
  <c r="AT81" i="1"/>
  <c r="AS81" i="1"/>
  <c r="AR81" i="1"/>
  <c r="AQ81" i="1"/>
  <c r="AP81" i="1"/>
  <c r="AO81" i="1"/>
  <c r="AN81" i="1"/>
  <c r="AM81" i="1"/>
  <c r="AL81" i="1"/>
  <c r="AK81" i="1"/>
  <c r="AJ81" i="1"/>
  <c r="R81" i="1"/>
  <c r="BE81" i="1" s="1"/>
  <c r="BJ81" i="1"/>
  <c r="M81" i="1"/>
  <c r="Q81" i="1" s="1"/>
  <c r="L81" i="1"/>
  <c r="P81" i="1" s="1"/>
  <c r="K81" i="1"/>
  <c r="O81" i="1" s="1"/>
  <c r="J81" i="1"/>
  <c r="N81" i="1" s="1"/>
  <c r="H81" i="1"/>
  <c r="G81" i="1"/>
  <c r="E81" i="1"/>
  <c r="C81" i="1"/>
  <c r="B81" i="1"/>
  <c r="DZ80" i="1"/>
  <c r="DY80" i="1"/>
  <c r="DX80" i="1"/>
  <c r="DW80" i="1"/>
  <c r="DV80" i="1"/>
  <c r="DU80" i="1"/>
  <c r="DS80" i="1"/>
  <c r="DR80" i="1"/>
  <c r="DQ80" i="1"/>
  <c r="DP80" i="1"/>
  <c r="DO80" i="1"/>
  <c r="DN80" i="1"/>
  <c r="DM80" i="1"/>
  <c r="CX80" i="1"/>
  <c r="BJ80" i="1"/>
  <c r="BI80" i="1"/>
  <c r="BH80" i="1"/>
  <c r="BA80" i="1"/>
  <c r="AW80" i="1"/>
  <c r="AT80" i="1"/>
  <c r="AS80" i="1"/>
  <c r="AR80" i="1"/>
  <c r="AQ80" i="1"/>
  <c r="AP80" i="1"/>
  <c r="AO80" i="1"/>
  <c r="AN80" i="1"/>
  <c r="AM80" i="1"/>
  <c r="AL80" i="1"/>
  <c r="AK80" i="1"/>
  <c r="AJ80" i="1"/>
  <c r="R80" i="1"/>
  <c r="BE80" i="1" s="1"/>
  <c r="BF80" i="1"/>
  <c r="M80" i="1"/>
  <c r="Q80" i="1" s="1"/>
  <c r="L80" i="1"/>
  <c r="P80" i="1" s="1"/>
  <c r="K80" i="1"/>
  <c r="O80" i="1" s="1"/>
  <c r="J80" i="1"/>
  <c r="N80" i="1" s="1"/>
  <c r="H80" i="1"/>
  <c r="G80" i="1"/>
  <c r="E80" i="1"/>
  <c r="C80" i="1"/>
  <c r="BG86" i="1"/>
  <c r="BG85" i="1"/>
  <c r="BH85" i="1"/>
  <c r="BF81" i="1"/>
  <c r="BG82" i="1"/>
  <c r="BG80" i="1"/>
  <c r="BG81" i="1"/>
  <c r="BH81" i="1"/>
  <c r="BF85" i="1"/>
  <c r="BI81" i="1"/>
  <c r="BI85" i="1"/>
  <c r="BG87" i="1"/>
  <c r="BF82" i="1"/>
  <c r="DV78" i="1"/>
  <c r="DS78" i="1"/>
  <c r="DR78" i="1"/>
  <c r="BJ78" i="1"/>
  <c r="BI78" i="1"/>
  <c r="BH78" i="1"/>
  <c r="BG78" i="1"/>
  <c r="BF78" i="1"/>
  <c r="BA78" i="1"/>
  <c r="AW78" i="1"/>
  <c r="AT78" i="1"/>
  <c r="AS78" i="1"/>
  <c r="AR78" i="1"/>
  <c r="AQ78" i="1"/>
  <c r="AP78" i="1"/>
  <c r="AO78" i="1"/>
  <c r="AN78" i="1"/>
  <c r="AM78" i="1"/>
  <c r="AL78" i="1"/>
  <c r="AK78" i="1"/>
  <c r="AJ78" i="1"/>
  <c r="M78" i="1"/>
  <c r="Q78" i="1" s="1"/>
  <c r="L78" i="1"/>
  <c r="P78" i="1" s="1"/>
  <c r="K78" i="1"/>
  <c r="O78" i="1" s="1"/>
  <c r="J78" i="1"/>
  <c r="N78" i="1" s="1"/>
  <c r="H78" i="1"/>
  <c r="G78" i="1"/>
  <c r="E78" i="1"/>
  <c r="C78" i="1"/>
  <c r="B78" i="1"/>
  <c r="DZ77" i="1"/>
  <c r="DY77" i="1"/>
  <c r="DX77" i="1"/>
  <c r="DW77" i="1"/>
  <c r="DS77" i="1"/>
  <c r="DR77" i="1"/>
  <c r="DQ77" i="1"/>
  <c r="DP77" i="1"/>
  <c r="DO77" i="1"/>
  <c r="DN77" i="1"/>
  <c r="DV77" i="1"/>
  <c r="BJ77" i="1"/>
  <c r="BI77" i="1"/>
  <c r="BH77" i="1"/>
  <c r="BG77" i="1"/>
  <c r="BA77" i="1"/>
  <c r="AW77" i="1"/>
  <c r="AT77" i="1"/>
  <c r="AS77" i="1"/>
  <c r="AR77" i="1"/>
  <c r="AQ77" i="1"/>
  <c r="AP77" i="1"/>
  <c r="AO77" i="1"/>
  <c r="AN77" i="1"/>
  <c r="AM77" i="1"/>
  <c r="AL77" i="1"/>
  <c r="AK77" i="1"/>
  <c r="AJ77" i="1"/>
  <c r="M77" i="1"/>
  <c r="Q77" i="1" s="1"/>
  <c r="L77" i="1"/>
  <c r="P77" i="1" s="1"/>
  <c r="K77" i="1"/>
  <c r="O77" i="1" s="1"/>
  <c r="J77" i="1"/>
  <c r="N77" i="1" s="1"/>
  <c r="H77" i="1"/>
  <c r="G77" i="1"/>
  <c r="E77" i="1"/>
  <c r="C77" i="1"/>
  <c r="B77" i="1"/>
  <c r="DV76" i="1"/>
  <c r="DU76" i="1"/>
  <c r="DS76" i="1"/>
  <c r="DR76" i="1"/>
  <c r="BJ76" i="1"/>
  <c r="BI76" i="1"/>
  <c r="BH76" i="1"/>
  <c r="BG76" i="1"/>
  <c r="BA76" i="1"/>
  <c r="AW76" i="1"/>
  <c r="AT76" i="1"/>
  <c r="AS76" i="1"/>
  <c r="AR76" i="1"/>
  <c r="AQ76" i="1"/>
  <c r="AP76" i="1"/>
  <c r="AO76" i="1"/>
  <c r="AN76" i="1"/>
  <c r="AM76" i="1"/>
  <c r="AL76" i="1"/>
  <c r="AK76" i="1"/>
  <c r="AJ76" i="1"/>
  <c r="M76" i="1"/>
  <c r="Q76" i="1" s="1"/>
  <c r="L76" i="1"/>
  <c r="P76" i="1" s="1"/>
  <c r="K76" i="1"/>
  <c r="O76" i="1" s="1"/>
  <c r="J76" i="1"/>
  <c r="N76" i="1" s="1"/>
  <c r="H76" i="1"/>
  <c r="G76" i="1"/>
  <c r="E76" i="1"/>
  <c r="C76" i="1"/>
  <c r="B76" i="1"/>
  <c r="DY75" i="1"/>
  <c r="DX75" i="1"/>
  <c r="DW75" i="1"/>
  <c r="DQ75" i="1"/>
  <c r="DP75" i="1"/>
  <c r="DO75" i="1"/>
  <c r="DN75" i="1"/>
  <c r="DM75" i="1"/>
  <c r="CX75" i="1"/>
  <c r="BA75" i="1"/>
  <c r="AW75" i="1"/>
  <c r="AT75" i="1"/>
  <c r="AS75" i="1"/>
  <c r="AR75" i="1"/>
  <c r="AQ75" i="1"/>
  <c r="AP75" i="1"/>
  <c r="AO75" i="1"/>
  <c r="AN75" i="1"/>
  <c r="AM75" i="1"/>
  <c r="AL75" i="1"/>
  <c r="AK75" i="1"/>
  <c r="AJ75" i="1"/>
  <c r="R75" i="1"/>
  <c r="BE75" i="1" s="1"/>
  <c r="BJ75" i="1"/>
  <c r="M75" i="1"/>
  <c r="Q75" i="1" s="1"/>
  <c r="L75" i="1"/>
  <c r="P75" i="1" s="1"/>
  <c r="K75" i="1"/>
  <c r="O75" i="1" s="1"/>
  <c r="J75" i="1"/>
  <c r="N75" i="1" s="1"/>
  <c r="H75" i="1"/>
  <c r="G75" i="1"/>
  <c r="E75" i="1"/>
  <c r="C75" i="1"/>
  <c r="DZ68" i="1"/>
  <c r="DY68" i="1"/>
  <c r="DU68" i="1"/>
  <c r="DQ68" i="1"/>
  <c r="BJ68" i="1"/>
  <c r="BI68" i="1"/>
  <c r="BH68" i="1"/>
  <c r="BG68" i="1"/>
  <c r="BA68" i="1"/>
  <c r="AW68" i="1"/>
  <c r="AT68" i="1"/>
  <c r="AS68" i="1"/>
  <c r="AR68" i="1"/>
  <c r="AQ68" i="1"/>
  <c r="AP68" i="1"/>
  <c r="AO68" i="1"/>
  <c r="AN68" i="1"/>
  <c r="AM68" i="1"/>
  <c r="AL68" i="1"/>
  <c r="AK68" i="1"/>
  <c r="AJ68" i="1"/>
  <c r="M68" i="1"/>
  <c r="Q68" i="1" s="1"/>
  <c r="L68" i="1"/>
  <c r="P68" i="1" s="1"/>
  <c r="K68" i="1"/>
  <c r="O68" i="1" s="1"/>
  <c r="J68" i="1"/>
  <c r="N68" i="1" s="1"/>
  <c r="G68" i="1"/>
  <c r="E68" i="1"/>
  <c r="C68" i="1"/>
  <c r="B68" i="1"/>
  <c r="DY67" i="1"/>
  <c r="DW67" i="1"/>
  <c r="DV67" i="1"/>
  <c r="DU67" i="1"/>
  <c r="DP67" i="1"/>
  <c r="DO67" i="1"/>
  <c r="DN67" i="1"/>
  <c r="BJ67" i="1"/>
  <c r="BI67" i="1"/>
  <c r="BH67" i="1"/>
  <c r="BG67" i="1"/>
  <c r="BA67" i="1"/>
  <c r="AW67" i="1"/>
  <c r="AT67" i="1"/>
  <c r="AS67" i="1"/>
  <c r="AR67" i="1"/>
  <c r="AQ67" i="1"/>
  <c r="AP67" i="1"/>
  <c r="AO67" i="1"/>
  <c r="AN67" i="1"/>
  <c r="AM67" i="1"/>
  <c r="AL67" i="1"/>
  <c r="AK67" i="1"/>
  <c r="AJ67" i="1"/>
  <c r="M67" i="1"/>
  <c r="Q67" i="1" s="1"/>
  <c r="L67" i="1"/>
  <c r="P67" i="1" s="1"/>
  <c r="K67" i="1"/>
  <c r="O67" i="1" s="1"/>
  <c r="J67" i="1"/>
  <c r="N67" i="1" s="1"/>
  <c r="H67" i="1"/>
  <c r="G67" i="1"/>
  <c r="E67" i="1"/>
  <c r="C67" i="1"/>
  <c r="B67" i="1"/>
  <c r="DY66" i="1"/>
  <c r="DU66" i="1"/>
  <c r="DS66" i="1"/>
  <c r="DP66" i="1"/>
  <c r="BA66" i="1"/>
  <c r="AW66" i="1"/>
  <c r="AT66" i="1"/>
  <c r="AS66" i="1"/>
  <c r="AR66" i="1"/>
  <c r="AQ66" i="1"/>
  <c r="AP66" i="1"/>
  <c r="AO66" i="1"/>
  <c r="AN66" i="1"/>
  <c r="AM66" i="1"/>
  <c r="AL66" i="1"/>
  <c r="AK66" i="1"/>
  <c r="AJ66" i="1"/>
  <c r="BH66" i="1"/>
  <c r="BJ66" i="1"/>
  <c r="M66" i="1"/>
  <c r="Q66" i="1" s="1"/>
  <c r="L66" i="1"/>
  <c r="P66" i="1" s="1"/>
  <c r="K66" i="1"/>
  <c r="O66" i="1" s="1"/>
  <c r="J66" i="1"/>
  <c r="N66" i="1" s="1"/>
  <c r="H66" i="1"/>
  <c r="G66" i="1"/>
  <c r="E66" i="1"/>
  <c r="C66" i="1"/>
  <c r="B66" i="1"/>
  <c r="DO65" i="1"/>
  <c r="DM65" i="1"/>
  <c r="CX65" i="1"/>
  <c r="BJ65" i="1"/>
  <c r="BI65" i="1"/>
  <c r="BH65" i="1"/>
  <c r="BA65" i="1"/>
  <c r="AW65" i="1"/>
  <c r="AT65" i="1"/>
  <c r="AS65" i="1"/>
  <c r="AR65" i="1"/>
  <c r="AQ65" i="1"/>
  <c r="AP65" i="1"/>
  <c r="AO65" i="1"/>
  <c r="AN65" i="1"/>
  <c r="AM65" i="1"/>
  <c r="AL65" i="1"/>
  <c r="AK65" i="1"/>
  <c r="AJ65" i="1"/>
  <c r="R65" i="1"/>
  <c r="BE65" i="1" s="1"/>
  <c r="BF65" i="1"/>
  <c r="BG65" i="1"/>
  <c r="M65" i="1"/>
  <c r="Q65" i="1" s="1"/>
  <c r="K65" i="1"/>
  <c r="O65" i="1" s="1"/>
  <c r="J65" i="1"/>
  <c r="N65" i="1" s="1"/>
  <c r="G65" i="1"/>
  <c r="E65" i="1"/>
  <c r="C65" i="1"/>
  <c r="B65" i="1"/>
  <c r="DV63" i="1"/>
  <c r="DS63" i="1"/>
  <c r="DR63" i="1"/>
  <c r="DZ63" i="1"/>
  <c r="BJ63" i="1"/>
  <c r="BI63" i="1"/>
  <c r="BH63" i="1"/>
  <c r="BG63" i="1"/>
  <c r="BF63" i="1"/>
  <c r="BA63" i="1"/>
  <c r="AW63" i="1"/>
  <c r="AT63" i="1"/>
  <c r="AS63" i="1"/>
  <c r="AR63" i="1"/>
  <c r="AQ63" i="1"/>
  <c r="AP63" i="1"/>
  <c r="AO63" i="1"/>
  <c r="AN63" i="1"/>
  <c r="AM63" i="1"/>
  <c r="AL63" i="1"/>
  <c r="AK63" i="1"/>
  <c r="AJ63" i="1"/>
  <c r="M63" i="1"/>
  <c r="Q63" i="1" s="1"/>
  <c r="L63" i="1"/>
  <c r="P63" i="1" s="1"/>
  <c r="K63" i="1"/>
  <c r="O63" i="1" s="1"/>
  <c r="J63" i="1"/>
  <c r="N63" i="1" s="1"/>
  <c r="H63" i="1"/>
  <c r="G63" i="1"/>
  <c r="E63" i="1"/>
  <c r="C63" i="1"/>
  <c r="B63" i="1"/>
  <c r="DZ62" i="1"/>
  <c r="DY62" i="1"/>
  <c r="DX62" i="1"/>
  <c r="DW62" i="1"/>
  <c r="DV62" i="1"/>
  <c r="DS62" i="1"/>
  <c r="DR62" i="1"/>
  <c r="DQ62" i="1"/>
  <c r="DP62" i="1"/>
  <c r="DO62" i="1"/>
  <c r="DN62" i="1"/>
  <c r="DU62" i="1"/>
  <c r="BJ62" i="1"/>
  <c r="BI62" i="1"/>
  <c r="BH62" i="1"/>
  <c r="BG62" i="1"/>
  <c r="BF62" i="1"/>
  <c r="BA62" i="1"/>
  <c r="AW62" i="1"/>
  <c r="AT62" i="1"/>
  <c r="AS62" i="1"/>
  <c r="AR62" i="1"/>
  <c r="AQ62" i="1"/>
  <c r="AP62" i="1"/>
  <c r="AO62" i="1"/>
  <c r="AN62" i="1"/>
  <c r="AM62" i="1"/>
  <c r="AL62" i="1"/>
  <c r="AK62" i="1"/>
  <c r="AJ62" i="1"/>
  <c r="M62" i="1"/>
  <c r="Q62" i="1" s="1"/>
  <c r="L62" i="1"/>
  <c r="P62" i="1" s="1"/>
  <c r="K62" i="1"/>
  <c r="O62" i="1" s="1"/>
  <c r="CH62" i="1" s="1"/>
  <c r="J62" i="1"/>
  <c r="N62" i="1" s="1"/>
  <c r="H62" i="1"/>
  <c r="G62" i="1"/>
  <c r="E62" i="1"/>
  <c r="C62" i="1"/>
  <c r="B62" i="1"/>
  <c r="DV61" i="1"/>
  <c r="DU61" i="1"/>
  <c r="DS61" i="1"/>
  <c r="DN61" i="1"/>
  <c r="BJ61" i="1"/>
  <c r="BI61" i="1"/>
  <c r="BH61" i="1"/>
  <c r="BG61" i="1"/>
  <c r="BF61" i="1"/>
  <c r="BA61" i="1"/>
  <c r="AW61" i="1"/>
  <c r="AT61" i="1"/>
  <c r="AS61" i="1"/>
  <c r="AR61" i="1"/>
  <c r="AQ61" i="1"/>
  <c r="AP61" i="1"/>
  <c r="AO61" i="1"/>
  <c r="AN61" i="1"/>
  <c r="AM61" i="1"/>
  <c r="AL61" i="1"/>
  <c r="AK61" i="1"/>
  <c r="AJ61" i="1"/>
  <c r="M61" i="1"/>
  <c r="Q61" i="1" s="1"/>
  <c r="L61" i="1"/>
  <c r="P61" i="1" s="1"/>
  <c r="K61" i="1"/>
  <c r="O61" i="1" s="1"/>
  <c r="J61" i="1"/>
  <c r="N61" i="1" s="1"/>
  <c r="H61" i="1"/>
  <c r="G61" i="1"/>
  <c r="E61" i="1"/>
  <c r="C61" i="1"/>
  <c r="B61" i="1"/>
  <c r="DW60" i="1"/>
  <c r="DM60" i="1"/>
  <c r="BJ60" i="1"/>
  <c r="BI60" i="1"/>
  <c r="BH60" i="1"/>
  <c r="BA60" i="1"/>
  <c r="AW60" i="1"/>
  <c r="AT60" i="1"/>
  <c r="AS60" i="1"/>
  <c r="AR60" i="1"/>
  <c r="AQ60" i="1"/>
  <c r="AP60" i="1"/>
  <c r="AO60" i="1"/>
  <c r="AN60" i="1"/>
  <c r="AM60" i="1"/>
  <c r="AL60" i="1"/>
  <c r="AK60" i="1"/>
  <c r="AJ60" i="1"/>
  <c r="R60" i="1"/>
  <c r="BF60" i="1" s="1"/>
  <c r="M60" i="1"/>
  <c r="Q60" i="1" s="1"/>
  <c r="L60" i="1"/>
  <c r="P60" i="1" s="1"/>
  <c r="K60" i="1"/>
  <c r="O60" i="1" s="1"/>
  <c r="J60" i="1"/>
  <c r="N60" i="1" s="1"/>
  <c r="G60" i="1"/>
  <c r="E60" i="1"/>
  <c r="C60" i="1"/>
  <c r="DV58" i="1"/>
  <c r="DU58" i="1"/>
  <c r="DS58" i="1"/>
  <c r="DR58" i="1"/>
  <c r="DQ58" i="1"/>
  <c r="DZ58" i="1"/>
  <c r="BJ58" i="1"/>
  <c r="BI58" i="1"/>
  <c r="BH58" i="1"/>
  <c r="BG58" i="1"/>
  <c r="BA58" i="1"/>
  <c r="AW58" i="1"/>
  <c r="AT58" i="1"/>
  <c r="AS58" i="1"/>
  <c r="AR58" i="1"/>
  <c r="AQ58" i="1"/>
  <c r="AP58" i="1"/>
  <c r="AO58" i="1"/>
  <c r="AN58" i="1"/>
  <c r="AM58" i="1"/>
  <c r="AL58" i="1"/>
  <c r="AK58" i="1"/>
  <c r="AJ58" i="1"/>
  <c r="M58" i="1"/>
  <c r="Q58" i="1" s="1"/>
  <c r="L58" i="1"/>
  <c r="P58" i="1" s="1"/>
  <c r="K58" i="1"/>
  <c r="O58" i="1" s="1"/>
  <c r="J58" i="1"/>
  <c r="N58" i="1" s="1"/>
  <c r="H58" i="1"/>
  <c r="G58" i="1"/>
  <c r="E58" i="1"/>
  <c r="C58" i="1"/>
  <c r="DZ57" i="1"/>
  <c r="DY57" i="1"/>
  <c r="DX57" i="1"/>
  <c r="DW57" i="1"/>
  <c r="DV57" i="1"/>
  <c r="DR57" i="1"/>
  <c r="DQ57" i="1"/>
  <c r="DP57" i="1"/>
  <c r="DO57" i="1"/>
  <c r="DN57" i="1"/>
  <c r="DU57" i="1"/>
  <c r="BJ57" i="1"/>
  <c r="BI57" i="1"/>
  <c r="BH57" i="1"/>
  <c r="BG57" i="1"/>
  <c r="BA57" i="1"/>
  <c r="AW57" i="1"/>
  <c r="AT57" i="1"/>
  <c r="AS57" i="1"/>
  <c r="AR57" i="1"/>
  <c r="AQ57" i="1"/>
  <c r="AP57" i="1"/>
  <c r="AO57" i="1"/>
  <c r="AN57" i="1"/>
  <c r="AM57" i="1"/>
  <c r="AL57" i="1"/>
  <c r="AK57" i="1"/>
  <c r="AJ57" i="1"/>
  <c r="M57" i="1"/>
  <c r="Q57" i="1" s="1"/>
  <c r="L57" i="1"/>
  <c r="P57" i="1" s="1"/>
  <c r="K57" i="1"/>
  <c r="O57" i="1" s="1"/>
  <c r="J57" i="1"/>
  <c r="N57" i="1" s="1"/>
  <c r="H57" i="1"/>
  <c r="G57" i="1"/>
  <c r="E57" i="1"/>
  <c r="C57" i="1"/>
  <c r="B57" i="1"/>
  <c r="DZ56" i="1"/>
  <c r="DV56" i="1"/>
  <c r="DU56" i="1"/>
  <c r="DS56" i="1"/>
  <c r="DR56" i="1"/>
  <c r="DQ56" i="1"/>
  <c r="BA56" i="1"/>
  <c r="AW56" i="1"/>
  <c r="AT56" i="1"/>
  <c r="AS56" i="1"/>
  <c r="AR56" i="1"/>
  <c r="AQ56" i="1"/>
  <c r="AP56" i="1"/>
  <c r="AO56" i="1"/>
  <c r="AN56" i="1"/>
  <c r="AM56" i="1"/>
  <c r="AL56" i="1"/>
  <c r="AK56" i="1"/>
  <c r="AJ56" i="1"/>
  <c r="BG56" i="1"/>
  <c r="BJ56" i="1"/>
  <c r="M56" i="1"/>
  <c r="Q56" i="1" s="1"/>
  <c r="L56" i="1"/>
  <c r="P56" i="1" s="1"/>
  <c r="K56" i="1"/>
  <c r="O56" i="1" s="1"/>
  <c r="J56" i="1"/>
  <c r="N56" i="1" s="1"/>
  <c r="H56" i="1"/>
  <c r="G56" i="1"/>
  <c r="E56" i="1"/>
  <c r="C56" i="1"/>
  <c r="B56" i="1"/>
  <c r="DM55" i="1"/>
  <c r="CX55" i="1"/>
  <c r="M55" i="1"/>
  <c r="Q55" i="1" s="1"/>
  <c r="BJ55" i="1"/>
  <c r="BI55" i="1"/>
  <c r="BH55" i="1"/>
  <c r="BA55" i="1"/>
  <c r="AW55" i="1"/>
  <c r="AT55" i="1"/>
  <c r="AS55" i="1"/>
  <c r="AR55" i="1"/>
  <c r="AQ55" i="1"/>
  <c r="AP55" i="1"/>
  <c r="AO55" i="1"/>
  <c r="AN55" i="1"/>
  <c r="AM55" i="1"/>
  <c r="AL55" i="1"/>
  <c r="AK55" i="1"/>
  <c r="AJ55" i="1"/>
  <c r="R55" i="1"/>
  <c r="BF55" i="1" s="1"/>
  <c r="BG55" i="1"/>
  <c r="K55" i="1"/>
  <c r="O55" i="1" s="1"/>
  <c r="J55" i="1"/>
  <c r="N55" i="1" s="1"/>
  <c r="G55" i="1"/>
  <c r="E55" i="1"/>
  <c r="C55" i="1"/>
  <c r="B55" i="1"/>
  <c r="DV48" i="1"/>
  <c r="BJ48" i="1"/>
  <c r="BI48" i="1"/>
  <c r="BH48" i="1"/>
  <c r="BG48" i="1"/>
  <c r="BF48" i="1"/>
  <c r="BA48" i="1"/>
  <c r="AW48" i="1"/>
  <c r="AT48" i="1"/>
  <c r="AS48" i="1"/>
  <c r="AR48" i="1"/>
  <c r="AQ48" i="1"/>
  <c r="AP48" i="1"/>
  <c r="AO48" i="1"/>
  <c r="AN48" i="1"/>
  <c r="AM48" i="1"/>
  <c r="AL48" i="1"/>
  <c r="AK48" i="1"/>
  <c r="AJ48" i="1"/>
  <c r="M48" i="1"/>
  <c r="Q48" i="1" s="1"/>
  <c r="L48" i="1"/>
  <c r="P48" i="1" s="1"/>
  <c r="K48" i="1"/>
  <c r="O48" i="1" s="1"/>
  <c r="J48" i="1"/>
  <c r="N48" i="1" s="1"/>
  <c r="H48" i="1"/>
  <c r="G48" i="1"/>
  <c r="E48" i="1"/>
  <c r="C48" i="1"/>
  <c r="B48" i="1"/>
  <c r="DZ47" i="1"/>
  <c r="DY47" i="1"/>
  <c r="DX47" i="1"/>
  <c r="DW47" i="1"/>
  <c r="DS47" i="1"/>
  <c r="DR47" i="1"/>
  <c r="DQ47" i="1"/>
  <c r="DP47" i="1"/>
  <c r="DO47" i="1"/>
  <c r="DN47" i="1"/>
  <c r="DV47" i="1"/>
  <c r="BJ47" i="1"/>
  <c r="BI47" i="1"/>
  <c r="BH47" i="1"/>
  <c r="BG47" i="1"/>
  <c r="BF47" i="1"/>
  <c r="BA47" i="1"/>
  <c r="AW47" i="1"/>
  <c r="AT47" i="1"/>
  <c r="AS47" i="1"/>
  <c r="AR47" i="1"/>
  <c r="AQ47" i="1"/>
  <c r="AP47" i="1"/>
  <c r="AO47" i="1"/>
  <c r="AN47" i="1"/>
  <c r="AM47" i="1"/>
  <c r="AL47" i="1"/>
  <c r="AK47" i="1"/>
  <c r="AJ47" i="1"/>
  <c r="M47" i="1"/>
  <c r="Q47" i="1" s="1"/>
  <c r="L47" i="1"/>
  <c r="P47" i="1" s="1"/>
  <c r="K47" i="1"/>
  <c r="O47" i="1" s="1"/>
  <c r="J47" i="1"/>
  <c r="N47" i="1" s="1"/>
  <c r="H47" i="1"/>
  <c r="G47" i="1"/>
  <c r="E47" i="1"/>
  <c r="C47" i="1"/>
  <c r="B47" i="1"/>
  <c r="DV46" i="1"/>
  <c r="DU46" i="1"/>
  <c r="DR46" i="1"/>
  <c r="BJ46" i="1"/>
  <c r="BI46" i="1"/>
  <c r="BH46" i="1"/>
  <c r="BG46" i="1"/>
  <c r="BF46" i="1"/>
  <c r="BA46" i="1"/>
  <c r="AW46" i="1"/>
  <c r="AT46" i="1"/>
  <c r="AS46" i="1"/>
  <c r="AR46" i="1"/>
  <c r="AQ46" i="1"/>
  <c r="AP46" i="1"/>
  <c r="AO46" i="1"/>
  <c r="AN46" i="1"/>
  <c r="AM46" i="1"/>
  <c r="AL46" i="1"/>
  <c r="AK46" i="1"/>
  <c r="AJ46" i="1"/>
  <c r="M46" i="1"/>
  <c r="Q46" i="1" s="1"/>
  <c r="L46" i="1"/>
  <c r="P46" i="1" s="1"/>
  <c r="K46" i="1"/>
  <c r="O46" i="1" s="1"/>
  <c r="J46" i="1"/>
  <c r="N46" i="1" s="1"/>
  <c r="H46" i="1"/>
  <c r="G46" i="1"/>
  <c r="E46" i="1"/>
  <c r="C46" i="1"/>
  <c r="B46" i="1"/>
  <c r="DX45" i="1"/>
  <c r="DQ45" i="1"/>
  <c r="DM45" i="1"/>
  <c r="BJ45" i="1"/>
  <c r="BI45" i="1"/>
  <c r="BH45" i="1"/>
  <c r="BA45" i="1"/>
  <c r="AW45" i="1"/>
  <c r="AT45" i="1"/>
  <c r="AS45" i="1"/>
  <c r="AR45" i="1"/>
  <c r="AQ45" i="1"/>
  <c r="AP45" i="1"/>
  <c r="AO45" i="1"/>
  <c r="AN45" i="1"/>
  <c r="AM45" i="1"/>
  <c r="AL45" i="1"/>
  <c r="AK45" i="1"/>
  <c r="AJ45" i="1"/>
  <c r="R45" i="1"/>
  <c r="BE45" i="1" s="1"/>
  <c r="BF45" i="1"/>
  <c r="M45" i="1"/>
  <c r="Q45" i="1" s="1"/>
  <c r="L45" i="1"/>
  <c r="P45" i="1" s="1"/>
  <c r="K45" i="1"/>
  <c r="O45" i="1" s="1"/>
  <c r="J45" i="1"/>
  <c r="N45" i="1" s="1"/>
  <c r="G45" i="1"/>
  <c r="E45" i="1"/>
  <c r="C45" i="1"/>
  <c r="DQ43" i="1"/>
  <c r="BJ43" i="1"/>
  <c r="BI43" i="1"/>
  <c r="BH43" i="1"/>
  <c r="BG43" i="1"/>
  <c r="BA43" i="1"/>
  <c r="AW43" i="1"/>
  <c r="AT43" i="1"/>
  <c r="AS43" i="1"/>
  <c r="AR43" i="1"/>
  <c r="AQ43" i="1"/>
  <c r="AP43" i="1"/>
  <c r="AO43" i="1"/>
  <c r="AN43" i="1"/>
  <c r="AM43" i="1"/>
  <c r="AL43" i="1"/>
  <c r="AK43" i="1"/>
  <c r="AJ43" i="1"/>
  <c r="M43" i="1"/>
  <c r="Q43" i="1" s="1"/>
  <c r="L43" i="1"/>
  <c r="P43" i="1" s="1"/>
  <c r="K43" i="1"/>
  <c r="O43" i="1" s="1"/>
  <c r="J43" i="1"/>
  <c r="N43" i="1" s="1"/>
  <c r="G43" i="1"/>
  <c r="E43" i="1"/>
  <c r="C43" i="1"/>
  <c r="B43" i="1"/>
  <c r="DZ42" i="1"/>
  <c r="DY42" i="1"/>
  <c r="DX42" i="1"/>
  <c r="DW42" i="1"/>
  <c r="DV42" i="1"/>
  <c r="DS42" i="1"/>
  <c r="DR42" i="1"/>
  <c r="DQ42" i="1"/>
  <c r="DP42" i="1"/>
  <c r="DO42" i="1"/>
  <c r="DN42" i="1"/>
  <c r="DU42" i="1"/>
  <c r="BJ42" i="1"/>
  <c r="BI42" i="1"/>
  <c r="BH42" i="1"/>
  <c r="BG42" i="1"/>
  <c r="BA42" i="1"/>
  <c r="AW42" i="1"/>
  <c r="AT42" i="1"/>
  <c r="AS42" i="1"/>
  <c r="AR42" i="1"/>
  <c r="AQ42" i="1"/>
  <c r="AP42" i="1"/>
  <c r="AO42" i="1"/>
  <c r="AN42" i="1"/>
  <c r="AM42" i="1"/>
  <c r="AL42" i="1"/>
  <c r="AK42" i="1"/>
  <c r="AJ42" i="1"/>
  <c r="M42" i="1"/>
  <c r="Q42" i="1" s="1"/>
  <c r="L42" i="1"/>
  <c r="P42" i="1" s="1"/>
  <c r="K42" i="1"/>
  <c r="O42" i="1" s="1"/>
  <c r="J42" i="1"/>
  <c r="N42" i="1" s="1"/>
  <c r="H42" i="1"/>
  <c r="G42" i="1"/>
  <c r="E42" i="1"/>
  <c r="C42" i="1"/>
  <c r="B42" i="1"/>
  <c r="DZ41" i="1"/>
  <c r="DV41" i="1"/>
  <c r="DU41" i="1"/>
  <c r="DS41" i="1"/>
  <c r="DR41" i="1"/>
  <c r="DQ41" i="1"/>
  <c r="BA41" i="1"/>
  <c r="AW41" i="1"/>
  <c r="AT41" i="1"/>
  <c r="AS41" i="1"/>
  <c r="AR41" i="1"/>
  <c r="AQ41" i="1"/>
  <c r="AP41" i="1"/>
  <c r="AO41" i="1"/>
  <c r="AN41" i="1"/>
  <c r="AM41" i="1"/>
  <c r="AL41" i="1"/>
  <c r="AK41" i="1"/>
  <c r="AJ41" i="1"/>
  <c r="R41" i="1"/>
  <c r="BE41" i="1" s="1"/>
  <c r="BF41" i="1"/>
  <c r="BH41" i="1"/>
  <c r="BJ41" i="1"/>
  <c r="M41" i="1"/>
  <c r="Q41" i="1" s="1"/>
  <c r="L41" i="1"/>
  <c r="P41" i="1" s="1"/>
  <c r="K41" i="1"/>
  <c r="O41" i="1" s="1"/>
  <c r="J41" i="1"/>
  <c r="N41" i="1" s="1"/>
  <c r="H41" i="1"/>
  <c r="G41" i="1"/>
  <c r="E41" i="1"/>
  <c r="C41" i="1"/>
  <c r="B41" i="1"/>
  <c r="DM40" i="1"/>
  <c r="CX40" i="1"/>
  <c r="M40" i="1"/>
  <c r="Q40" i="1" s="1"/>
  <c r="BJ40" i="1"/>
  <c r="BI40" i="1"/>
  <c r="BH40" i="1"/>
  <c r="BA40" i="1"/>
  <c r="AW40" i="1"/>
  <c r="AT40" i="1"/>
  <c r="AS40" i="1"/>
  <c r="AR40" i="1"/>
  <c r="AQ40" i="1"/>
  <c r="AP40" i="1"/>
  <c r="AO40" i="1"/>
  <c r="AN40" i="1"/>
  <c r="AM40" i="1"/>
  <c r="AL40" i="1"/>
  <c r="AK40" i="1"/>
  <c r="AJ40" i="1"/>
  <c r="R40" i="1"/>
  <c r="BE40" i="1" s="1"/>
  <c r="BF40" i="1"/>
  <c r="BG40" i="1"/>
  <c r="K40" i="1"/>
  <c r="O40" i="1" s="1"/>
  <c r="J40" i="1"/>
  <c r="N40" i="1" s="1"/>
  <c r="G40" i="1"/>
  <c r="E40" i="1"/>
  <c r="C40" i="1"/>
  <c r="B40" i="1"/>
  <c r="M25" i="1"/>
  <c r="Q25" i="1" s="1"/>
  <c r="R25" i="1"/>
  <c r="BE25" i="1" s="1"/>
  <c r="E25" i="1"/>
  <c r="G25" i="1"/>
  <c r="J25" i="1"/>
  <c r="N25" i="1" s="1"/>
  <c r="K25" i="1"/>
  <c r="O25" i="1" s="1"/>
  <c r="L25" i="1"/>
  <c r="P25" i="1" s="1"/>
  <c r="AJ25" i="1"/>
  <c r="AK25" i="1"/>
  <c r="AL25" i="1"/>
  <c r="AM25" i="1"/>
  <c r="AN25" i="1"/>
  <c r="AO25" i="1"/>
  <c r="AP25" i="1"/>
  <c r="AQ25" i="1"/>
  <c r="AR25" i="1"/>
  <c r="AS25" i="1"/>
  <c r="AT25" i="1"/>
  <c r="AW25" i="1"/>
  <c r="BA25" i="1"/>
  <c r="BJ25" i="1"/>
  <c r="E26" i="1"/>
  <c r="G26" i="1"/>
  <c r="J26" i="1"/>
  <c r="N26" i="1" s="1"/>
  <c r="K26" i="1"/>
  <c r="O26" i="1" s="1"/>
  <c r="L26" i="1"/>
  <c r="P26" i="1" s="1"/>
  <c r="M26" i="1"/>
  <c r="Q26" i="1" s="1"/>
  <c r="AJ26" i="1"/>
  <c r="AK26" i="1"/>
  <c r="AL26" i="1"/>
  <c r="AM26" i="1"/>
  <c r="AN26" i="1"/>
  <c r="AO26" i="1"/>
  <c r="AP26" i="1"/>
  <c r="AQ26" i="1"/>
  <c r="AR26" i="1"/>
  <c r="AS26" i="1"/>
  <c r="AT26" i="1"/>
  <c r="AW26" i="1"/>
  <c r="BA26" i="1"/>
  <c r="E27" i="1"/>
  <c r="G27" i="1"/>
  <c r="J27" i="1"/>
  <c r="N27" i="1" s="1"/>
  <c r="K27" i="1"/>
  <c r="O27" i="1" s="1"/>
  <c r="L27" i="1"/>
  <c r="P27" i="1" s="1"/>
  <c r="M27" i="1"/>
  <c r="Q27" i="1" s="1"/>
  <c r="AJ27" i="1"/>
  <c r="AK27" i="1"/>
  <c r="AL27" i="1"/>
  <c r="AM27" i="1"/>
  <c r="AN27" i="1"/>
  <c r="AO27" i="1"/>
  <c r="AP27" i="1"/>
  <c r="AQ27" i="1"/>
  <c r="AR27" i="1"/>
  <c r="AS27" i="1"/>
  <c r="AT27" i="1"/>
  <c r="AW27" i="1"/>
  <c r="BA27" i="1"/>
  <c r="E28" i="1"/>
  <c r="G28" i="1"/>
  <c r="J28" i="1"/>
  <c r="N28" i="1" s="1"/>
  <c r="K28" i="1"/>
  <c r="O28" i="1" s="1"/>
  <c r="L28" i="1"/>
  <c r="P28" i="1" s="1"/>
  <c r="M28" i="1"/>
  <c r="Q28" i="1" s="1"/>
  <c r="AJ28" i="1"/>
  <c r="AK28" i="1"/>
  <c r="AL28" i="1"/>
  <c r="AM28" i="1"/>
  <c r="AN28" i="1"/>
  <c r="AO28" i="1"/>
  <c r="AP28" i="1"/>
  <c r="AQ28" i="1"/>
  <c r="AR28" i="1"/>
  <c r="AS28" i="1"/>
  <c r="AT28" i="1"/>
  <c r="AW28" i="1"/>
  <c r="BA28" i="1"/>
  <c r="R26" i="1"/>
  <c r="BE26" i="1" s="1"/>
  <c r="BG36" i="1"/>
  <c r="BH36" i="1"/>
  <c r="BI36" i="1"/>
  <c r="BJ36" i="1"/>
  <c r="BJ37" i="1"/>
  <c r="BH38" i="1"/>
  <c r="BI38" i="1"/>
  <c r="BJ38" i="1"/>
  <c r="R34" i="1"/>
  <c r="R35" i="1"/>
  <c r="BE35" i="1" s="1"/>
  <c r="BH35" i="1"/>
  <c r="AJ13" i="1"/>
  <c r="AJ15" i="1" s="1"/>
  <c r="DN25" i="1"/>
  <c r="DQ26" i="1"/>
  <c r="DQ27" i="1"/>
  <c r="DX28" i="1"/>
  <c r="DU28" i="1"/>
  <c r="DX35" i="1"/>
  <c r="DN36" i="1"/>
  <c r="DX37" i="1"/>
  <c r="DR38" i="1"/>
  <c r="DQ38" i="1"/>
  <c r="AT38" i="1"/>
  <c r="AS38" i="1"/>
  <c r="AR38" i="1"/>
  <c r="AQ38" i="1"/>
  <c r="AP38" i="1"/>
  <c r="AO38" i="1"/>
  <c r="AN38" i="1"/>
  <c r="AM38" i="1"/>
  <c r="AL38" i="1"/>
  <c r="AK38" i="1"/>
  <c r="AJ38" i="1"/>
  <c r="AT37" i="1"/>
  <c r="AS37" i="1"/>
  <c r="AR37" i="1"/>
  <c r="AQ37" i="1"/>
  <c r="AP37" i="1"/>
  <c r="AO37" i="1"/>
  <c r="AN37" i="1"/>
  <c r="AM37" i="1"/>
  <c r="AL37" i="1"/>
  <c r="AK37" i="1"/>
  <c r="AJ37" i="1"/>
  <c r="AT36" i="1"/>
  <c r="AS36" i="1"/>
  <c r="AR36" i="1"/>
  <c r="AQ36" i="1"/>
  <c r="AP36" i="1"/>
  <c r="AO36" i="1"/>
  <c r="AN36" i="1"/>
  <c r="AM36" i="1"/>
  <c r="AL36" i="1"/>
  <c r="AK36" i="1"/>
  <c r="AJ36" i="1"/>
  <c r="AT35" i="1"/>
  <c r="AS35" i="1"/>
  <c r="AR35" i="1"/>
  <c r="AQ35" i="1"/>
  <c r="AP35" i="1"/>
  <c r="AO35" i="1"/>
  <c r="AN35" i="1"/>
  <c r="AM35" i="1"/>
  <c r="AL35" i="1"/>
  <c r="AK35" i="1"/>
  <c r="AJ35" i="1"/>
  <c r="BA38" i="1"/>
  <c r="AW38" i="1"/>
  <c r="M38" i="1"/>
  <c r="Q38" i="1" s="1"/>
  <c r="L38" i="1"/>
  <c r="P38" i="1" s="1"/>
  <c r="K38" i="1"/>
  <c r="O38" i="1" s="1"/>
  <c r="J38" i="1"/>
  <c r="N38" i="1" s="1"/>
  <c r="G38" i="1"/>
  <c r="E38" i="1"/>
  <c r="C38" i="1"/>
  <c r="B38" i="1"/>
  <c r="BA37" i="1"/>
  <c r="AW37" i="1"/>
  <c r="M37" i="1"/>
  <c r="Q37" i="1" s="1"/>
  <c r="L37" i="1"/>
  <c r="P37" i="1" s="1"/>
  <c r="K37" i="1"/>
  <c r="O37" i="1" s="1"/>
  <c r="J37" i="1"/>
  <c r="N37" i="1" s="1"/>
  <c r="G37" i="1"/>
  <c r="E37" i="1"/>
  <c r="C37" i="1"/>
  <c r="B37" i="1"/>
  <c r="BA36" i="1"/>
  <c r="AW36" i="1"/>
  <c r="M36" i="1"/>
  <c r="Q36" i="1" s="1"/>
  <c r="L36" i="1"/>
  <c r="P36" i="1" s="1"/>
  <c r="K36" i="1"/>
  <c r="O36" i="1" s="1"/>
  <c r="J36" i="1"/>
  <c r="N36" i="1" s="1"/>
  <c r="G36" i="1"/>
  <c r="E36" i="1"/>
  <c r="C36" i="1"/>
  <c r="B36" i="1"/>
  <c r="BA35" i="1"/>
  <c r="AW35" i="1"/>
  <c r="M35" i="1"/>
  <c r="Q35" i="1" s="1"/>
  <c r="L35" i="1"/>
  <c r="P35" i="1" s="1"/>
  <c r="K35" i="1"/>
  <c r="O35" i="1" s="1"/>
  <c r="J35" i="1"/>
  <c r="N35" i="1" s="1"/>
  <c r="G35" i="1"/>
  <c r="E35" i="1"/>
  <c r="C35" i="1"/>
  <c r="C28" i="1"/>
  <c r="B28" i="1"/>
  <c r="C27" i="1"/>
  <c r="B27" i="1"/>
  <c r="C26" i="1"/>
  <c r="B26" i="1"/>
  <c r="C25" i="1"/>
  <c r="AX17" i="1"/>
  <c r="AX18" i="1" s="1"/>
  <c r="BD16" i="1"/>
  <c r="BD17" i="1"/>
  <c r="BD18" i="1"/>
  <c r="BI17" i="1"/>
  <c r="BG28" i="1"/>
  <c r="BI18" i="1"/>
  <c r="BL16" i="1"/>
  <c r="BI35" i="1"/>
  <c r="BL17" i="1"/>
  <c r="BM4" i="1"/>
  <c r="H21" i="1"/>
  <c r="BH28" i="1"/>
  <c r="BJ28" i="1"/>
  <c r="BJ27" i="1"/>
  <c r="BI27" i="1"/>
  <c r="BJ35" i="1"/>
  <c r="BI28" i="1"/>
  <c r="BH37" i="1"/>
  <c r="BI37" i="1"/>
  <c r="BG38" i="1"/>
  <c r="BG37" i="1"/>
  <c r="DM25" i="1"/>
  <c r="BI25" i="1"/>
  <c r="DW37" i="1"/>
  <c r="H37" i="1"/>
  <c r="DS36" i="1"/>
  <c r="DR36" i="1"/>
  <c r="H28" i="1"/>
  <c r="DO37" i="1"/>
  <c r="DU37" i="1"/>
  <c r="DY37" i="1"/>
  <c r="DV37" i="1"/>
  <c r="DP37" i="1"/>
  <c r="DN37" i="1"/>
  <c r="DS37" i="1"/>
  <c r="DQ37" i="1"/>
  <c r="DZ37" i="1"/>
  <c r="DX36" i="1"/>
  <c r="DX27" i="1"/>
  <c r="DW27" i="1"/>
  <c r="DN27" i="1"/>
  <c r="DV27" i="1"/>
  <c r="DS38" i="1"/>
  <c r="DO27" i="1"/>
  <c r="DW28" i="1"/>
  <c r="DY28" i="1"/>
  <c r="DU27" i="1"/>
  <c r="H27" i="1"/>
  <c r="DP27" i="1"/>
  <c r="DY27" i="1"/>
  <c r="BG35" i="1"/>
  <c r="DR37" i="1"/>
  <c r="DO36" i="1"/>
  <c r="DY38" i="1"/>
  <c r="DV26" i="1"/>
  <c r="DW36" i="1"/>
  <c r="DP38" i="1"/>
  <c r="BH25" i="1"/>
  <c r="DY35" i="1"/>
  <c r="DP35" i="1"/>
  <c r="DZ27" i="1"/>
  <c r="DS27" i="1"/>
  <c r="DR27" i="1"/>
  <c r="BG25" i="1"/>
  <c r="DS26" i="1"/>
  <c r="DZ26" i="1"/>
  <c r="DO26" i="1"/>
  <c r="DU26" i="1"/>
  <c r="DX26" i="1"/>
  <c r="DV35" i="1"/>
  <c r="H35" i="1"/>
  <c r="DR35" i="1"/>
  <c r="DO35" i="1"/>
  <c r="DS35" i="1"/>
  <c r="DQ35" i="1"/>
  <c r="DZ35" i="1"/>
  <c r="DW35" i="1"/>
  <c r="DN35" i="1"/>
  <c r="DU35" i="1"/>
  <c r="BH27" i="1"/>
  <c r="DR25" i="1"/>
  <c r="DO25" i="1"/>
  <c r="DY25" i="1"/>
  <c r="DW25" i="1"/>
  <c r="DZ28" i="1"/>
  <c r="DW26" i="1"/>
  <c r="DQ36" i="1"/>
  <c r="DU38" i="1"/>
  <c r="DR28" i="1"/>
  <c r="DU36" i="1"/>
  <c r="DP25" i="1"/>
  <c r="DO38" i="1"/>
  <c r="DX38" i="1"/>
  <c r="DQ25" i="1"/>
  <c r="DV25" i="1"/>
  <c r="DN26" i="1"/>
  <c r="DV38" i="1"/>
  <c r="DZ36" i="1"/>
  <c r="DZ38" i="1"/>
  <c r="DN28" i="1"/>
  <c r="DP36" i="1"/>
  <c r="H26" i="1"/>
  <c r="H38" i="1"/>
  <c r="DS28" i="1"/>
  <c r="DP26" i="1"/>
  <c r="DY26" i="1"/>
  <c r="DX25" i="1"/>
  <c r="H36" i="1"/>
  <c r="DV36" i="1"/>
  <c r="DQ28" i="1"/>
  <c r="DV28" i="1"/>
  <c r="DY36" i="1"/>
  <c r="DP28" i="1"/>
  <c r="DZ25" i="1"/>
  <c r="DS25" i="1"/>
  <c r="DW38" i="1"/>
  <c r="DU25" i="1"/>
  <c r="DR26" i="1"/>
  <c r="DN38" i="1"/>
  <c r="DO28" i="1"/>
  <c r="DS65" i="1"/>
  <c r="H65" i="1"/>
  <c r="DZ65" i="1"/>
  <c r="DR65" i="1"/>
  <c r="DQ65" i="1"/>
  <c r="DN65" i="1"/>
  <c r="DY65" i="1"/>
  <c r="DX65" i="1"/>
  <c r="DW65" i="1"/>
  <c r="DV65" i="1"/>
  <c r="DU65" i="1"/>
  <c r="DP65" i="1"/>
  <c r="DX66" i="1"/>
  <c r="DO66" i="1"/>
  <c r="DW66" i="1"/>
  <c r="DN66" i="1"/>
  <c r="DV66" i="1"/>
  <c r="DZ66" i="1"/>
  <c r="DX68" i="1"/>
  <c r="DO68" i="1"/>
  <c r="DW68" i="1"/>
  <c r="DN68" i="1"/>
  <c r="DV68" i="1"/>
  <c r="DZ78" i="1"/>
  <c r="DQ78" i="1"/>
  <c r="DO78" i="1"/>
  <c r="DN78" i="1"/>
  <c r="DY78" i="1"/>
  <c r="DP78" i="1"/>
  <c r="DX78" i="1"/>
  <c r="DW78" i="1"/>
  <c r="L65" i="1"/>
  <c r="P65" i="1" s="1"/>
  <c r="DS67" i="1"/>
  <c r="DR67" i="1"/>
  <c r="DZ67" i="1"/>
  <c r="DQ67" i="1"/>
  <c r="DX67" i="1"/>
  <c r="H68" i="1"/>
  <c r="DP68" i="1"/>
  <c r="DV75" i="1"/>
  <c r="DS75" i="1"/>
  <c r="DU75" i="1"/>
  <c r="DR75" i="1"/>
  <c r="DZ75" i="1"/>
  <c r="DZ76" i="1"/>
  <c r="DQ76" i="1"/>
  <c r="DX76" i="1"/>
  <c r="DO76" i="1"/>
  <c r="DW76" i="1"/>
  <c r="DY76" i="1"/>
  <c r="DP76" i="1"/>
  <c r="DN76" i="1"/>
  <c r="BH75" i="1"/>
  <c r="DQ66" i="1"/>
  <c r="DR68" i="1"/>
  <c r="DR66" i="1"/>
  <c r="DS68" i="1"/>
  <c r="DU78" i="1"/>
  <c r="BI66" i="1"/>
  <c r="DU77" i="1"/>
  <c r="B60" i="1"/>
  <c r="CX60" i="1"/>
  <c r="CX35" i="1"/>
  <c r="DM35" i="1"/>
  <c r="DU55" i="1"/>
  <c r="DR55" i="1"/>
  <c r="DS55" i="1"/>
  <c r="H55" i="1"/>
  <c r="DW55" i="1"/>
  <c r="DO55" i="1"/>
  <c r="DY55" i="1"/>
  <c r="DV55" i="1"/>
  <c r="DQ55" i="1"/>
  <c r="DP55" i="1"/>
  <c r="DZ55" i="1"/>
  <c r="DN55" i="1"/>
  <c r="DX55" i="1"/>
  <c r="DO60" i="1"/>
  <c r="DR60" i="1"/>
  <c r="DY56" i="1"/>
  <c r="DP56" i="1"/>
  <c r="DW56" i="1"/>
  <c r="DN56" i="1"/>
  <c r="DX56" i="1"/>
  <c r="DO56" i="1"/>
  <c r="H60" i="1"/>
  <c r="DV60" i="1"/>
  <c r="DU60" i="1"/>
  <c r="DS60" i="1"/>
  <c r="DY60" i="1"/>
  <c r="DN60" i="1"/>
  <c r="DZ60" i="1"/>
  <c r="DP60" i="1"/>
  <c r="DQ60" i="1"/>
  <c r="DZ61" i="1"/>
  <c r="DQ61" i="1"/>
  <c r="DY61" i="1"/>
  <c r="DP61" i="1"/>
  <c r="DX61" i="1"/>
  <c r="DO61" i="1"/>
  <c r="DW61" i="1"/>
  <c r="L55" i="1"/>
  <c r="P55" i="1" s="1"/>
  <c r="BF56" i="1"/>
  <c r="DY58" i="1"/>
  <c r="DP58" i="1"/>
  <c r="DW58" i="1"/>
  <c r="DN58" i="1"/>
  <c r="DX58" i="1"/>
  <c r="DO58" i="1"/>
  <c r="DX60" i="1"/>
  <c r="DR61" i="1"/>
  <c r="DU63" i="1"/>
  <c r="DN63" i="1"/>
  <c r="DW63" i="1"/>
  <c r="DX63" i="1"/>
  <c r="DS57" i="1"/>
  <c r="DP63" i="1"/>
  <c r="DY63" i="1"/>
  <c r="DO63" i="1"/>
  <c r="DQ63" i="1"/>
  <c r="DU40" i="1"/>
  <c r="DR40" i="1"/>
  <c r="DS40" i="1"/>
  <c r="H40" i="1"/>
  <c r="DW40" i="1"/>
  <c r="DQ40" i="1"/>
  <c r="DN40" i="1"/>
  <c r="DY40" i="1"/>
  <c r="DX40" i="1"/>
  <c r="DV40" i="1"/>
  <c r="DZ40" i="1"/>
  <c r="DP40" i="1"/>
  <c r="DO40" i="1"/>
  <c r="BF42" i="1"/>
  <c r="B45" i="1"/>
  <c r="H43" i="1"/>
  <c r="DR43" i="1"/>
  <c r="DO45" i="1"/>
  <c r="DZ48" i="1"/>
  <c r="DQ48" i="1"/>
  <c r="DX48" i="1"/>
  <c r="DW48" i="1"/>
  <c r="DY48" i="1"/>
  <c r="DP48" i="1"/>
  <c r="DO48" i="1"/>
  <c r="DN48" i="1"/>
  <c r="L40" i="1"/>
  <c r="P40" i="1" s="1"/>
  <c r="DS43" i="1"/>
  <c r="DP45" i="1"/>
  <c r="DZ46" i="1"/>
  <c r="DQ46" i="1"/>
  <c r="DW46" i="1"/>
  <c r="DN46" i="1"/>
  <c r="DY46" i="1"/>
  <c r="DP46" i="1"/>
  <c r="DX46" i="1"/>
  <c r="DO46" i="1"/>
  <c r="CX45" i="1"/>
  <c r="DN45" i="1"/>
  <c r="DZ45" i="1"/>
  <c r="DY43" i="1"/>
  <c r="DP43" i="1"/>
  <c r="DN43" i="1"/>
  <c r="DX43" i="1"/>
  <c r="DO43" i="1"/>
  <c r="DW43" i="1"/>
  <c r="DV45" i="1"/>
  <c r="DU45" i="1"/>
  <c r="DS45" i="1"/>
  <c r="DY45" i="1"/>
  <c r="DU43" i="1"/>
  <c r="BG45" i="1"/>
  <c r="DR48" i="1"/>
  <c r="DY41" i="1"/>
  <c r="DP41" i="1"/>
  <c r="DN41" i="1"/>
  <c r="DX41" i="1"/>
  <c r="DO41" i="1"/>
  <c r="DW41" i="1"/>
  <c r="DV43" i="1"/>
  <c r="DR45" i="1"/>
  <c r="DS48" i="1"/>
  <c r="DZ43" i="1"/>
  <c r="H45" i="1"/>
  <c r="DW45" i="1"/>
  <c r="DS46" i="1"/>
  <c r="DU48" i="1"/>
  <c r="DU47" i="1"/>
  <c r="BI75" i="1"/>
  <c r="BG66" i="1"/>
  <c r="BI56" i="1"/>
  <c r="BH56" i="1"/>
  <c r="BI41" i="1"/>
  <c r="BG41" i="1"/>
  <c r="BH26" i="1"/>
  <c r="BJ26" i="1"/>
  <c r="BI26" i="1"/>
  <c r="BG26" i="1"/>
  <c r="BF26" i="1"/>
  <c r="BF58" i="1"/>
  <c r="R63" i="1"/>
  <c r="BE63" i="1" s="1"/>
  <c r="BF35" i="1"/>
  <c r="R42" i="1"/>
  <c r="BE42" i="1" s="1"/>
  <c r="R43" i="1"/>
  <c r="BE43" i="1" s="1"/>
  <c r="R107" i="1"/>
  <c r="BG107" i="1"/>
  <c r="R108" i="1"/>
  <c r="BF108" i="1" s="1"/>
  <c r="R28" i="1"/>
  <c r="BE28" i="1" s="1"/>
  <c r="R27" i="1"/>
  <c r="BE27" i="1" s="1"/>
  <c r="R112" i="1"/>
  <c r="BF112" i="1" s="1"/>
  <c r="R113" i="1"/>
  <c r="BF113" i="1" s="1"/>
  <c r="R76" i="1"/>
  <c r="BE76" i="1" s="1"/>
  <c r="BF100" i="1"/>
  <c r="R36" i="1"/>
  <c r="BE36" i="1" s="1"/>
  <c r="BF36" i="1"/>
  <c r="R127" i="1"/>
  <c r="R56" i="1"/>
  <c r="BE56" i="1" s="1"/>
  <c r="R86" i="1"/>
  <c r="BE86" i="1" s="1"/>
  <c r="BF86" i="1"/>
  <c r="R46" i="1"/>
  <c r="BE46" i="1" s="1"/>
  <c r="R82" i="1"/>
  <c r="BE82" i="1" s="1"/>
  <c r="R83" i="1"/>
  <c r="BF83" i="1" s="1"/>
  <c r="R67" i="1"/>
  <c r="BE67" i="1" s="1"/>
  <c r="BF67" i="1"/>
  <c r="R68" i="1"/>
  <c r="BE68" i="1" s="1"/>
  <c r="R101" i="1"/>
  <c r="BF101" i="1" s="1"/>
  <c r="R93" i="1"/>
  <c r="BE93" i="1" s="1"/>
  <c r="BG93" i="1"/>
  <c r="R122" i="1"/>
  <c r="BE122" i="1" s="1"/>
  <c r="R123" i="1"/>
  <c r="BE123" i="1" s="1"/>
  <c r="R103" i="1"/>
  <c r="BE103" i="1" s="1"/>
  <c r="R102" i="1"/>
  <c r="BE102" i="1" s="1"/>
  <c r="R87" i="1"/>
  <c r="BE87" i="1" s="1"/>
  <c r="BF87" i="1"/>
  <c r="R88" i="1"/>
  <c r="BE88" i="1" s="1"/>
  <c r="BF68" i="1"/>
  <c r="R58" i="1"/>
  <c r="BE58" i="1" s="1"/>
  <c r="R57" i="1"/>
  <c r="BE57" i="1" s="1"/>
  <c r="R48" i="1"/>
  <c r="BE48" i="1" s="1"/>
  <c r="R47" i="1"/>
  <c r="BE47" i="1" s="1"/>
  <c r="R37" i="1"/>
  <c r="BE37" i="1" s="1"/>
  <c r="BF37" i="1"/>
  <c r="R38" i="1"/>
  <c r="BE38" i="1" s="1"/>
  <c r="BF38" i="1"/>
  <c r="R128" i="1"/>
  <c r="BE128" i="1" s="1"/>
  <c r="R129" i="1"/>
  <c r="BE129" i="1" s="1"/>
  <c r="R77" i="1"/>
  <c r="R78" i="1"/>
  <c r="BE78" i="1" s="1"/>
  <c r="BF103" i="1"/>
  <c r="BF77" i="1"/>
  <c r="BF93" i="1"/>
  <c r="BG91" i="1"/>
  <c r="BE90" i="1"/>
  <c r="BG110" i="1"/>
  <c r="BF121" i="1"/>
  <c r="BF105" i="1"/>
  <c r="BG75" i="1" l="1"/>
  <c r="CH121" i="1"/>
  <c r="BF75" i="1"/>
  <c r="BG60" i="1"/>
  <c r="BG90" i="1"/>
  <c r="BQ90" i="1" s="1"/>
  <c r="BR90" i="1" s="1"/>
  <c r="BG100" i="1"/>
  <c r="BQ100" i="1" s="1"/>
  <c r="BF92" i="1"/>
  <c r="BQ92" i="1" s="1"/>
  <c r="BX92" i="1" s="1"/>
  <c r="BE83" i="1"/>
  <c r="BQ83" i="1" s="1"/>
  <c r="BG105" i="1"/>
  <c r="BQ105" i="1" s="1"/>
  <c r="BG108" i="1"/>
  <c r="BF43" i="1"/>
  <c r="BQ43" i="1" s="1"/>
  <c r="BF28" i="1"/>
  <c r="BQ28" i="1" s="1"/>
  <c r="BS28" i="1" s="1"/>
  <c r="BG27" i="1"/>
  <c r="DI105" i="1"/>
  <c r="DA110" i="1"/>
  <c r="BE101" i="1"/>
  <c r="BQ101" i="1" s="1"/>
  <c r="BX101" i="1" s="1"/>
  <c r="AJ18" i="1"/>
  <c r="CD71" i="1"/>
  <c r="CE71" i="1" s="1"/>
  <c r="CF71" i="1" s="1"/>
  <c r="CD72" i="1"/>
  <c r="CE72" i="1" s="1"/>
  <c r="CF72" i="1" s="1"/>
  <c r="CD73" i="1"/>
  <c r="CE73" i="1" s="1"/>
  <c r="CF73" i="1" s="1"/>
  <c r="CD70" i="1"/>
  <c r="CE70" i="1" s="1"/>
  <c r="CF70" i="1" s="1"/>
  <c r="DB85" i="1"/>
  <c r="DJ110" i="1"/>
  <c r="CH66" i="1"/>
  <c r="DH126" i="1"/>
  <c r="CH40" i="1"/>
  <c r="DK126" i="1"/>
  <c r="CF91" i="3"/>
  <c r="DB80" i="1"/>
  <c r="DI100" i="1"/>
  <c r="DK100" i="1"/>
  <c r="AV106" i="1"/>
  <c r="BG120" i="1"/>
  <c r="BU93" i="3"/>
  <c r="DA85" i="1"/>
  <c r="DA100" i="1"/>
  <c r="DC105" i="1"/>
  <c r="CD42" i="3"/>
  <c r="CE42" i="3" s="1"/>
  <c r="CF42" i="3" s="1"/>
  <c r="CD93" i="3"/>
  <c r="CE93" i="3" s="1"/>
  <c r="CF93" i="3" s="1"/>
  <c r="BG122" i="1"/>
  <c r="BE120" i="1"/>
  <c r="CH105" i="1"/>
  <c r="BG112" i="1"/>
  <c r="CH61" i="1"/>
  <c r="DD100" i="1"/>
  <c r="DH120" i="1"/>
  <c r="BF120" i="1"/>
  <c r="DC65" i="1"/>
  <c r="AV112" i="1"/>
  <c r="AV111" i="1"/>
  <c r="BK111" i="1" s="1"/>
  <c r="CA111" i="1" s="1"/>
  <c r="DI126" i="1"/>
  <c r="DA65" i="1"/>
  <c r="CZ126" i="1"/>
  <c r="BE60" i="1"/>
  <c r="BF25" i="1"/>
  <c r="BQ25" i="1" s="1"/>
  <c r="BX25" i="1" s="1"/>
  <c r="DA126" i="1"/>
  <c r="DD120" i="1"/>
  <c r="DA120" i="1"/>
  <c r="CZ80" i="1"/>
  <c r="BY92" i="3"/>
  <c r="BY50" i="3"/>
  <c r="BY40" i="3"/>
  <c r="BY25" i="3"/>
  <c r="BY86" i="3"/>
  <c r="CD67" i="3"/>
  <c r="CE67" i="3" s="1"/>
  <c r="CF67" i="3" s="1"/>
  <c r="BY42" i="3"/>
  <c r="BY97" i="3"/>
  <c r="CF50" i="3"/>
  <c r="CD92" i="3"/>
  <c r="CE92" i="3" s="1"/>
  <c r="CF92" i="3" s="1"/>
  <c r="CD107" i="3"/>
  <c r="CE107" i="3" s="1"/>
  <c r="CF107" i="3" s="1"/>
  <c r="BY105" i="3"/>
  <c r="CD96" i="3"/>
  <c r="CE96" i="3" s="1"/>
  <c r="CF96" i="3" s="1"/>
  <c r="CD90" i="3"/>
  <c r="CE90" i="3" s="1"/>
  <c r="CF90" i="3" s="1"/>
  <c r="BY90" i="3"/>
  <c r="BY45" i="3"/>
  <c r="BY107" i="3"/>
  <c r="BY47" i="3"/>
  <c r="CD56" i="3"/>
  <c r="CE56" i="3" s="1"/>
  <c r="CF56" i="3" s="1"/>
  <c r="CD86" i="3"/>
  <c r="CE86" i="3" s="1"/>
  <c r="CF86" i="3" s="1"/>
  <c r="CD95" i="3"/>
  <c r="CE95" i="3" s="1"/>
  <c r="CF95" i="3" s="1"/>
  <c r="CD97" i="3"/>
  <c r="CE97" i="3" s="1"/>
  <c r="CF97" i="3" s="1"/>
  <c r="CD101" i="3"/>
  <c r="CE101" i="3" s="1"/>
  <c r="CF101" i="3" s="1"/>
  <c r="CD47" i="3"/>
  <c r="CE47" i="3" s="1"/>
  <c r="CF47" i="3" s="1"/>
  <c r="CD80" i="3"/>
  <c r="CE80" i="3" s="1"/>
  <c r="CF80" i="3" s="1"/>
  <c r="CF82" i="3"/>
  <c r="CD105" i="3"/>
  <c r="CE105" i="3" s="1"/>
  <c r="CF105" i="3" s="1"/>
  <c r="CF77" i="3"/>
  <c r="CD100" i="3"/>
  <c r="CE100" i="3" s="1"/>
  <c r="CF100" i="3" s="1"/>
  <c r="CF112" i="3"/>
  <c r="CD45" i="3"/>
  <c r="CE45" i="3" s="1"/>
  <c r="CF45" i="3" s="1"/>
  <c r="BF123" i="1"/>
  <c r="CH42" i="1"/>
  <c r="CH82" i="1"/>
  <c r="DF120" i="1"/>
  <c r="DG120" i="1"/>
  <c r="DG110" i="1"/>
  <c r="CY100" i="1"/>
  <c r="AV87" i="1"/>
  <c r="BK87" i="1" s="1"/>
  <c r="CB87" i="1" s="1"/>
  <c r="CC87" i="1" s="1"/>
  <c r="DD75" i="1"/>
  <c r="DC80" i="1"/>
  <c r="CH126" i="1"/>
  <c r="CH123" i="1"/>
  <c r="CH111" i="1"/>
  <c r="CH102" i="1"/>
  <c r="CH90" i="1"/>
  <c r="CH86" i="1"/>
  <c r="CH56" i="1"/>
  <c r="CH55" i="1"/>
  <c r="CH35" i="1"/>
  <c r="CH27" i="1"/>
  <c r="CH25" i="1"/>
  <c r="DC110" i="1"/>
  <c r="DG105" i="1"/>
  <c r="DK105" i="1"/>
  <c r="DJ85" i="1"/>
  <c r="DJ40" i="1"/>
  <c r="DJ35" i="1"/>
  <c r="DB25" i="1"/>
  <c r="CH113" i="1"/>
  <c r="AV128" i="1"/>
  <c r="BK128" i="1" s="1"/>
  <c r="CA128" i="1" s="1"/>
  <c r="AV122" i="1"/>
  <c r="AV85" i="1"/>
  <c r="BK85" i="1" s="1"/>
  <c r="CA85" i="1" s="1"/>
  <c r="DD105" i="1"/>
  <c r="DJ105" i="1"/>
  <c r="DC120" i="1"/>
  <c r="DJ126" i="1"/>
  <c r="DJ120" i="1"/>
  <c r="AV57" i="1"/>
  <c r="DJ80" i="1"/>
  <c r="DB45" i="1"/>
  <c r="DB60" i="1"/>
  <c r="DB55" i="1"/>
  <c r="DI75" i="1"/>
  <c r="DB35" i="1"/>
  <c r="DI110" i="1"/>
  <c r="DB126" i="1"/>
  <c r="DI65" i="1"/>
  <c r="AV43" i="1"/>
  <c r="AV58" i="1"/>
  <c r="BK58" i="1" s="1"/>
  <c r="CA58" i="1" s="1"/>
  <c r="DG65" i="1"/>
  <c r="AV65" i="1"/>
  <c r="BK65" i="1" s="1"/>
  <c r="CA65" i="1" s="1"/>
  <c r="BE108" i="1"/>
  <c r="CH107" i="1"/>
  <c r="DK55" i="1"/>
  <c r="DA75" i="1"/>
  <c r="DA35" i="1"/>
  <c r="AV78" i="1"/>
  <c r="BK78" i="1" s="1"/>
  <c r="BL78" i="1" s="1"/>
  <c r="BM78" i="1" s="1"/>
  <c r="BN78" i="1" s="1"/>
  <c r="BO78" i="1" s="1"/>
  <c r="CY80" i="1"/>
  <c r="DH80" i="1"/>
  <c r="DK85" i="1"/>
  <c r="DD85" i="1"/>
  <c r="AV88" i="1"/>
  <c r="BK88" i="1" s="1"/>
  <c r="CA88" i="1" s="1"/>
  <c r="BF106" i="1"/>
  <c r="DK90" i="1"/>
  <c r="DK110" i="1"/>
  <c r="DD110" i="1"/>
  <c r="DK120" i="1"/>
  <c r="DF126" i="1"/>
  <c r="DH55" i="1"/>
  <c r="DC35" i="1"/>
  <c r="DC45" i="1"/>
  <c r="DC60" i="1"/>
  <c r="DC85" i="1"/>
  <c r="DJ60" i="1"/>
  <c r="CH128" i="1"/>
  <c r="BF27" i="1"/>
  <c r="DD60" i="1"/>
  <c r="CH81" i="1"/>
  <c r="CH85" i="1"/>
  <c r="CH91" i="1"/>
  <c r="DB105" i="1"/>
  <c r="CY110" i="1"/>
  <c r="DB120" i="1"/>
  <c r="CZ100" i="1"/>
  <c r="DG126" i="1"/>
  <c r="DG85" i="1"/>
  <c r="DK45" i="1"/>
  <c r="CH122" i="1"/>
  <c r="BE55" i="1"/>
  <c r="BQ55" i="1" s="1"/>
  <c r="DJ65" i="1"/>
  <c r="CH38" i="1"/>
  <c r="AV107" i="1"/>
  <c r="CZ105" i="1"/>
  <c r="DF85" i="1"/>
  <c r="DG75" i="1"/>
  <c r="AV60" i="1"/>
  <c r="DF60" i="1"/>
  <c r="AV28" i="1"/>
  <c r="BK28" i="1" s="1"/>
  <c r="DC126" i="1"/>
  <c r="AV91" i="1"/>
  <c r="BK91" i="1" s="1"/>
  <c r="DI35" i="1"/>
  <c r="DB40" i="1"/>
  <c r="DI80" i="1"/>
  <c r="DI40" i="1"/>
  <c r="DI45" i="1"/>
  <c r="DA40" i="1"/>
  <c r="DA55" i="1"/>
  <c r="DH75" i="1"/>
  <c r="DA25" i="1"/>
  <c r="DH25" i="1"/>
  <c r="DH35" i="1"/>
  <c r="DA80" i="1"/>
  <c r="DA90" i="1"/>
  <c r="DH100" i="1"/>
  <c r="DH105" i="1"/>
  <c r="DH40" i="1"/>
  <c r="DH60" i="1"/>
  <c r="DG45" i="1"/>
  <c r="DG80" i="1"/>
  <c r="CZ90" i="1"/>
  <c r="CZ110" i="1"/>
  <c r="DG60" i="1"/>
  <c r="CY105" i="1"/>
  <c r="BQ126" i="1"/>
  <c r="BW126" i="1" s="1"/>
  <c r="DF65" i="1"/>
  <c r="BF122" i="1"/>
  <c r="AV129" i="1"/>
  <c r="BK129" i="1" s="1"/>
  <c r="AV127" i="1"/>
  <c r="AV126" i="1"/>
  <c r="BK126" i="1" s="1"/>
  <c r="BL126" i="1" s="1"/>
  <c r="BM126" i="1" s="1"/>
  <c r="BN126" i="1" s="1"/>
  <c r="BO126" i="1" s="1"/>
  <c r="DF110" i="1"/>
  <c r="DF105" i="1"/>
  <c r="CY85" i="1"/>
  <c r="DF80" i="1"/>
  <c r="AV80" i="1"/>
  <c r="BK80" i="1" s="1"/>
  <c r="DF75" i="1"/>
  <c r="AV62" i="1"/>
  <c r="BK62" i="1" s="1"/>
  <c r="CY60" i="1"/>
  <c r="DG55" i="1"/>
  <c r="CY40" i="1"/>
  <c r="DF40" i="1"/>
  <c r="AV37" i="1"/>
  <c r="BK37" i="1" s="1"/>
  <c r="CB37" i="1" s="1"/>
  <c r="CC37" i="1" s="1"/>
  <c r="DF35" i="1"/>
  <c r="DD25" i="1"/>
  <c r="DD126" i="1"/>
  <c r="AV48" i="1"/>
  <c r="BK48" i="1" s="1"/>
  <c r="CB48" i="1" s="1"/>
  <c r="CC48" i="1" s="1"/>
  <c r="AV75" i="1"/>
  <c r="AV83" i="1"/>
  <c r="DK80" i="1"/>
  <c r="AV76" i="1"/>
  <c r="AV86" i="1"/>
  <c r="BK86" i="1" s="1"/>
  <c r="DD90" i="1"/>
  <c r="DD55" i="1"/>
  <c r="DK75" i="1"/>
  <c r="DK40" i="1"/>
  <c r="DJ45" i="1"/>
  <c r="AV27" i="1"/>
  <c r="AV40" i="1"/>
  <c r="BK40" i="1" s="1"/>
  <c r="DJ90" i="1"/>
  <c r="BQ102" i="1"/>
  <c r="BW102" i="1" s="1"/>
  <c r="DC75" i="1"/>
  <c r="DJ75" i="1"/>
  <c r="DB90" i="1"/>
  <c r="DI90" i="1"/>
  <c r="BQ63" i="1"/>
  <c r="BT63" i="1" s="1"/>
  <c r="AV66" i="1"/>
  <c r="BK66" i="1" s="1"/>
  <c r="BL66" i="1" s="1"/>
  <c r="BM66" i="1" s="1"/>
  <c r="BN66" i="1" s="1"/>
  <c r="BO66" i="1" s="1"/>
  <c r="AV92" i="1"/>
  <c r="AV93" i="1"/>
  <c r="BK93" i="1" s="1"/>
  <c r="DI60" i="1"/>
  <c r="AV36" i="1"/>
  <c r="BK36" i="1" s="1"/>
  <c r="AV46" i="1"/>
  <c r="BK46" i="1" s="1"/>
  <c r="AV47" i="1"/>
  <c r="BK47" i="1" s="1"/>
  <c r="AV81" i="1"/>
  <c r="BK81" i="1" s="1"/>
  <c r="AV55" i="1"/>
  <c r="AV101" i="1"/>
  <c r="AV103" i="1"/>
  <c r="BK103" i="1" s="1"/>
  <c r="AV113" i="1"/>
  <c r="BQ66" i="1"/>
  <c r="BX66" i="1" s="1"/>
  <c r="AV110" i="1"/>
  <c r="DH110" i="1"/>
  <c r="AV108" i="1"/>
  <c r="DG35" i="1"/>
  <c r="AV105" i="1"/>
  <c r="AV63" i="1"/>
  <c r="BK63" i="1" s="1"/>
  <c r="DG90" i="1"/>
  <c r="CZ60" i="1"/>
  <c r="BQ48" i="1"/>
  <c r="BW48" i="1" s="1"/>
  <c r="BQ82" i="1"/>
  <c r="BW82" i="1" s="1"/>
  <c r="AV82" i="1"/>
  <c r="BK82" i="1" s="1"/>
  <c r="AV121" i="1"/>
  <c r="BK121" i="1" s="1"/>
  <c r="AV102" i="1"/>
  <c r="BK102" i="1" s="1"/>
  <c r="AV100" i="1"/>
  <c r="DG100" i="1"/>
  <c r="AV68" i="1"/>
  <c r="BK68" i="1" s="1"/>
  <c r="BQ37" i="1"/>
  <c r="BV37" i="1" s="1"/>
  <c r="AV45" i="1"/>
  <c r="BK45" i="1" s="1"/>
  <c r="DF25" i="1"/>
  <c r="AV77" i="1"/>
  <c r="AV120" i="1"/>
  <c r="AV90" i="1"/>
  <c r="AV67" i="1"/>
  <c r="BK67" i="1" s="1"/>
  <c r="DF90" i="1"/>
  <c r="BQ88" i="1"/>
  <c r="BX88" i="1" s="1"/>
  <c r="DF55" i="1"/>
  <c r="BQ121" i="1"/>
  <c r="BX121" i="1" s="1"/>
  <c r="BE112" i="1"/>
  <c r="CH112" i="1"/>
  <c r="BQ111" i="1"/>
  <c r="BW111" i="1" s="1"/>
  <c r="CH129" i="1"/>
  <c r="BE113" i="1"/>
  <c r="BE110" i="1"/>
  <c r="CH108" i="1"/>
  <c r="BE107" i="1"/>
  <c r="BE106" i="1"/>
  <c r="CH106" i="1"/>
  <c r="CH103" i="1"/>
  <c r="CH101" i="1"/>
  <c r="CH100" i="1"/>
  <c r="CH93" i="1"/>
  <c r="BQ91" i="1"/>
  <c r="BV91" i="1" s="1"/>
  <c r="CH88" i="1"/>
  <c r="CH83" i="1"/>
  <c r="CH80" i="1"/>
  <c r="CH78" i="1"/>
  <c r="BQ78" i="1"/>
  <c r="BX78" i="1" s="1"/>
  <c r="BF76" i="1"/>
  <c r="BQ76" i="1" s="1"/>
  <c r="CH76" i="1"/>
  <c r="CH75" i="1"/>
  <c r="CH67" i="1"/>
  <c r="BQ65" i="1"/>
  <c r="BR65" i="1" s="1"/>
  <c r="CH65" i="1"/>
  <c r="CH63" i="1"/>
  <c r="BQ61" i="1"/>
  <c r="BT61" i="1" s="1"/>
  <c r="CH60" i="1"/>
  <c r="CH58" i="1"/>
  <c r="CH57" i="1"/>
  <c r="BF57" i="1"/>
  <c r="CH48" i="1"/>
  <c r="CH47" i="1"/>
  <c r="CH46" i="1"/>
  <c r="BQ45" i="1"/>
  <c r="BX45" i="1" s="1"/>
  <c r="CH45" i="1"/>
  <c r="CH43" i="1"/>
  <c r="CH41" i="1"/>
  <c r="CH36" i="1"/>
  <c r="BQ36" i="1"/>
  <c r="BW36" i="1" s="1"/>
  <c r="CH28" i="1"/>
  <c r="CH26" i="1"/>
  <c r="CY126" i="1"/>
  <c r="CZ120" i="1"/>
  <c r="DI120" i="1"/>
  <c r="CY120" i="1"/>
  <c r="DB110" i="1"/>
  <c r="DA105" i="1"/>
  <c r="DB100" i="1"/>
  <c r="DJ100" i="1"/>
  <c r="DF100" i="1"/>
  <c r="CY90" i="1"/>
  <c r="DH90" i="1"/>
  <c r="DC90" i="1"/>
  <c r="DH85" i="1"/>
  <c r="CZ85" i="1"/>
  <c r="DI85" i="1"/>
  <c r="DD80" i="1"/>
  <c r="DB75" i="1"/>
  <c r="CY75" i="1"/>
  <c r="CZ75" i="1"/>
  <c r="CY65" i="1"/>
  <c r="DD65" i="1"/>
  <c r="CZ65" i="1"/>
  <c r="DH65" i="1"/>
  <c r="DB65" i="1"/>
  <c r="DA60" i="1"/>
  <c r="DK60" i="1"/>
  <c r="DJ55" i="1"/>
  <c r="DC55" i="1"/>
  <c r="DH45" i="1"/>
  <c r="DD45" i="1"/>
  <c r="DF45" i="1"/>
  <c r="CY45" i="1"/>
  <c r="DD40" i="1"/>
  <c r="DG40" i="1"/>
  <c r="CZ40" i="1"/>
  <c r="DK35" i="1"/>
  <c r="DD35" i="1"/>
  <c r="CZ35" i="1"/>
  <c r="DI25" i="1"/>
  <c r="DC25" i="1"/>
  <c r="DG25" i="1"/>
  <c r="BQ81" i="1"/>
  <c r="BQ46" i="1"/>
  <c r="BQ85" i="1"/>
  <c r="BQ80" i="1"/>
  <c r="BQ40" i="1"/>
  <c r="BQ129" i="1"/>
  <c r="BQ68" i="1"/>
  <c r="BQ58" i="1"/>
  <c r="BQ128" i="1"/>
  <c r="BQ87" i="1"/>
  <c r="BQ62" i="1"/>
  <c r="BQ47" i="1"/>
  <c r="CH120" i="1"/>
  <c r="CH68" i="1"/>
  <c r="CH87" i="1"/>
  <c r="CH37" i="1"/>
  <c r="BE77" i="1"/>
  <c r="CH127" i="1"/>
  <c r="BE127" i="1"/>
  <c r="BQ86" i="1"/>
  <c r="CH77" i="1"/>
  <c r="DI55" i="1"/>
  <c r="AV56" i="1"/>
  <c r="BQ56" i="1"/>
  <c r="BQ67" i="1"/>
  <c r="BQ103" i="1"/>
  <c r="BQ93" i="1"/>
  <c r="AV35" i="1"/>
  <c r="BK35" i="1" s="1"/>
  <c r="BQ35" i="1"/>
  <c r="AV38" i="1"/>
  <c r="BQ38" i="1"/>
  <c r="AV26" i="1"/>
  <c r="BK26" i="1" s="1"/>
  <c r="BQ26" i="1"/>
  <c r="BQ41" i="1"/>
  <c r="DC40" i="1"/>
  <c r="AV42" i="1"/>
  <c r="BK42" i="1" s="1"/>
  <c r="BQ42" i="1"/>
  <c r="DJ25" i="1"/>
  <c r="CY25" i="1"/>
  <c r="CZ25" i="1"/>
  <c r="CY55" i="1"/>
  <c r="CZ55" i="1"/>
  <c r="CZ45" i="1"/>
  <c r="DA45" i="1"/>
  <c r="AV41" i="1"/>
  <c r="BK41" i="1" s="1"/>
  <c r="AV123" i="1"/>
  <c r="BF107" i="1"/>
  <c r="DK65" i="1"/>
  <c r="AV25" i="1"/>
  <c r="CY35" i="1"/>
  <c r="DK25" i="1"/>
  <c r="AV61" i="1"/>
  <c r="DC100" i="1"/>
  <c r="BU105" i="1" l="1"/>
  <c r="BQ108" i="1"/>
  <c r="BV108" i="1" s="1"/>
  <c r="BK100" i="1"/>
  <c r="BL100" i="1" s="1"/>
  <c r="BM100" i="1" s="1"/>
  <c r="BN100" i="1" s="1"/>
  <c r="BO100" i="1" s="1"/>
  <c r="BK90" i="1"/>
  <c r="BL90" i="1" s="1"/>
  <c r="BM90" i="1" s="1"/>
  <c r="BN90" i="1" s="1"/>
  <c r="BO90" i="1" s="1"/>
  <c r="BQ75" i="1"/>
  <c r="BW75" i="1" s="1"/>
  <c r="BK75" i="1"/>
  <c r="AX75" i="1" s="1"/>
  <c r="BD75" i="1" s="1"/>
  <c r="BQ60" i="1"/>
  <c r="BT60" i="1" s="1"/>
  <c r="BK43" i="1"/>
  <c r="CB43" i="1" s="1"/>
  <c r="CC43" i="1" s="1"/>
  <c r="BK83" i="1"/>
  <c r="CA83" i="1" s="1"/>
  <c r="BK92" i="1"/>
  <c r="AX92" i="1" s="1"/>
  <c r="BD92" i="1" s="1"/>
  <c r="BQ27" i="1"/>
  <c r="BU27" i="1" s="1"/>
  <c r="BQ120" i="1"/>
  <c r="BW120" i="1" s="1"/>
  <c r="BK101" i="1"/>
  <c r="CB101" i="1" s="1"/>
  <c r="CC101" i="1" s="1"/>
  <c r="BQ71" i="1"/>
  <c r="BQ73" i="1"/>
  <c r="BQ70" i="1"/>
  <c r="BQ72" i="1"/>
  <c r="BQ112" i="1"/>
  <c r="BV112" i="1" s="1"/>
  <c r="BK120" i="1"/>
  <c r="BL120" i="1" s="1"/>
  <c r="BM120" i="1" s="1"/>
  <c r="BN120" i="1" s="1"/>
  <c r="BO120" i="1" s="1"/>
  <c r="BK123" i="1"/>
  <c r="BQ123" i="1" s="1"/>
  <c r="BK60" i="1"/>
  <c r="CB60" i="1" s="1"/>
  <c r="CC60" i="1" s="1"/>
  <c r="BQ106" i="1"/>
  <c r="BS106" i="1" s="1"/>
  <c r="BK108" i="1"/>
  <c r="CA108" i="1" s="1"/>
  <c r="BK106" i="1"/>
  <c r="CA106" i="1" s="1"/>
  <c r="BK27" i="1"/>
  <c r="CA27" i="1" s="1"/>
  <c r="BK122" i="1"/>
  <c r="BL122" i="1" s="1"/>
  <c r="BM122" i="1" s="1"/>
  <c r="BN122" i="1" s="1"/>
  <c r="BO122" i="1" s="1"/>
  <c r="BK57" i="1"/>
  <c r="CB57" i="1" s="1"/>
  <c r="CC57" i="1" s="1"/>
  <c r="AX87" i="1"/>
  <c r="BD87" i="1" s="1"/>
  <c r="BQ122" i="1"/>
  <c r="BV122" i="1" s="1"/>
  <c r="BK55" i="1"/>
  <c r="AX55" i="1" s="1"/>
  <c r="BD55" i="1" s="1"/>
  <c r="BR126" i="1"/>
  <c r="BX126" i="1"/>
  <c r="BS126" i="1"/>
  <c r="BT126" i="1"/>
  <c r="BV126" i="1"/>
  <c r="BU126" i="1"/>
  <c r="BK113" i="1"/>
  <c r="CA113" i="1" s="1"/>
  <c r="BK110" i="1"/>
  <c r="CA110" i="1" s="1"/>
  <c r="BK112" i="1"/>
  <c r="AX112" i="1" s="1"/>
  <c r="BD112" i="1" s="1"/>
  <c r="CA126" i="1"/>
  <c r="CB126" i="1"/>
  <c r="CC126" i="1" s="1"/>
  <c r="AX126" i="1"/>
  <c r="BD126" i="1" s="1"/>
  <c r="CA121" i="1"/>
  <c r="BL121" i="1"/>
  <c r="BM121" i="1" s="1"/>
  <c r="BN121" i="1" s="1"/>
  <c r="BO121" i="1" s="1"/>
  <c r="BR111" i="1"/>
  <c r="BV111" i="1"/>
  <c r="BL111" i="1"/>
  <c r="BM111" i="1" s="1"/>
  <c r="BN111" i="1" s="1"/>
  <c r="BO111" i="1" s="1"/>
  <c r="BS111" i="1"/>
  <c r="BX102" i="1"/>
  <c r="BR102" i="1"/>
  <c r="BT102" i="1"/>
  <c r="BV102" i="1"/>
  <c r="BS102" i="1"/>
  <c r="BU102" i="1"/>
  <c r="BV92" i="1"/>
  <c r="BU92" i="1"/>
  <c r="BR92" i="1"/>
  <c r="BW92" i="1"/>
  <c r="BS92" i="1"/>
  <c r="BT92" i="1"/>
  <c r="BW90" i="1"/>
  <c r="BV90" i="1"/>
  <c r="BT90" i="1"/>
  <c r="BS90" i="1"/>
  <c r="BX90" i="1"/>
  <c r="BU90" i="1"/>
  <c r="BT88" i="1"/>
  <c r="BU88" i="1"/>
  <c r="BV88" i="1"/>
  <c r="BS88" i="1"/>
  <c r="BL87" i="1"/>
  <c r="BM87" i="1" s="1"/>
  <c r="BN87" i="1" s="1"/>
  <c r="BO87" i="1" s="1"/>
  <c r="CA87" i="1"/>
  <c r="CD87" i="1" s="1"/>
  <c r="CE87" i="1" s="1"/>
  <c r="CB86" i="1"/>
  <c r="CC86" i="1" s="1"/>
  <c r="CA86" i="1"/>
  <c r="BV82" i="1"/>
  <c r="BU82" i="1"/>
  <c r="BR82" i="1"/>
  <c r="AX82" i="1"/>
  <c r="BD82" i="1" s="1"/>
  <c r="BL82" i="1"/>
  <c r="BM82" i="1" s="1"/>
  <c r="BN82" i="1" s="1"/>
  <c r="BO82" i="1" s="1"/>
  <c r="CA82" i="1"/>
  <c r="BS82" i="1"/>
  <c r="BT82" i="1"/>
  <c r="CB81" i="1"/>
  <c r="CC81" i="1" s="1"/>
  <c r="BL81" i="1"/>
  <c r="BM81" i="1" s="1"/>
  <c r="BN81" i="1" s="1"/>
  <c r="BO81" i="1" s="1"/>
  <c r="CA81" i="1"/>
  <c r="AX81" i="1"/>
  <c r="BD81" i="1" s="1"/>
  <c r="CB80" i="1"/>
  <c r="CC80" i="1" s="1"/>
  <c r="BL80" i="1"/>
  <c r="BM80" i="1" s="1"/>
  <c r="BN80" i="1" s="1"/>
  <c r="BO80" i="1" s="1"/>
  <c r="CA80" i="1"/>
  <c r="BS66" i="1"/>
  <c r="BR66" i="1"/>
  <c r="BV66" i="1"/>
  <c r="BT66" i="1"/>
  <c r="BU66" i="1"/>
  <c r="BW66" i="1"/>
  <c r="BR63" i="1"/>
  <c r="BW63" i="1"/>
  <c r="BV63" i="1"/>
  <c r="BU63" i="1"/>
  <c r="BS63" i="1"/>
  <c r="BX63" i="1"/>
  <c r="BL58" i="1"/>
  <c r="BM58" i="1" s="1"/>
  <c r="BN58" i="1" s="1"/>
  <c r="BO58" i="1" s="1"/>
  <c r="BQ57" i="1"/>
  <c r="BR57" i="1" s="1"/>
  <c r="BT48" i="1"/>
  <c r="BV48" i="1"/>
  <c r="BU48" i="1"/>
  <c r="BR48" i="1"/>
  <c r="BS48" i="1"/>
  <c r="BX48" i="1"/>
  <c r="CB47" i="1"/>
  <c r="CC47" i="1" s="1"/>
  <c r="BL47" i="1"/>
  <c r="BM47" i="1" s="1"/>
  <c r="BN47" i="1" s="1"/>
  <c r="BO47" i="1" s="1"/>
  <c r="AX47" i="1"/>
  <c r="BD47" i="1" s="1"/>
  <c r="CA47" i="1"/>
  <c r="BR45" i="1"/>
  <c r="BT45" i="1"/>
  <c r="BW37" i="1"/>
  <c r="BU37" i="1"/>
  <c r="BR37" i="1"/>
  <c r="BT37" i="1"/>
  <c r="BS37" i="1"/>
  <c r="BX37" i="1"/>
  <c r="BU28" i="1"/>
  <c r="BX28" i="1"/>
  <c r="BR28" i="1"/>
  <c r="BW28" i="1"/>
  <c r="BV28" i="1"/>
  <c r="BT28" i="1"/>
  <c r="CB102" i="1"/>
  <c r="CC102" i="1" s="1"/>
  <c r="AX102" i="1"/>
  <c r="BD102" i="1" s="1"/>
  <c r="CA102" i="1"/>
  <c r="BL102" i="1"/>
  <c r="BM102" i="1" s="1"/>
  <c r="BN102" i="1" s="1"/>
  <c r="BO102" i="1" s="1"/>
  <c r="BT91" i="1"/>
  <c r="BV105" i="1"/>
  <c r="BT105" i="1"/>
  <c r="BK105" i="1"/>
  <c r="BR105" i="1"/>
  <c r="CA66" i="1"/>
  <c r="BS101" i="1"/>
  <c r="BS105" i="1"/>
  <c r="CB66" i="1"/>
  <c r="CC66" i="1" s="1"/>
  <c r="BX82" i="1"/>
  <c r="BX65" i="1"/>
  <c r="BW105" i="1"/>
  <c r="BT121" i="1"/>
  <c r="BX105" i="1"/>
  <c r="CA78" i="1"/>
  <c r="BV78" i="1"/>
  <c r="BW121" i="1"/>
  <c r="AX78" i="1"/>
  <c r="BD78" i="1" s="1"/>
  <c r="BT78" i="1"/>
  <c r="BV121" i="1"/>
  <c r="CB78" i="1"/>
  <c r="CC78" i="1" s="1"/>
  <c r="BW78" i="1"/>
  <c r="BR88" i="1"/>
  <c r="AX66" i="1"/>
  <c r="BD66" i="1" s="1"/>
  <c r="BU78" i="1"/>
  <c r="AX80" i="1"/>
  <c r="BD80" i="1" s="1"/>
  <c r="BR78" i="1"/>
  <c r="BS78" i="1"/>
  <c r="BU121" i="1"/>
  <c r="BS25" i="1"/>
  <c r="AX121" i="1"/>
  <c r="BD121" i="1" s="1"/>
  <c r="BT36" i="1"/>
  <c r="BR25" i="1"/>
  <c r="CB121" i="1"/>
  <c r="CC121" i="1" s="1"/>
  <c r="BR36" i="1"/>
  <c r="BT25" i="1"/>
  <c r="BV25" i="1"/>
  <c r="BU36" i="1"/>
  <c r="BU25" i="1"/>
  <c r="CB82" i="1"/>
  <c r="CC82" i="1" s="1"/>
  <c r="BW25" i="1"/>
  <c r="BL45" i="1"/>
  <c r="BM45" i="1" s="1"/>
  <c r="BN45" i="1" s="1"/>
  <c r="BO45" i="1" s="1"/>
  <c r="CA45" i="1"/>
  <c r="AX45" i="1"/>
  <c r="BD45" i="1" s="1"/>
  <c r="AX68" i="1"/>
  <c r="BD68" i="1" s="1"/>
  <c r="BL68" i="1"/>
  <c r="BM68" i="1" s="1"/>
  <c r="BN68" i="1" s="1"/>
  <c r="BO68" i="1" s="1"/>
  <c r="CA68" i="1"/>
  <c r="CB68" i="1"/>
  <c r="CC68" i="1" s="1"/>
  <c r="BU45" i="1"/>
  <c r="BK76" i="1"/>
  <c r="BW88" i="1"/>
  <c r="AX58" i="1"/>
  <c r="BD58" i="1" s="1"/>
  <c r="CB58" i="1"/>
  <c r="CC58" i="1" s="1"/>
  <c r="BS65" i="1"/>
  <c r="CB45" i="1"/>
  <c r="CC45" i="1" s="1"/>
  <c r="BT65" i="1"/>
  <c r="BV101" i="1"/>
  <c r="AX86" i="1"/>
  <c r="BD86" i="1" s="1"/>
  <c r="BL86" i="1"/>
  <c r="BM86" i="1" s="1"/>
  <c r="BN86" i="1" s="1"/>
  <c r="BO86" i="1" s="1"/>
  <c r="BS45" i="1"/>
  <c r="BU65" i="1"/>
  <c r="BR101" i="1"/>
  <c r="BS121" i="1"/>
  <c r="BW45" i="1"/>
  <c r="BT101" i="1"/>
  <c r="BR121" i="1"/>
  <c r="BV45" i="1"/>
  <c r="BV65" i="1"/>
  <c r="BS36" i="1"/>
  <c r="BV61" i="1"/>
  <c r="BW101" i="1"/>
  <c r="BT111" i="1"/>
  <c r="BW61" i="1"/>
  <c r="BU61" i="1"/>
  <c r="BS61" i="1"/>
  <c r="BR61" i="1"/>
  <c r="BU101" i="1"/>
  <c r="BU111" i="1"/>
  <c r="BW65" i="1"/>
  <c r="BX36" i="1"/>
  <c r="BX111" i="1"/>
  <c r="BX61" i="1"/>
  <c r="BQ110" i="1"/>
  <c r="BR110" i="1" s="1"/>
  <c r="AX111" i="1"/>
  <c r="BD111" i="1" s="1"/>
  <c r="CB111" i="1"/>
  <c r="CC111" i="1" s="1"/>
  <c r="BW91" i="1"/>
  <c r="BU91" i="1"/>
  <c r="BR91" i="1"/>
  <c r="BS91" i="1"/>
  <c r="BX91" i="1"/>
  <c r="CB88" i="1"/>
  <c r="CC88" i="1" s="1"/>
  <c r="AX88" i="1"/>
  <c r="BD88" i="1" s="1"/>
  <c r="BL88" i="1"/>
  <c r="BM88" i="1" s="1"/>
  <c r="BN88" i="1" s="1"/>
  <c r="BO88" i="1" s="1"/>
  <c r="BL85" i="1"/>
  <c r="BM85" i="1" s="1"/>
  <c r="BN85" i="1" s="1"/>
  <c r="BO85" i="1" s="1"/>
  <c r="AX85" i="1"/>
  <c r="BD85" i="1" s="1"/>
  <c r="CB85" i="1"/>
  <c r="CC85" i="1" s="1"/>
  <c r="BL65" i="1"/>
  <c r="BM65" i="1" s="1"/>
  <c r="BN65" i="1" s="1"/>
  <c r="BO65" i="1" s="1"/>
  <c r="AX65" i="1"/>
  <c r="BD65" i="1" s="1"/>
  <c r="CB65" i="1"/>
  <c r="CC65" i="1" s="1"/>
  <c r="AX63" i="1"/>
  <c r="BD63" i="1" s="1"/>
  <c r="CA63" i="1"/>
  <c r="BL63" i="1"/>
  <c r="BM63" i="1" s="1"/>
  <c r="BN63" i="1" s="1"/>
  <c r="BO63" i="1" s="1"/>
  <c r="CB63" i="1"/>
  <c r="CC63" i="1" s="1"/>
  <c r="BV36" i="1"/>
  <c r="AX36" i="1"/>
  <c r="BD36" i="1" s="1"/>
  <c r="CB36" i="1"/>
  <c r="CC36" i="1" s="1"/>
  <c r="CA36" i="1"/>
  <c r="BL36" i="1"/>
  <c r="BM36" i="1" s="1"/>
  <c r="BN36" i="1" s="1"/>
  <c r="BO36" i="1" s="1"/>
  <c r="BV81" i="1"/>
  <c r="BT81" i="1"/>
  <c r="BS81" i="1"/>
  <c r="BW81" i="1"/>
  <c r="BX81" i="1"/>
  <c r="BR81" i="1"/>
  <c r="BU81" i="1"/>
  <c r="BW76" i="1"/>
  <c r="BT76" i="1"/>
  <c r="BX76" i="1"/>
  <c r="BU76" i="1"/>
  <c r="BV76" i="1"/>
  <c r="BR76" i="1"/>
  <c r="BS76" i="1"/>
  <c r="BW46" i="1"/>
  <c r="BV46" i="1"/>
  <c r="BU46" i="1"/>
  <c r="BX46" i="1"/>
  <c r="BR46" i="1"/>
  <c r="BT46" i="1"/>
  <c r="BS46" i="1"/>
  <c r="BU100" i="1"/>
  <c r="BW100" i="1"/>
  <c r="BS100" i="1"/>
  <c r="BV100" i="1"/>
  <c r="BX100" i="1"/>
  <c r="BT100" i="1"/>
  <c r="BR100" i="1"/>
  <c r="BX85" i="1"/>
  <c r="BU85" i="1"/>
  <c r="BS85" i="1"/>
  <c r="BT85" i="1"/>
  <c r="BW85" i="1"/>
  <c r="BV85" i="1"/>
  <c r="BR85" i="1"/>
  <c r="BV80" i="1"/>
  <c r="BR80" i="1"/>
  <c r="BT80" i="1"/>
  <c r="BW80" i="1"/>
  <c r="BX80" i="1"/>
  <c r="BU80" i="1"/>
  <c r="BS80" i="1"/>
  <c r="BR40" i="1"/>
  <c r="BV40" i="1"/>
  <c r="BU40" i="1"/>
  <c r="BS40" i="1"/>
  <c r="BW40" i="1"/>
  <c r="BT40" i="1"/>
  <c r="BX40" i="1"/>
  <c r="BT129" i="1"/>
  <c r="BW129" i="1"/>
  <c r="BX129" i="1"/>
  <c r="BV129" i="1"/>
  <c r="BR129" i="1"/>
  <c r="BS129" i="1"/>
  <c r="BU129" i="1"/>
  <c r="BV83" i="1"/>
  <c r="BX83" i="1"/>
  <c r="BT83" i="1"/>
  <c r="BR83" i="1"/>
  <c r="BW83" i="1"/>
  <c r="BU83" i="1"/>
  <c r="BS83" i="1"/>
  <c r="BW68" i="1"/>
  <c r="BV68" i="1"/>
  <c r="BX68" i="1"/>
  <c r="BT68" i="1"/>
  <c r="BS68" i="1"/>
  <c r="BR68" i="1"/>
  <c r="BU68" i="1"/>
  <c r="BW58" i="1"/>
  <c r="BV58" i="1"/>
  <c r="BU58" i="1"/>
  <c r="BT58" i="1"/>
  <c r="BX58" i="1"/>
  <c r="BS58" i="1"/>
  <c r="BR58" i="1"/>
  <c r="BW128" i="1"/>
  <c r="BR128" i="1"/>
  <c r="BS128" i="1"/>
  <c r="BX128" i="1"/>
  <c r="BV128" i="1"/>
  <c r="BT128" i="1"/>
  <c r="BU128" i="1"/>
  <c r="BR87" i="1"/>
  <c r="BV87" i="1"/>
  <c r="BX87" i="1"/>
  <c r="BT87" i="1"/>
  <c r="BU87" i="1"/>
  <c r="BW87" i="1"/>
  <c r="BS87" i="1"/>
  <c r="BW62" i="1"/>
  <c r="BS62" i="1"/>
  <c r="BR62" i="1"/>
  <c r="BV62" i="1"/>
  <c r="BU62" i="1"/>
  <c r="BT62" i="1"/>
  <c r="BX62" i="1"/>
  <c r="BU47" i="1"/>
  <c r="BS47" i="1"/>
  <c r="BR47" i="1"/>
  <c r="BV47" i="1"/>
  <c r="BX47" i="1"/>
  <c r="BT47" i="1"/>
  <c r="BW47" i="1"/>
  <c r="CA41" i="1"/>
  <c r="AX41" i="1"/>
  <c r="BD41" i="1" s="1"/>
  <c r="BL41" i="1"/>
  <c r="BM41" i="1" s="1"/>
  <c r="BN41" i="1" s="1"/>
  <c r="BO41" i="1" s="1"/>
  <c r="AX35" i="1"/>
  <c r="BD35" i="1" s="1"/>
  <c r="CA35" i="1"/>
  <c r="BL35" i="1"/>
  <c r="BM35" i="1" s="1"/>
  <c r="BN35" i="1" s="1"/>
  <c r="BO35" i="1" s="1"/>
  <c r="AX42" i="1"/>
  <c r="BD42" i="1" s="1"/>
  <c r="CA42" i="1"/>
  <c r="BL42" i="1"/>
  <c r="BM42" i="1" s="1"/>
  <c r="BN42" i="1" s="1"/>
  <c r="BO42" i="1" s="1"/>
  <c r="CB28" i="1"/>
  <c r="CC28" i="1" s="1"/>
  <c r="BL28" i="1"/>
  <c r="BM28" i="1" s="1"/>
  <c r="BN28" i="1" s="1"/>
  <c r="BO28" i="1" s="1"/>
  <c r="CA28" i="1"/>
  <c r="AX28" i="1"/>
  <c r="BD28" i="1" s="1"/>
  <c r="BT41" i="1"/>
  <c r="BR41" i="1"/>
  <c r="BU41" i="1"/>
  <c r="BS41" i="1"/>
  <c r="BX41" i="1"/>
  <c r="BV41" i="1"/>
  <c r="BW41" i="1"/>
  <c r="CA93" i="1"/>
  <c r="CB93" i="1"/>
  <c r="CC93" i="1" s="1"/>
  <c r="AX93" i="1"/>
  <c r="BD93" i="1" s="1"/>
  <c r="BL93" i="1"/>
  <c r="BM93" i="1" s="1"/>
  <c r="BN93" i="1" s="1"/>
  <c r="BO93" i="1" s="1"/>
  <c r="BQ77" i="1"/>
  <c r="BK77" i="1"/>
  <c r="BK25" i="1"/>
  <c r="CB25" i="1" s="1"/>
  <c r="CC25" i="1" s="1"/>
  <c r="CB123" i="1"/>
  <c r="CC123" i="1" s="1"/>
  <c r="BV103" i="1"/>
  <c r="BU103" i="1"/>
  <c r="BS103" i="1"/>
  <c r="BX103" i="1"/>
  <c r="BT103" i="1"/>
  <c r="BR103" i="1"/>
  <c r="BW103" i="1"/>
  <c r="BS56" i="1"/>
  <c r="BT56" i="1"/>
  <c r="BU56" i="1"/>
  <c r="BV56" i="1"/>
  <c r="BW56" i="1"/>
  <c r="BX56" i="1"/>
  <c r="BR56" i="1"/>
  <c r="BW26" i="1"/>
  <c r="BT26" i="1"/>
  <c r="BX26" i="1"/>
  <c r="BR26" i="1"/>
  <c r="BV26" i="1"/>
  <c r="BU26" i="1"/>
  <c r="BS26" i="1"/>
  <c r="BK107" i="1"/>
  <c r="BQ107" i="1"/>
  <c r="CA26" i="1"/>
  <c r="AX26" i="1"/>
  <c r="BD26" i="1" s="1"/>
  <c r="BL26" i="1"/>
  <c r="BM26" i="1" s="1"/>
  <c r="BN26" i="1" s="1"/>
  <c r="BO26" i="1" s="1"/>
  <c r="CB35" i="1"/>
  <c r="CC35" i="1" s="1"/>
  <c r="BU67" i="1"/>
  <c r="BS67" i="1"/>
  <c r="BT67" i="1"/>
  <c r="BW67" i="1"/>
  <c r="BX67" i="1"/>
  <c r="BV67" i="1"/>
  <c r="BR67" i="1"/>
  <c r="BL40" i="1"/>
  <c r="BM40" i="1" s="1"/>
  <c r="BN40" i="1" s="1"/>
  <c r="BO40" i="1" s="1"/>
  <c r="CB40" i="1"/>
  <c r="CC40" i="1" s="1"/>
  <c r="CA40" i="1"/>
  <c r="AX40" i="1"/>
  <c r="BD40" i="1" s="1"/>
  <c r="BR42" i="1"/>
  <c r="BW42" i="1"/>
  <c r="BS42" i="1"/>
  <c r="BX42" i="1"/>
  <c r="BT42" i="1"/>
  <c r="BV42" i="1"/>
  <c r="BU42" i="1"/>
  <c r="CB26" i="1"/>
  <c r="CC26" i="1" s="1"/>
  <c r="BL67" i="1"/>
  <c r="BM67" i="1" s="1"/>
  <c r="BN67" i="1" s="1"/>
  <c r="BO67" i="1" s="1"/>
  <c r="AX67" i="1"/>
  <c r="BD67" i="1" s="1"/>
  <c r="CB67" i="1"/>
  <c r="CC67" i="1" s="1"/>
  <c r="CA67" i="1"/>
  <c r="BW86" i="1"/>
  <c r="BR86" i="1"/>
  <c r="BT86" i="1"/>
  <c r="BV86" i="1"/>
  <c r="BS86" i="1"/>
  <c r="BU86" i="1"/>
  <c r="BX86" i="1"/>
  <c r="BX35" i="1"/>
  <c r="BS35" i="1"/>
  <c r="BT35" i="1"/>
  <c r="BW35" i="1"/>
  <c r="BU35" i="1"/>
  <c r="BV35" i="1"/>
  <c r="BR35" i="1"/>
  <c r="AX103" i="1"/>
  <c r="BD103" i="1" s="1"/>
  <c r="CA103" i="1"/>
  <c r="BL103" i="1"/>
  <c r="BM103" i="1" s="1"/>
  <c r="BN103" i="1" s="1"/>
  <c r="BO103" i="1" s="1"/>
  <c r="CB103" i="1"/>
  <c r="CC103" i="1" s="1"/>
  <c r="CB41" i="1"/>
  <c r="CC41" i="1" s="1"/>
  <c r="BL91" i="1"/>
  <c r="BM91" i="1" s="1"/>
  <c r="BN91" i="1" s="1"/>
  <c r="BO91" i="1" s="1"/>
  <c r="CA91" i="1"/>
  <c r="AX91" i="1"/>
  <c r="BD91" i="1" s="1"/>
  <c r="CB46" i="1"/>
  <c r="CC46" i="1" s="1"/>
  <c r="BL46" i="1"/>
  <c r="BM46" i="1" s="1"/>
  <c r="BN46" i="1" s="1"/>
  <c r="BO46" i="1" s="1"/>
  <c r="AX46" i="1"/>
  <c r="BD46" i="1" s="1"/>
  <c r="CA46" i="1"/>
  <c r="CB91" i="1"/>
  <c r="CC91" i="1" s="1"/>
  <c r="CB42" i="1"/>
  <c r="CC42" i="1" s="1"/>
  <c r="BK127" i="1"/>
  <c r="BQ127" i="1"/>
  <c r="BW38" i="1"/>
  <c r="BS38" i="1"/>
  <c r="BT38" i="1"/>
  <c r="BX38" i="1"/>
  <c r="BU38" i="1"/>
  <c r="BV38" i="1"/>
  <c r="BR38" i="1"/>
  <c r="AX129" i="1"/>
  <c r="BD129" i="1" s="1"/>
  <c r="BL129" i="1"/>
  <c r="BM129" i="1" s="1"/>
  <c r="BN129" i="1" s="1"/>
  <c r="BO129" i="1" s="1"/>
  <c r="CA129" i="1"/>
  <c r="CB129" i="1"/>
  <c r="CC129" i="1" s="1"/>
  <c r="BK61" i="1"/>
  <c r="CB61" i="1" s="1"/>
  <c r="CC61" i="1" s="1"/>
  <c r="BR43" i="1"/>
  <c r="BX43" i="1"/>
  <c r="BS43" i="1"/>
  <c r="BV43" i="1"/>
  <c r="BW43" i="1"/>
  <c r="BU43" i="1"/>
  <c r="BT43" i="1"/>
  <c r="CB128" i="1"/>
  <c r="CC128" i="1" s="1"/>
  <c r="BL128" i="1"/>
  <c r="BM128" i="1" s="1"/>
  <c r="BN128" i="1" s="1"/>
  <c r="BO128" i="1" s="1"/>
  <c r="AX128" i="1"/>
  <c r="BD128" i="1" s="1"/>
  <c r="BK38" i="1"/>
  <c r="CB38" i="1" s="1"/>
  <c r="CC38" i="1" s="1"/>
  <c r="BT93" i="1"/>
  <c r="BX93" i="1"/>
  <c r="BW93" i="1"/>
  <c r="BV93" i="1"/>
  <c r="BU93" i="1"/>
  <c r="BS93" i="1"/>
  <c r="BR93" i="1"/>
  <c r="CA48" i="1"/>
  <c r="CD48" i="1" s="1"/>
  <c r="CE48" i="1" s="1"/>
  <c r="BL48" i="1"/>
  <c r="BM48" i="1" s="1"/>
  <c r="BN48" i="1" s="1"/>
  <c r="BO48" i="1" s="1"/>
  <c r="AX48" i="1"/>
  <c r="BD48" i="1" s="1"/>
  <c r="AX37" i="1"/>
  <c r="BD37" i="1" s="1"/>
  <c r="BL37" i="1"/>
  <c r="BM37" i="1" s="1"/>
  <c r="BN37" i="1" s="1"/>
  <c r="BO37" i="1" s="1"/>
  <c r="CA37" i="1"/>
  <c r="CD37" i="1" s="1"/>
  <c r="CE37" i="1" s="1"/>
  <c r="AX62" i="1"/>
  <c r="BD62" i="1" s="1"/>
  <c r="CB62" i="1"/>
  <c r="CC62" i="1" s="1"/>
  <c r="CA62" i="1"/>
  <c r="BK56" i="1"/>
  <c r="CB56" i="1" s="1"/>
  <c r="CC56" i="1" s="1"/>
  <c r="BL62" i="1"/>
  <c r="BM62" i="1" s="1"/>
  <c r="BN62" i="1" s="1"/>
  <c r="BO62" i="1" s="1"/>
  <c r="BR55" i="1"/>
  <c r="BS55" i="1"/>
  <c r="BV55" i="1"/>
  <c r="BT55" i="1"/>
  <c r="BW55" i="1"/>
  <c r="BU55" i="1"/>
  <c r="BX55" i="1"/>
  <c r="CA100" i="1" l="1"/>
  <c r="CA43" i="1"/>
  <c r="CD43" i="1" s="1"/>
  <c r="CE43" i="1" s="1"/>
  <c r="BL43" i="1"/>
  <c r="BM43" i="1" s="1"/>
  <c r="BN43" i="1" s="1"/>
  <c r="BO43" i="1" s="1"/>
  <c r="BW108" i="1"/>
  <c r="BT108" i="1"/>
  <c r="BX108" i="1"/>
  <c r="BU108" i="1"/>
  <c r="BS108" i="1"/>
  <c r="BR108" i="1"/>
  <c r="AX100" i="1"/>
  <c r="BD100" i="1" s="1"/>
  <c r="CB100" i="1"/>
  <c r="CC100" i="1" s="1"/>
  <c r="CB92" i="1"/>
  <c r="CC92" i="1" s="1"/>
  <c r="CA90" i="1"/>
  <c r="AX90" i="1"/>
  <c r="BD90" i="1" s="1"/>
  <c r="CB90" i="1"/>
  <c r="CC90" i="1" s="1"/>
  <c r="BL75" i="1"/>
  <c r="BM75" i="1" s="1"/>
  <c r="BN75" i="1" s="1"/>
  <c r="BO75" i="1" s="1"/>
  <c r="CA75" i="1"/>
  <c r="CB75" i="1"/>
  <c r="CC75" i="1" s="1"/>
  <c r="BV75" i="1"/>
  <c r="BU75" i="1"/>
  <c r="BT75" i="1"/>
  <c r="BX75" i="1"/>
  <c r="BR75" i="1"/>
  <c r="BS75" i="1"/>
  <c r="BV60" i="1"/>
  <c r="BU60" i="1"/>
  <c r="BS60" i="1"/>
  <c r="BW60" i="1"/>
  <c r="BX60" i="1"/>
  <c r="BR60" i="1"/>
  <c r="AX43" i="1"/>
  <c r="BD43" i="1" s="1"/>
  <c r="BW27" i="1"/>
  <c r="BT27" i="1"/>
  <c r="BS27" i="1"/>
  <c r="BV27" i="1"/>
  <c r="BX27" i="1"/>
  <c r="BR27" i="1"/>
  <c r="BL83" i="1"/>
  <c r="BM83" i="1" s="1"/>
  <c r="BN83" i="1" s="1"/>
  <c r="BO83" i="1" s="1"/>
  <c r="CB83" i="1"/>
  <c r="CC83" i="1" s="1"/>
  <c r="CA92" i="1"/>
  <c r="AX83" i="1"/>
  <c r="BD83" i="1" s="1"/>
  <c r="BL92" i="1"/>
  <c r="BM92" i="1" s="1"/>
  <c r="BN92" i="1" s="1"/>
  <c r="BO92" i="1" s="1"/>
  <c r="BL101" i="1"/>
  <c r="BM101" i="1" s="1"/>
  <c r="BN101" i="1" s="1"/>
  <c r="BO101" i="1" s="1"/>
  <c r="AX101" i="1"/>
  <c r="BD101" i="1" s="1"/>
  <c r="CA101" i="1"/>
  <c r="CD101" i="1" s="1"/>
  <c r="CE101" i="1" s="1"/>
  <c r="BL106" i="1"/>
  <c r="BM106" i="1" s="1"/>
  <c r="BN106" i="1" s="1"/>
  <c r="BO106" i="1" s="1"/>
  <c r="BT120" i="1"/>
  <c r="BS120" i="1"/>
  <c r="BV120" i="1"/>
  <c r="BU120" i="1"/>
  <c r="BR120" i="1"/>
  <c r="BX120" i="1"/>
  <c r="BS112" i="1"/>
  <c r="BU112" i="1"/>
  <c r="CB120" i="1"/>
  <c r="CC120" i="1" s="1"/>
  <c r="BX112" i="1"/>
  <c r="BT112" i="1"/>
  <c r="BW112" i="1"/>
  <c r="BV123" i="1"/>
  <c r="BR112" i="1"/>
  <c r="BV72" i="1"/>
  <c r="BU72" i="1"/>
  <c r="BX72" i="1"/>
  <c r="BT72" i="1"/>
  <c r="BS72" i="1"/>
  <c r="BW72" i="1"/>
  <c r="BR72" i="1"/>
  <c r="BW70" i="1"/>
  <c r="BV70" i="1"/>
  <c r="BU70" i="1"/>
  <c r="BX70" i="1"/>
  <c r="BT70" i="1"/>
  <c r="BS70" i="1"/>
  <c r="BR70" i="1"/>
  <c r="BU73" i="1"/>
  <c r="BT73" i="1"/>
  <c r="BV73" i="1"/>
  <c r="BW73" i="1"/>
  <c r="BS73" i="1"/>
  <c r="BR73" i="1"/>
  <c r="BX73" i="1"/>
  <c r="BW71" i="1"/>
  <c r="BV71" i="1"/>
  <c r="BU71" i="1"/>
  <c r="BX71" i="1"/>
  <c r="BT71" i="1"/>
  <c r="BS71" i="1"/>
  <c r="BR71" i="1"/>
  <c r="CA120" i="1"/>
  <c r="AX120" i="1"/>
  <c r="BD120" i="1" s="1"/>
  <c r="CB55" i="1"/>
  <c r="CC55" i="1" s="1"/>
  <c r="BL55" i="1"/>
  <c r="BM55" i="1" s="1"/>
  <c r="BN55" i="1" s="1"/>
  <c r="BO55" i="1" s="1"/>
  <c r="AX123" i="1"/>
  <c r="BD123" i="1" s="1"/>
  <c r="BR123" i="1"/>
  <c r="BS123" i="1"/>
  <c r="BT123" i="1"/>
  <c r="BU123" i="1"/>
  <c r="BW123" i="1"/>
  <c r="BL123" i="1"/>
  <c r="BM123" i="1" s="1"/>
  <c r="BN123" i="1" s="1"/>
  <c r="BO123" i="1" s="1"/>
  <c r="CA123" i="1"/>
  <c r="CD123" i="1" s="1"/>
  <c r="CE123" i="1" s="1"/>
  <c r="BX123" i="1"/>
  <c r="CA122" i="1"/>
  <c r="CA60" i="1"/>
  <c r="CD60" i="1" s="1"/>
  <c r="CE60" i="1" s="1"/>
  <c r="AX60" i="1"/>
  <c r="BD60" i="1" s="1"/>
  <c r="BL60" i="1"/>
  <c r="BM60" i="1" s="1"/>
  <c r="BN60" i="1" s="1"/>
  <c r="BO60" i="1" s="1"/>
  <c r="AX106" i="1"/>
  <c r="BD106" i="1" s="1"/>
  <c r="BL108" i="1"/>
  <c r="BM108" i="1" s="1"/>
  <c r="BN108" i="1" s="1"/>
  <c r="BO108" i="1" s="1"/>
  <c r="AX108" i="1"/>
  <c r="BD108" i="1" s="1"/>
  <c r="CB108" i="1"/>
  <c r="CC108" i="1" s="1"/>
  <c r="CB106" i="1"/>
  <c r="CC106" i="1" s="1"/>
  <c r="BT106" i="1"/>
  <c r="BX106" i="1"/>
  <c r="BR106" i="1"/>
  <c r="BV106" i="1"/>
  <c r="BU106" i="1"/>
  <c r="BW106" i="1"/>
  <c r="BL27" i="1"/>
  <c r="BM27" i="1" s="1"/>
  <c r="BN27" i="1" s="1"/>
  <c r="BO27" i="1" s="1"/>
  <c r="AX27" i="1"/>
  <c r="BD27" i="1" s="1"/>
  <c r="CA57" i="1"/>
  <c r="CD57" i="1" s="1"/>
  <c r="CE57" i="1" s="1"/>
  <c r="CB27" i="1"/>
  <c r="CC27" i="1" s="1"/>
  <c r="CA55" i="1"/>
  <c r="BU122" i="1"/>
  <c r="BX122" i="1"/>
  <c r="BS122" i="1"/>
  <c r="BR122" i="1"/>
  <c r="CB122" i="1"/>
  <c r="CC122" i="1" s="1"/>
  <c r="AX122" i="1"/>
  <c r="BD122" i="1" s="1"/>
  <c r="BT122" i="1"/>
  <c r="BW122" i="1"/>
  <c r="AX110" i="1"/>
  <c r="BD110" i="1" s="1"/>
  <c r="BL110" i="1"/>
  <c r="BM110" i="1" s="1"/>
  <c r="BN110" i="1" s="1"/>
  <c r="BO110" i="1" s="1"/>
  <c r="CB110" i="1"/>
  <c r="CC110" i="1" s="1"/>
  <c r="BL57" i="1"/>
  <c r="BM57" i="1" s="1"/>
  <c r="BN57" i="1" s="1"/>
  <c r="BO57" i="1" s="1"/>
  <c r="AX57" i="1"/>
  <c r="BD57" i="1" s="1"/>
  <c r="CF87" i="1"/>
  <c r="BY126" i="1"/>
  <c r="BQ113" i="1"/>
  <c r="CB113" i="1"/>
  <c r="CC113" i="1" s="1"/>
  <c r="AX113" i="1"/>
  <c r="BD113" i="1" s="1"/>
  <c r="BL113" i="1"/>
  <c r="BM113" i="1" s="1"/>
  <c r="BN113" i="1" s="1"/>
  <c r="BO113" i="1" s="1"/>
  <c r="BL112" i="1"/>
  <c r="BM112" i="1" s="1"/>
  <c r="BN112" i="1" s="1"/>
  <c r="BO112" i="1" s="1"/>
  <c r="CA112" i="1"/>
  <c r="CD80" i="1"/>
  <c r="CE80" i="1" s="1"/>
  <c r="CF80" i="1" s="1"/>
  <c r="BY63" i="1"/>
  <c r="CB112" i="1"/>
  <c r="CC112" i="1" s="1"/>
  <c r="CD126" i="1"/>
  <c r="CE126" i="1" s="1"/>
  <c r="CF126" i="1" s="1"/>
  <c r="CD121" i="1"/>
  <c r="CE121" i="1" s="1"/>
  <c r="CF121" i="1" s="1"/>
  <c r="BY121" i="1"/>
  <c r="BY111" i="1"/>
  <c r="BT110" i="1"/>
  <c r="BY105" i="1"/>
  <c r="CD102" i="1"/>
  <c r="CE102" i="1" s="1"/>
  <c r="CF102" i="1" s="1"/>
  <c r="BY102" i="1"/>
  <c r="BY92" i="1"/>
  <c r="BY90" i="1"/>
  <c r="BY88" i="1"/>
  <c r="CD86" i="1"/>
  <c r="CE86" i="1" s="1"/>
  <c r="CF86" i="1" s="1"/>
  <c r="BY82" i="1"/>
  <c r="CD81" i="1"/>
  <c r="CE81" i="1" s="1"/>
  <c r="CF81" i="1" s="1"/>
  <c r="BY66" i="1"/>
  <c r="BT57" i="1"/>
  <c r="BV57" i="1"/>
  <c r="BW57" i="1"/>
  <c r="BS57" i="1"/>
  <c r="BU57" i="1"/>
  <c r="BX57" i="1"/>
  <c r="BY48" i="1"/>
  <c r="CD47" i="1"/>
  <c r="CE47" i="1" s="1"/>
  <c r="CF47" i="1" s="1"/>
  <c r="BY37" i="1"/>
  <c r="BY28" i="1"/>
  <c r="BY45" i="1"/>
  <c r="BS110" i="1"/>
  <c r="BU110" i="1"/>
  <c r="BX110" i="1"/>
  <c r="BV110" i="1"/>
  <c r="CD66" i="1"/>
  <c r="CE66" i="1" s="1"/>
  <c r="CF66" i="1" s="1"/>
  <c r="BY61" i="1"/>
  <c r="CA105" i="1"/>
  <c r="BL105" i="1"/>
  <c r="BM105" i="1" s="1"/>
  <c r="BN105" i="1" s="1"/>
  <c r="BO105" i="1" s="1"/>
  <c r="AX105" i="1"/>
  <c r="BD105" i="1" s="1"/>
  <c r="CD78" i="1"/>
  <c r="CE78" i="1" s="1"/>
  <c r="CF78" i="1" s="1"/>
  <c r="BY25" i="1"/>
  <c r="BY78" i="1"/>
  <c r="CB105" i="1"/>
  <c r="CC105" i="1" s="1"/>
  <c r="CD58" i="1"/>
  <c r="CE58" i="1" s="1"/>
  <c r="CF58" i="1" s="1"/>
  <c r="BY65" i="1"/>
  <c r="CD45" i="1"/>
  <c r="CE45" i="1" s="1"/>
  <c r="CF45" i="1" s="1"/>
  <c r="CD82" i="1"/>
  <c r="CE82" i="1" s="1"/>
  <c r="CF82" i="1" s="1"/>
  <c r="BY87" i="1"/>
  <c r="BY101" i="1"/>
  <c r="CD68" i="1"/>
  <c r="CE68" i="1" s="1"/>
  <c r="CF68" i="1" s="1"/>
  <c r="CD93" i="1"/>
  <c r="CE93" i="1" s="1"/>
  <c r="CF93" i="1" s="1"/>
  <c r="BY91" i="1"/>
  <c r="BY36" i="1"/>
  <c r="AX76" i="1"/>
  <c r="BD76" i="1" s="1"/>
  <c r="CA76" i="1"/>
  <c r="CB76" i="1"/>
  <c r="CC76" i="1" s="1"/>
  <c r="BL76" i="1"/>
  <c r="BM76" i="1" s="1"/>
  <c r="BN76" i="1" s="1"/>
  <c r="BO76" i="1" s="1"/>
  <c r="CD36" i="1"/>
  <c r="CE36" i="1" s="1"/>
  <c r="CF36" i="1" s="1"/>
  <c r="CD88" i="1"/>
  <c r="CE88" i="1" s="1"/>
  <c r="CF88" i="1" s="1"/>
  <c r="BY81" i="1"/>
  <c r="CD42" i="1"/>
  <c r="CE42" i="1" s="1"/>
  <c r="CF42" i="1" s="1"/>
  <c r="BY58" i="1"/>
  <c r="CD46" i="1"/>
  <c r="CE46" i="1" s="1"/>
  <c r="CF46" i="1" s="1"/>
  <c r="BW110" i="1"/>
  <c r="CD129" i="1"/>
  <c r="CE129" i="1" s="1"/>
  <c r="CF129" i="1" s="1"/>
  <c r="BY129" i="1"/>
  <c r="BY128" i="1"/>
  <c r="CD111" i="1"/>
  <c r="CE111" i="1" s="1"/>
  <c r="CF111" i="1" s="1"/>
  <c r="CD103" i="1"/>
  <c r="CE103" i="1" s="1"/>
  <c r="CF103" i="1" s="1"/>
  <c r="BY93" i="1"/>
  <c r="BY86" i="1"/>
  <c r="CD85" i="1"/>
  <c r="CE85" i="1" s="1"/>
  <c r="CF85" i="1" s="1"/>
  <c r="BY76" i="1"/>
  <c r="BY67" i="1"/>
  <c r="CD65" i="1"/>
  <c r="CE65" i="1" s="1"/>
  <c r="CF65" i="1" s="1"/>
  <c r="CD63" i="1"/>
  <c r="CE63" i="1" s="1"/>
  <c r="CF63" i="1" s="1"/>
  <c r="BY42" i="1"/>
  <c r="BY38" i="1"/>
  <c r="CD26" i="1"/>
  <c r="CE26" i="1" s="1"/>
  <c r="CF26" i="1" s="1"/>
  <c r="BY56" i="1"/>
  <c r="BY46" i="1"/>
  <c r="BY41" i="1"/>
  <c r="BY26" i="1"/>
  <c r="BY100" i="1"/>
  <c r="BY85" i="1"/>
  <c r="BY80" i="1"/>
  <c r="BY55" i="1"/>
  <c r="BY40" i="1"/>
  <c r="BY35" i="1"/>
  <c r="BY103" i="1"/>
  <c r="BY83" i="1"/>
  <c r="BY68" i="1"/>
  <c r="BY43" i="1"/>
  <c r="BY62" i="1"/>
  <c r="BY47" i="1"/>
  <c r="CF48" i="1"/>
  <c r="CA61" i="1"/>
  <c r="CD61" i="1" s="1"/>
  <c r="CE61" i="1" s="1"/>
  <c r="BL61" i="1"/>
  <c r="BM61" i="1" s="1"/>
  <c r="BN61" i="1" s="1"/>
  <c r="BO61" i="1" s="1"/>
  <c r="AX61" i="1"/>
  <c r="BD61" i="1" s="1"/>
  <c r="BS127" i="1"/>
  <c r="BX127" i="1"/>
  <c r="BT127" i="1"/>
  <c r="BV127" i="1"/>
  <c r="BU127" i="1"/>
  <c r="BW127" i="1"/>
  <c r="BR127" i="1"/>
  <c r="BV77" i="1"/>
  <c r="BU77" i="1"/>
  <c r="BX77" i="1"/>
  <c r="BR77" i="1"/>
  <c r="BS77" i="1"/>
  <c r="BW77" i="1"/>
  <c r="BT77" i="1"/>
  <c r="BL127" i="1"/>
  <c r="BM127" i="1" s="1"/>
  <c r="BN127" i="1" s="1"/>
  <c r="BO127" i="1" s="1"/>
  <c r="CA127" i="1"/>
  <c r="AX127" i="1"/>
  <c r="BD127" i="1" s="1"/>
  <c r="CB127" i="1"/>
  <c r="CC127" i="1" s="1"/>
  <c r="CD35" i="1"/>
  <c r="CE35" i="1" s="1"/>
  <c r="CF35" i="1" s="1"/>
  <c r="BL77" i="1"/>
  <c r="BM77" i="1" s="1"/>
  <c r="BN77" i="1" s="1"/>
  <c r="BO77" i="1" s="1"/>
  <c r="AX77" i="1"/>
  <c r="BD77" i="1" s="1"/>
  <c r="CA77" i="1"/>
  <c r="CB77" i="1"/>
  <c r="CC77" i="1" s="1"/>
  <c r="CF37" i="1"/>
  <c r="CD62" i="1"/>
  <c r="CE62" i="1" s="1"/>
  <c r="CF62" i="1" s="1"/>
  <c r="CA38" i="1"/>
  <c r="CD38" i="1" s="1"/>
  <c r="CE38" i="1" s="1"/>
  <c r="AX38" i="1"/>
  <c r="BD38" i="1" s="1"/>
  <c r="BL38" i="1"/>
  <c r="BM38" i="1" s="1"/>
  <c r="BN38" i="1" s="1"/>
  <c r="BO38" i="1" s="1"/>
  <c r="CD128" i="1"/>
  <c r="CE128" i="1" s="1"/>
  <c r="CF128" i="1" s="1"/>
  <c r="CD91" i="1"/>
  <c r="CE91" i="1" s="1"/>
  <c r="CF91" i="1" s="1"/>
  <c r="CA56" i="1"/>
  <c r="CD56" i="1" s="1"/>
  <c r="CE56" i="1" s="1"/>
  <c r="AX56" i="1"/>
  <c r="BD56" i="1" s="1"/>
  <c r="BL56" i="1"/>
  <c r="BM56" i="1" s="1"/>
  <c r="BN56" i="1" s="1"/>
  <c r="BO56" i="1" s="1"/>
  <c r="CD67" i="1"/>
  <c r="CE67" i="1" s="1"/>
  <c r="CF67" i="1" s="1"/>
  <c r="CD40" i="1"/>
  <c r="CE40" i="1" s="1"/>
  <c r="CF40" i="1" s="1"/>
  <c r="CD28" i="1"/>
  <c r="CE28" i="1" s="1"/>
  <c r="CF28" i="1" s="1"/>
  <c r="BS107" i="1"/>
  <c r="BX107" i="1"/>
  <c r="BW107" i="1"/>
  <c r="BU107" i="1"/>
  <c r="BT107" i="1"/>
  <c r="BV107" i="1"/>
  <c r="BR107" i="1"/>
  <c r="AX107" i="1"/>
  <c r="BD107" i="1" s="1"/>
  <c r="BL107" i="1"/>
  <c r="BM107" i="1" s="1"/>
  <c r="BN107" i="1" s="1"/>
  <c r="BO107" i="1" s="1"/>
  <c r="CA107" i="1"/>
  <c r="CB107" i="1"/>
  <c r="CC107" i="1" s="1"/>
  <c r="BL25" i="1"/>
  <c r="BM25" i="1" s="1"/>
  <c r="BN25" i="1" s="1"/>
  <c r="BO25" i="1" s="1"/>
  <c r="CA25" i="1"/>
  <c r="CD25" i="1" s="1"/>
  <c r="CE25" i="1" s="1"/>
  <c r="AX25" i="1"/>
  <c r="BD25" i="1" s="1"/>
  <c r="CD41" i="1"/>
  <c r="CE41" i="1" s="1"/>
  <c r="CF41" i="1" s="1"/>
  <c r="CF43" i="1" l="1"/>
  <c r="BY108" i="1"/>
  <c r="CD100" i="1"/>
  <c r="CE100" i="1" s="1"/>
  <c r="CF100" i="1" s="1"/>
  <c r="CD92" i="1"/>
  <c r="CE92" i="1" s="1"/>
  <c r="CF92" i="1" s="1"/>
  <c r="CD90" i="1"/>
  <c r="CE90" i="1" s="1"/>
  <c r="CF90" i="1" s="1"/>
  <c r="CD83" i="1"/>
  <c r="CE83" i="1" s="1"/>
  <c r="CF83" i="1" s="1"/>
  <c r="CD75" i="1"/>
  <c r="CE75" i="1" s="1"/>
  <c r="CF75" i="1" s="1"/>
  <c r="BY75" i="1"/>
  <c r="BY60" i="1"/>
  <c r="BY27" i="1"/>
  <c r="CF101" i="1"/>
  <c r="BY120" i="1"/>
  <c r="CD120" i="1"/>
  <c r="CE120" i="1" s="1"/>
  <c r="CF120" i="1" s="1"/>
  <c r="BY112" i="1"/>
  <c r="CD55" i="1"/>
  <c r="CE55" i="1" s="1"/>
  <c r="CF55" i="1" s="1"/>
  <c r="BY70" i="1"/>
  <c r="BY72" i="1"/>
  <c r="BY123" i="1"/>
  <c r="BY71" i="1"/>
  <c r="BY73" i="1"/>
  <c r="BT113" i="1"/>
  <c r="CF123" i="1"/>
  <c r="CF60" i="1"/>
  <c r="CD108" i="1"/>
  <c r="CE108" i="1" s="1"/>
  <c r="CF108" i="1" s="1"/>
  <c r="CD106" i="1"/>
  <c r="CE106" i="1" s="1"/>
  <c r="CF106" i="1" s="1"/>
  <c r="BY106" i="1"/>
  <c r="CD27" i="1"/>
  <c r="CE27" i="1" s="1"/>
  <c r="CF27" i="1" s="1"/>
  <c r="CD122" i="1"/>
  <c r="CE122" i="1" s="1"/>
  <c r="CF122" i="1" s="1"/>
  <c r="BY122" i="1"/>
  <c r="CD110" i="1"/>
  <c r="CE110" i="1" s="1"/>
  <c r="CF110" i="1" s="1"/>
  <c r="CF57" i="1"/>
  <c r="CD113" i="1"/>
  <c r="CE113" i="1" s="1"/>
  <c r="CF113" i="1" s="1"/>
  <c r="BV113" i="1"/>
  <c r="BU113" i="1"/>
  <c r="BR113" i="1"/>
  <c r="BS113" i="1"/>
  <c r="BX113" i="1"/>
  <c r="BW113" i="1"/>
  <c r="CD112" i="1"/>
  <c r="CE112" i="1" s="1"/>
  <c r="CF112" i="1" s="1"/>
  <c r="BY110" i="1"/>
  <c r="BY57" i="1"/>
  <c r="CD105" i="1"/>
  <c r="CE105" i="1" s="1"/>
  <c r="CF105" i="1" s="1"/>
  <c r="CD76" i="1"/>
  <c r="CE76" i="1" s="1"/>
  <c r="CF76" i="1" s="1"/>
  <c r="CD77" i="1"/>
  <c r="CE77" i="1" s="1"/>
  <c r="CF77" i="1" s="1"/>
  <c r="CD107" i="1"/>
  <c r="CE107" i="1" s="1"/>
  <c r="CF107" i="1" s="1"/>
  <c r="BY127" i="1"/>
  <c r="BY107" i="1"/>
  <c r="BY77" i="1"/>
  <c r="CF56" i="1"/>
  <c r="CD127" i="1"/>
  <c r="CE127" i="1" s="1"/>
  <c r="CF127" i="1" s="1"/>
  <c r="CF25" i="1"/>
  <c r="CF61" i="1"/>
  <c r="CF38" i="1"/>
  <c r="BY113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Sivakumaru, Kandasamy</author>
  </authors>
  <commentList>
    <comment ref="AJ12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Refer SS EN 1992-1-1
CL 3.1.4
</t>
        </r>
      </text>
    </comment>
    <comment ref="AX14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Sivakumaru, Kandasamy:</t>
        </r>
        <r>
          <rPr>
            <sz val="9"/>
            <color indexed="81"/>
            <rFont val="Tahoma"/>
            <family val="2"/>
          </rPr>
          <t xml:space="preserve">
For D-Wall Dia.=20mm For other elements use actual Dia.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Sivakumaru, Kandasamy</author>
  </authors>
  <commentList>
    <comment ref="AJ12" authorId="0" shapeId="0" xr:uid="{2A168D8A-1CB1-42BC-979F-6E322A6153C8}">
      <text>
        <r>
          <rPr>
            <sz val="9"/>
            <color indexed="81"/>
            <rFont val="Tahoma"/>
            <family val="2"/>
          </rPr>
          <t xml:space="preserve">Refer SS EN 1992-1-1
CL 3.1.4
</t>
        </r>
      </text>
    </comment>
    <comment ref="AX14" authorId="0" shapeId="0" xr:uid="{E390E450-19D5-4290-ACC3-95DC933A02ED}">
      <text>
        <r>
          <rPr>
            <b/>
            <sz val="9"/>
            <color indexed="81"/>
            <rFont val="Tahoma"/>
            <family val="2"/>
          </rPr>
          <t>Sivakumaru, Kandasamy:</t>
        </r>
        <r>
          <rPr>
            <sz val="9"/>
            <color indexed="81"/>
            <rFont val="Tahoma"/>
            <family val="2"/>
          </rPr>
          <t xml:space="preserve">
For D-Wall Dia.=20mm For other elements use actual Dia.</t>
        </r>
      </text>
    </comment>
  </commentList>
</comments>
</file>

<file path=xl/sharedStrings.xml><?xml version="1.0" encoding="utf-8"?>
<sst xmlns="http://schemas.openxmlformats.org/spreadsheetml/2006/main" count="2085" uniqueCount="215">
  <si>
    <t>d</t>
  </si>
  <si>
    <t>M</t>
  </si>
  <si>
    <t>K</t>
  </si>
  <si>
    <t>Z/d</t>
  </si>
  <si>
    <t>Crack</t>
  </si>
  <si>
    <t>Width</t>
  </si>
  <si>
    <t>Date:</t>
  </si>
  <si>
    <t>Material Properties:</t>
  </si>
  <si>
    <t xml:space="preserve">Steel,  fy (N/mm²) = </t>
  </si>
  <si>
    <t xml:space="preserve">Steel,  Es (kN/mm²) = </t>
  </si>
  <si>
    <t>Rebar Data:</t>
  </si>
  <si>
    <t xml:space="preserve">Mu </t>
  </si>
  <si>
    <t>(kN-m)</t>
  </si>
  <si>
    <t>Design By:</t>
  </si>
  <si>
    <t>Checked By:</t>
  </si>
  <si>
    <t>Provided Cover, Co (mm) =</t>
  </si>
  <si>
    <t>Min Cover, Cmin (mm) =</t>
  </si>
  <si>
    <t>(mm)</t>
  </si>
  <si>
    <t>Effective Depth</t>
  </si>
  <si>
    <t xml:space="preserve"> Provided Reinforcement</t>
  </si>
  <si>
    <t>f2</t>
  </si>
  <si>
    <t>As1</t>
  </si>
  <si>
    <t>(mm²)</t>
  </si>
  <si>
    <t>+</t>
  </si>
  <si>
    <t>=</t>
  </si>
  <si>
    <t>As</t>
  </si>
  <si>
    <t>S2(mm) =</t>
  </si>
  <si>
    <t>Vs2(mm) =</t>
  </si>
  <si>
    <t>S3(mm) =</t>
  </si>
  <si>
    <t>Ultimate Design Check</t>
  </si>
  <si>
    <t>d1</t>
  </si>
  <si>
    <t>d2</t>
  </si>
  <si>
    <t>d3</t>
  </si>
  <si>
    <t>Mu/</t>
  </si>
  <si>
    <t>bd²</t>
  </si>
  <si>
    <t>x</t>
  </si>
  <si>
    <t>(Cmin &lt;= Co)</t>
  </si>
  <si>
    <t>Project Number   :</t>
  </si>
  <si>
    <t>Project Name       :</t>
  </si>
  <si>
    <t>Servicabilty Design Check</t>
  </si>
  <si>
    <t>N.A</t>
  </si>
  <si>
    <t>(kN)</t>
  </si>
  <si>
    <t>fcc</t>
  </si>
  <si>
    <t>(N/mm²)</t>
  </si>
  <si>
    <t>Forces</t>
  </si>
  <si>
    <t>Fc</t>
  </si>
  <si>
    <t>Fst1</t>
  </si>
  <si>
    <t>Fst2</t>
  </si>
  <si>
    <t>Fst3</t>
  </si>
  <si>
    <t>(N-mm)</t>
  </si>
  <si>
    <t>f1</t>
  </si>
  <si>
    <t>f3</t>
  </si>
  <si>
    <t>As2</t>
  </si>
  <si>
    <t>As3</t>
  </si>
  <si>
    <t>Bar Diameters</t>
  </si>
  <si>
    <t>Required Area of Steel</t>
  </si>
  <si>
    <t>As,req</t>
  </si>
  <si>
    <t>Nu</t>
  </si>
  <si>
    <t xml:space="preserve">M </t>
  </si>
  <si>
    <t>N</t>
  </si>
  <si>
    <t>Remarks</t>
  </si>
  <si>
    <t>Depth</t>
  </si>
  <si>
    <t>h</t>
  </si>
  <si>
    <t>SF=0</t>
  </si>
  <si>
    <t>SM=0</t>
  </si>
  <si>
    <t>%</t>
  </si>
  <si>
    <t>Subject               :</t>
  </si>
  <si>
    <t>Minimum Reinforcement Check</t>
  </si>
  <si>
    <t xml:space="preserve">FLEXURAL DESIGN OF TUNNEL (Ultimate &amp; Service) </t>
  </si>
  <si>
    <r>
      <t>Horizontal</t>
    </r>
    <r>
      <rPr>
        <sz val="11"/>
        <rFont val="Arial"/>
        <family val="2"/>
      </rPr>
      <t xml:space="preserve"> , S1 (mm) =</t>
    </r>
  </si>
  <si>
    <r>
      <t>Vertical</t>
    </r>
    <r>
      <rPr>
        <sz val="11"/>
        <rFont val="Arial"/>
        <family val="2"/>
      </rPr>
      <t>, Vs1 (mm) =</t>
    </r>
  </si>
  <si>
    <r>
      <t>Strains x 10</t>
    </r>
    <r>
      <rPr>
        <b/>
        <vertAlign val="superscript"/>
        <sz val="11"/>
        <rFont val="Arial"/>
        <family val="2"/>
      </rPr>
      <t>3</t>
    </r>
  </si>
  <si>
    <t>--</t>
  </si>
  <si>
    <t>File Reference:</t>
  </si>
  <si>
    <t xml:space="preserve"> in OpenSTAAD</t>
  </si>
  <si>
    <t xml:space="preserve"> LC Appears</t>
  </si>
  <si>
    <t>ULS</t>
  </si>
  <si>
    <t>SLS</t>
  </si>
  <si>
    <t>LCs</t>
  </si>
  <si>
    <t>Location</t>
  </si>
  <si>
    <t>No</t>
  </si>
  <si>
    <t>Member</t>
  </si>
  <si>
    <t>Position</t>
  </si>
  <si>
    <t>Re-Bar</t>
  </si>
  <si>
    <t>Conditions</t>
  </si>
  <si>
    <t>Design ULS</t>
  </si>
  <si>
    <t>Design SLS</t>
  </si>
  <si>
    <t>Section Reference :</t>
  </si>
  <si>
    <t>STAAD ULS</t>
  </si>
  <si>
    <t>STAAD SLS</t>
  </si>
  <si>
    <t xml:space="preserve">STAAD ULS </t>
  </si>
  <si>
    <t xml:space="preserve">STAAD SLS </t>
  </si>
  <si>
    <t>Ms</t>
  </si>
  <si>
    <t>Ns</t>
  </si>
  <si>
    <r>
      <t>Nu</t>
    </r>
    <r>
      <rPr>
        <sz val="11"/>
        <rFont val="Arial"/>
        <family val="2"/>
      </rPr>
      <t>x</t>
    </r>
    <r>
      <rPr>
        <b/>
        <sz val="11"/>
        <rFont val="Symbol"/>
        <family val="1"/>
        <charset val="2"/>
      </rPr>
      <t>g</t>
    </r>
    <r>
      <rPr>
        <b/>
        <vertAlign val="subscript"/>
        <sz val="11"/>
        <rFont val="Arial"/>
        <family val="2"/>
      </rPr>
      <t>f3</t>
    </r>
  </si>
  <si>
    <t>Ms+Ml</t>
  </si>
  <si>
    <r>
      <t>* Consider Factor for moment from STAAD Pro (</t>
    </r>
    <r>
      <rPr>
        <b/>
        <sz val="11"/>
        <rFont val="Symbol"/>
        <family val="1"/>
        <charset val="2"/>
      </rPr>
      <t>g</t>
    </r>
    <r>
      <rPr>
        <b/>
        <vertAlign val="subscript"/>
        <sz val="11"/>
        <rFont val="Arial"/>
        <family val="2"/>
      </rPr>
      <t>f3</t>
    </r>
    <r>
      <rPr>
        <b/>
        <sz val="11"/>
        <rFont val="Arial"/>
        <family val="2"/>
      </rPr>
      <t>)  =</t>
    </r>
  </si>
  <si>
    <r>
      <t>Mu</t>
    </r>
    <r>
      <rPr>
        <sz val="11"/>
        <rFont val="Arial"/>
        <family val="2"/>
      </rPr>
      <t>x</t>
    </r>
    <r>
      <rPr>
        <b/>
        <sz val="11"/>
        <rFont val="Symbol"/>
        <family val="1"/>
        <charset val="2"/>
      </rPr>
      <t>g</t>
    </r>
    <r>
      <rPr>
        <b/>
        <vertAlign val="subscript"/>
        <sz val="11"/>
        <rFont val="Arial"/>
        <family val="2"/>
      </rPr>
      <t>f3</t>
    </r>
    <r>
      <rPr>
        <b/>
        <sz val="11"/>
        <rFont val="Arial"/>
        <family val="2"/>
      </rPr>
      <t>+Ml</t>
    </r>
    <r>
      <rPr>
        <sz val="11"/>
        <rFont val="Arial"/>
        <family val="2"/>
      </rPr>
      <t>x</t>
    </r>
    <r>
      <rPr>
        <b/>
        <sz val="11"/>
        <rFont val="Symbol"/>
        <family val="1"/>
        <charset val="2"/>
      </rPr>
      <t>g</t>
    </r>
    <r>
      <rPr>
        <b/>
        <vertAlign val="subscript"/>
        <sz val="11"/>
        <rFont val="Arial"/>
        <family val="2"/>
      </rPr>
      <t>f</t>
    </r>
  </si>
  <si>
    <t>Locked-in</t>
  </si>
  <si>
    <t xml:space="preserve"> Moment (Ml)</t>
  </si>
  <si>
    <t>Shear Links (mm) =</t>
  </si>
  <si>
    <t xml:space="preserve">Spacing of Rebar (mm) : </t>
  </si>
  <si>
    <t xml:space="preserve"> </t>
  </si>
  <si>
    <t>Rebar Detail For Design</t>
  </si>
  <si>
    <t>Beam No.</t>
  </si>
  <si>
    <t>External</t>
  </si>
  <si>
    <t>Internal</t>
  </si>
  <si>
    <t>layer1</t>
  </si>
  <si>
    <t>layer2</t>
  </si>
  <si>
    <t>layer3</t>
  </si>
  <si>
    <t>f4</t>
  </si>
  <si>
    <t>f5</t>
  </si>
  <si>
    <t>f6</t>
  </si>
  <si>
    <t>As4</t>
  </si>
  <si>
    <t>As5</t>
  </si>
  <si>
    <t>As6</t>
  </si>
  <si>
    <t>d4</t>
  </si>
  <si>
    <t>d5</t>
  </si>
  <si>
    <t>d6</t>
  </si>
  <si>
    <t>Fst4</t>
  </si>
  <si>
    <t>Fst5</t>
  </si>
  <si>
    <t>Fst6</t>
  </si>
  <si>
    <t>S4(mm) =</t>
  </si>
  <si>
    <t>S5(mm) =</t>
  </si>
  <si>
    <t>S6(mm) =</t>
  </si>
  <si>
    <t>Vs3(mm) =</t>
  </si>
  <si>
    <t>Vs4(mm) =</t>
  </si>
  <si>
    <t>Vs5(mm) =</t>
  </si>
  <si>
    <t>layer4</t>
  </si>
  <si>
    <t>layer5</t>
  </si>
  <si>
    <t>layer6</t>
  </si>
  <si>
    <t xml:space="preserve">Concrete, fck (N/mm²) = </t>
  </si>
  <si>
    <t>For Concrete Grade ≤ C50/60 ONLY</t>
  </si>
  <si>
    <r>
      <t>(</t>
    </r>
    <r>
      <rPr>
        <b/>
        <sz val="11"/>
        <rFont val="Symbol"/>
        <family val="1"/>
        <charset val="2"/>
      </rPr>
      <t>e</t>
    </r>
    <r>
      <rPr>
        <b/>
        <vertAlign val="subscript"/>
        <sz val="11"/>
        <rFont val="Arial"/>
        <family val="2"/>
      </rPr>
      <t>sm-</t>
    </r>
    <r>
      <rPr>
        <b/>
        <sz val="11"/>
        <rFont val="Symbol"/>
        <family val="1"/>
        <charset val="2"/>
      </rPr>
      <t>e</t>
    </r>
    <r>
      <rPr>
        <b/>
        <vertAlign val="subscript"/>
        <sz val="11"/>
        <rFont val="Arial"/>
        <family val="2"/>
      </rPr>
      <t>cm</t>
    </r>
    <r>
      <rPr>
        <b/>
        <sz val="11"/>
        <rFont val="Arial"/>
        <family val="2"/>
      </rPr>
      <t>)</t>
    </r>
  </si>
  <si>
    <t>Spacing</t>
  </si>
  <si>
    <t>s_r,max</t>
  </si>
  <si>
    <r>
      <t xml:space="preserve">Modular Ratio, </t>
    </r>
    <r>
      <rPr>
        <sz val="11"/>
        <rFont val="Arial"/>
        <family val="2"/>
      </rPr>
      <t>α_e</t>
    </r>
    <r>
      <rPr>
        <sz val="11"/>
        <rFont val="Arial"/>
        <family val="2"/>
      </rPr>
      <t xml:space="preserve"> = </t>
    </r>
  </si>
  <si>
    <t>ρ_p,eff</t>
  </si>
  <si>
    <t>Stress in Steel</t>
  </si>
  <si>
    <t>σ_s</t>
  </si>
  <si>
    <t>Eff. Reinf. Ratio</t>
  </si>
  <si>
    <t>P:\Singapore\SPL\Projects\290142 KL Blue Line\14 Calculations\Maluri\New design-2013\SECTION ANALYSIS\Section G\Report</t>
  </si>
  <si>
    <t xml:space="preserve">Concrete,  E_c,eff (kN/mm²) = </t>
  </si>
  <si>
    <t xml:space="preserve">Concrete, E_cm (kN/mm²) = </t>
  </si>
  <si>
    <t xml:space="preserve">Creep Coefficient (Φ) = </t>
  </si>
  <si>
    <t>Max Fx</t>
  </si>
  <si>
    <t>Min Fx</t>
  </si>
  <si>
    <t>Max Mz</t>
  </si>
  <si>
    <t>Min Mz</t>
  </si>
  <si>
    <t>memebrs</t>
  </si>
  <si>
    <t>LC-U</t>
  </si>
  <si>
    <t>LC-S</t>
  </si>
  <si>
    <t>Sagging Mz Sign</t>
  </si>
  <si>
    <t>Section Size</t>
  </si>
  <si>
    <t>I-</t>
  </si>
  <si>
    <t>I+</t>
  </si>
  <si>
    <t>I</t>
  </si>
  <si>
    <t>MEGASPINE</t>
  </si>
  <si>
    <t>SECTION D1</t>
  </si>
  <si>
    <t>Member Width, b (mm) =</t>
  </si>
  <si>
    <t>Cover</t>
  </si>
  <si>
    <t>ROOF</t>
  </si>
  <si>
    <t>L.WALL</t>
  </si>
  <si>
    <t>R.WALL</t>
  </si>
  <si>
    <t>I.WALL</t>
  </si>
  <si>
    <t>PSM</t>
  </si>
  <si>
    <t>JRS</t>
  </si>
  <si>
    <t>Base Slab</t>
  </si>
  <si>
    <t>Frame</t>
  </si>
  <si>
    <t>LS</t>
  </si>
  <si>
    <t>OutputCase</t>
  </si>
  <si>
    <t>M3</t>
  </si>
  <si>
    <t>P</t>
  </si>
  <si>
    <t>Combined</t>
  </si>
  <si>
    <t>Station</t>
  </si>
  <si>
    <t>76Max Fx</t>
  </si>
  <si>
    <t>76Max Mz</t>
  </si>
  <si>
    <t>76Min Fx</t>
  </si>
  <si>
    <t>76Min Mz</t>
  </si>
  <si>
    <t>79Max Fx</t>
  </si>
  <si>
    <t>79Max Mz</t>
  </si>
  <si>
    <t>79Min Fx</t>
  </si>
  <si>
    <t>79Min Mz</t>
  </si>
  <si>
    <t>82Max Fx</t>
  </si>
  <si>
    <t>82Max Mz</t>
  </si>
  <si>
    <t>82Min Fx</t>
  </si>
  <si>
    <t>82Min Mz</t>
  </si>
  <si>
    <t>84Max Fx</t>
  </si>
  <si>
    <t>84Max Mz</t>
  </si>
  <si>
    <t>84Min Fx</t>
  </si>
  <si>
    <t>84Min Mz</t>
  </si>
  <si>
    <t>87Max Fx</t>
  </si>
  <si>
    <t>87Max Mz</t>
  </si>
  <si>
    <t>87Min Fx</t>
  </si>
  <si>
    <t>87Min Mz</t>
  </si>
  <si>
    <t>88Max Fx</t>
  </si>
  <si>
    <t>88Max Mz</t>
  </si>
  <si>
    <t>88Min Fx</t>
  </si>
  <si>
    <t>88Min Mz</t>
  </si>
  <si>
    <t>SECTION B</t>
  </si>
  <si>
    <t>Axis direction</t>
  </si>
  <si>
    <t>Inward</t>
  </si>
  <si>
    <t>Outward</t>
  </si>
  <si>
    <t>77Max Fx</t>
  </si>
  <si>
    <t>77Max Mz</t>
  </si>
  <si>
    <t>77Min Fx</t>
  </si>
  <si>
    <t>77Min Mz</t>
  </si>
  <si>
    <t>86Max Fx</t>
  </si>
  <si>
    <t>86Max Mz</t>
  </si>
  <si>
    <t>86Min Fx</t>
  </si>
  <si>
    <t>86Min Mz</t>
  </si>
  <si>
    <t>89Max Fx</t>
  </si>
  <si>
    <t>89Max Mz</t>
  </si>
  <si>
    <t>89Min Fx</t>
  </si>
  <si>
    <t>89Min Mz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</si>
</sst>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"/>
  </numFmts>
  <fonts count="24" x14ac:knownFonts="1">
    <font>
      <sz val="10"/>
      <name val="Arial"/>
      <family val="2"/>
    </font>
    <font>
      <b/>
      <sz val="11"/>
      <name val="Arial"/>
      <family val="2"/>
    </font>
    <font>
      <b/>
      <sz val="11"/>
      <color indexed="10"/>
      <name val="Arial"/>
      <family val="2"/>
    </font>
    <font>
      <sz val="11"/>
      <name val="Arial"/>
      <family val="2"/>
    </font>
    <font>
      <sz val="11"/>
      <name val="Arial"/>
      <family val="2"/>
    </font>
    <font>
      <b/>
      <u/>
      <sz val="11"/>
      <name val="Arial"/>
      <family val="2"/>
    </font>
    <font>
      <sz val="11"/>
      <name val="Times New Roman"/>
      <family val="1"/>
    </font>
    <font>
      <sz val="11"/>
      <color indexed="12"/>
      <name val="Arial"/>
      <family val="2"/>
    </font>
    <font>
      <b/>
      <vertAlign val="superscript"/>
      <sz val="11"/>
      <name val="Arial"/>
      <family val="2"/>
    </font>
    <font>
      <b/>
      <vertAlign val="subscript"/>
      <sz val="11"/>
      <name val="Arial"/>
      <family val="2"/>
    </font>
    <font>
      <b/>
      <sz val="11"/>
      <name val="Symbol"/>
      <family val="1"/>
      <charset val="2"/>
    </font>
    <font>
      <sz val="11"/>
      <color indexed="10"/>
      <name val="Arial"/>
      <family val="2"/>
    </font>
    <font>
      <sz val="10"/>
      <name val="Arial"/>
      <family val="2"/>
    </font>
    <font>
      <b/>
      <sz val="14"/>
      <color indexed="10"/>
      <name val="Arial"/>
      <family val="2"/>
    </font>
    <font>
      <b/>
      <sz val="12"/>
      <name val="Arial"/>
      <family val="2"/>
    </font>
    <font>
      <b/>
      <sz val="11"/>
      <color indexed="8"/>
      <name val="Arial"/>
      <family val="2"/>
    </font>
    <font>
      <i/>
      <sz val="11"/>
      <name val="Arial"/>
      <family val="2"/>
    </font>
    <font>
      <b/>
      <i/>
      <sz val="11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FF"/>
      <name val="Arial"/>
      <family val="2"/>
    </font>
    <font>
      <b/>
      <sz val="11"/>
      <color rgb="FFFF0000"/>
      <name val="Arial"/>
      <family val="2"/>
    </font>
    <font>
      <sz val="10"/>
      <color rgb="FF000000"/>
      <name val="Arial"/>
      <family val="2"/>
    </font>
    <font>
      <sz val="8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1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05">
    <xf numFmtId="0" fontId="0" fillId="0" borderId="0" xfId="0"/>
    <xf numFmtId="1" fontId="4" fillId="0" borderId="1" xfId="0" applyNumberFormat="1" applyFont="1" applyFill="1" applyBorder="1" applyAlignment="1">
      <alignment horizontal="center"/>
    </xf>
    <xf numFmtId="1" fontId="3" fillId="0" borderId="2" xfId="0" applyNumberFormat="1" applyFont="1" applyFill="1" applyBorder="1" applyAlignment="1">
      <alignment horizontal="center"/>
    </xf>
    <xf numFmtId="1" fontId="3" fillId="0" borderId="1" xfId="0" applyNumberFormat="1" applyFont="1" applyFill="1" applyBorder="1" applyAlignment="1">
      <alignment horizontal="center"/>
    </xf>
    <xf numFmtId="165" fontId="4" fillId="0" borderId="2" xfId="0" applyNumberFormat="1" applyFont="1" applyFill="1" applyBorder="1" applyAlignment="1">
      <alignment horizontal="center"/>
    </xf>
    <xf numFmtId="1" fontId="4" fillId="0" borderId="0" xfId="0" applyNumberFormat="1" applyFont="1" applyFill="1" applyBorder="1" applyAlignment="1">
      <alignment horizontal="center"/>
    </xf>
    <xf numFmtId="1" fontId="3" fillId="0" borderId="0" xfId="0" applyNumberFormat="1" applyFont="1" applyFill="1" applyBorder="1" applyAlignment="1">
      <alignment horizontal="center"/>
    </xf>
    <xf numFmtId="0" fontId="3" fillId="0" borderId="0" xfId="0" applyFont="1" applyFill="1" applyBorder="1"/>
    <xf numFmtId="0" fontId="3" fillId="0" borderId="0" xfId="0" applyNumberFormat="1" applyFont="1" applyFill="1" applyBorder="1" applyAlignment="1">
      <alignment horizontal="center"/>
    </xf>
    <xf numFmtId="1" fontId="7" fillId="0" borderId="3" xfId="0" applyNumberFormat="1" applyFont="1" applyFill="1" applyBorder="1" applyAlignment="1">
      <alignment horizontal="center"/>
    </xf>
    <xf numFmtId="1" fontId="3" fillId="0" borderId="3" xfId="0" applyNumberFormat="1" applyFont="1" applyFill="1" applyBorder="1" applyAlignment="1">
      <alignment horizontal="center"/>
    </xf>
    <xf numFmtId="1" fontId="4" fillId="0" borderId="3" xfId="0" applyNumberFormat="1" applyFont="1" applyFill="1" applyBorder="1" applyAlignment="1">
      <alignment horizontal="center"/>
    </xf>
    <xf numFmtId="0" fontId="11" fillId="0" borderId="0" xfId="0" applyNumberFormat="1" applyFont="1" applyFill="1" applyBorder="1" applyAlignment="1">
      <alignment horizontal="center"/>
    </xf>
    <xf numFmtId="1" fontId="3" fillId="0" borderId="0" xfId="0" applyNumberFormat="1" applyFont="1" applyFill="1" applyBorder="1"/>
    <xf numFmtId="1" fontId="11" fillId="0" borderId="1" xfId="0" applyNumberFormat="1" applyFont="1" applyFill="1" applyBorder="1" applyAlignment="1">
      <alignment horizontal="center"/>
    </xf>
    <xf numFmtId="1" fontId="3" fillId="0" borderId="4" xfId="0" applyNumberFormat="1" applyFont="1" applyFill="1" applyBorder="1" applyAlignment="1">
      <alignment horizontal="center"/>
    </xf>
    <xf numFmtId="1" fontId="4" fillId="0" borderId="5" xfId="0" applyNumberFormat="1" applyFont="1" applyFill="1" applyBorder="1" applyAlignment="1">
      <alignment horizontal="center"/>
    </xf>
    <xf numFmtId="2" fontId="4" fillId="0" borderId="3" xfId="0" applyNumberFormat="1" applyFont="1" applyFill="1" applyBorder="1" applyAlignment="1">
      <alignment horizontal="center"/>
    </xf>
    <xf numFmtId="0" fontId="4" fillId="0" borderId="0" xfId="0" applyFont="1" applyFill="1" applyBorder="1"/>
    <xf numFmtId="1" fontId="3" fillId="0" borderId="6" xfId="0" applyNumberFormat="1" applyFont="1" applyFill="1" applyBorder="1" applyAlignment="1">
      <alignment horizontal="center"/>
    </xf>
    <xf numFmtId="1" fontId="3" fillId="0" borderId="5" xfId="0" applyNumberFormat="1" applyFont="1" applyFill="1" applyBorder="1" applyAlignment="1">
      <alignment horizontal="center"/>
    </xf>
    <xf numFmtId="2" fontId="3" fillId="0" borderId="3" xfId="0" applyNumberFormat="1" applyFont="1" applyFill="1" applyBorder="1" applyAlignment="1">
      <alignment horizontal="center"/>
    </xf>
    <xf numFmtId="165" fontId="3" fillId="0" borderId="2" xfId="0" applyNumberFormat="1" applyFont="1" applyFill="1" applyBorder="1" applyAlignment="1">
      <alignment horizontal="center"/>
    </xf>
    <xf numFmtId="0" fontId="3" fillId="0" borderId="6" xfId="0" applyFont="1" applyFill="1" applyBorder="1" applyAlignment="1">
      <alignment horizontal="center"/>
    </xf>
    <xf numFmtId="1" fontId="11" fillId="0" borderId="0" xfId="0" applyNumberFormat="1" applyFont="1" applyFill="1" applyBorder="1" applyAlignment="1">
      <alignment horizontal="center"/>
    </xf>
    <xf numFmtId="49" fontId="3" fillId="0" borderId="0" xfId="0" applyNumberFormat="1" applyFont="1" applyFill="1" applyBorder="1" applyAlignment="1">
      <alignment horizontal="center"/>
    </xf>
    <xf numFmtId="49" fontId="3" fillId="0" borderId="1" xfId="0" applyNumberFormat="1" applyFont="1" applyFill="1" applyBorder="1" applyAlignment="1">
      <alignment horizontal="left"/>
    </xf>
    <xf numFmtId="1" fontId="11" fillId="0" borderId="4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11" fillId="0" borderId="3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1" fillId="0" borderId="0" xfId="0" applyFont="1" applyFill="1" applyBorder="1" applyAlignment="1"/>
    <xf numFmtId="0" fontId="3" fillId="0" borderId="0" xfId="0" applyFont="1" applyFill="1" applyBorder="1" applyAlignment="1"/>
    <xf numFmtId="0" fontId="4" fillId="0" borderId="0" xfId="0" applyFont="1" applyFill="1" applyBorder="1" applyAlignment="1">
      <alignment horizontal="center"/>
    </xf>
    <xf numFmtId="0" fontId="4" fillId="0" borderId="0" xfId="0" applyNumberFormat="1" applyFont="1" applyFill="1" applyBorder="1" applyAlignment="1">
      <alignment horizontal="center"/>
    </xf>
    <xf numFmtId="164" fontId="4" fillId="0" borderId="0" xfId="0" applyNumberFormat="1" applyFont="1" applyFill="1" applyBorder="1" applyAlignment="1">
      <alignment horizontal="center"/>
    </xf>
    <xf numFmtId="2" fontId="3" fillId="0" borderId="0" xfId="0" applyNumberFormat="1" applyFont="1" applyFill="1" applyBorder="1"/>
    <xf numFmtId="0" fontId="3" fillId="0" borderId="0" xfId="0" applyNumberFormat="1" applyFont="1" applyFill="1" applyBorder="1"/>
    <xf numFmtId="2" fontId="3" fillId="0" borderId="0" xfId="0" applyNumberFormat="1" applyFont="1" applyFill="1" applyBorder="1" applyAlignment="1">
      <alignment horizontal="left"/>
    </xf>
    <xf numFmtId="1" fontId="3" fillId="0" borderId="0" xfId="0" applyNumberFormat="1" applyFont="1" applyFill="1" applyBorder="1" applyAlignment="1">
      <alignment horizontal="left"/>
    </xf>
    <xf numFmtId="1" fontId="3" fillId="0" borderId="0" xfId="0" applyNumberFormat="1" applyFont="1" applyFill="1" applyAlignment="1">
      <alignment horizontal="center"/>
    </xf>
    <xf numFmtId="2" fontId="3" fillId="0" borderId="0" xfId="0" applyNumberFormat="1" applyFont="1" applyFill="1"/>
    <xf numFmtId="0" fontId="3" fillId="0" borderId="0" xfId="0" applyNumberFormat="1" applyFont="1" applyFill="1"/>
    <xf numFmtId="2" fontId="3" fillId="0" borderId="0" xfId="0" applyNumberFormat="1" applyFont="1" applyFill="1" applyAlignment="1">
      <alignment horizontal="left"/>
    </xf>
    <xf numFmtId="1" fontId="3" fillId="0" borderId="0" xfId="0" applyNumberFormat="1" applyFont="1" applyFill="1" applyAlignment="1">
      <alignment horizontal="left"/>
    </xf>
    <xf numFmtId="1" fontId="3" fillId="0" borderId="0" xfId="0" applyNumberFormat="1" applyFont="1" applyFill="1"/>
    <xf numFmtId="0" fontId="3" fillId="0" borderId="0" xfId="0" applyFont="1" applyFill="1"/>
    <xf numFmtId="1" fontId="5" fillId="0" borderId="0" xfId="0" applyNumberFormat="1" applyFont="1" applyFill="1" applyBorder="1" applyAlignment="1">
      <alignment horizontal="left"/>
    </xf>
    <xf numFmtId="0" fontId="5" fillId="0" borderId="0" xfId="0" applyFont="1" applyFill="1" applyBorder="1" applyAlignment="1">
      <alignment horizontal="center"/>
    </xf>
    <xf numFmtId="1" fontId="5" fillId="0" borderId="0" xfId="0" applyNumberFormat="1" applyFont="1" applyFill="1" applyBorder="1" applyAlignment="1">
      <alignment horizontal="center"/>
    </xf>
    <xf numFmtId="0" fontId="5" fillId="0" borderId="0" xfId="0" applyFont="1" applyFill="1" applyBorder="1" applyAlignment="1"/>
    <xf numFmtId="1" fontId="4" fillId="0" borderId="0" xfId="0" applyNumberFormat="1" applyFont="1" applyFill="1" applyBorder="1" applyAlignment="1">
      <alignment horizontal="left"/>
    </xf>
    <xf numFmtId="0" fontId="1" fillId="0" borderId="0" xfId="0" applyFont="1" applyFill="1" applyBorder="1" applyAlignment="1">
      <alignment horizontal="right"/>
    </xf>
    <xf numFmtId="1" fontId="1" fillId="0" borderId="0" xfId="0" applyNumberFormat="1" applyFont="1" applyFill="1" applyBorder="1" applyAlignment="1">
      <alignment horizontal="left"/>
    </xf>
    <xf numFmtId="0" fontId="1" fillId="0" borderId="0" xfId="0" applyNumberFormat="1" applyFont="1" applyFill="1" applyBorder="1" applyAlignment="1">
      <alignment horizontal="center"/>
    </xf>
    <xf numFmtId="15" fontId="4" fillId="0" borderId="0" xfId="0" applyNumberFormat="1" applyFont="1" applyFill="1" applyBorder="1" applyAlignment="1">
      <alignment horizontal="center"/>
    </xf>
    <xf numFmtId="0" fontId="1" fillId="0" borderId="0" xfId="0" applyFont="1" applyFill="1" applyBorder="1" applyAlignment="1">
      <alignment horizontal="left"/>
    </xf>
    <xf numFmtId="0" fontId="6" fillId="0" borderId="0" xfId="0" applyFont="1" applyFill="1"/>
    <xf numFmtId="0" fontId="11" fillId="0" borderId="0" xfId="0" applyFont="1" applyFill="1" applyBorder="1" applyAlignment="1">
      <alignment horizontal="left"/>
    </xf>
    <xf numFmtId="0" fontId="4" fillId="0" borderId="0" xfId="0" applyFont="1" applyFill="1" applyBorder="1" applyAlignment="1">
      <alignment horizontal="left"/>
    </xf>
    <xf numFmtId="0" fontId="4" fillId="0" borderId="0" xfId="0" applyFont="1" applyFill="1" applyBorder="1" applyAlignment="1" applyProtection="1">
      <alignment horizontal="center"/>
      <protection locked="0"/>
    </xf>
    <xf numFmtId="0" fontId="11" fillId="0" borderId="0" xfId="0" quotePrefix="1" applyFont="1" applyFill="1" applyBorder="1" applyAlignment="1">
      <alignment horizontal="left"/>
    </xf>
    <xf numFmtId="0" fontId="4" fillId="0" borderId="0" xfId="0" quotePrefix="1" applyFont="1" applyFill="1" applyBorder="1" applyAlignment="1">
      <alignment horizontal="left"/>
    </xf>
    <xf numFmtId="0" fontId="4" fillId="0" borderId="0" xfId="0" applyNumberFormat="1" applyFont="1" applyFill="1" applyBorder="1"/>
    <xf numFmtId="0" fontId="12" fillId="0" borderId="0" xfId="0" applyFont="1" applyFill="1" applyBorder="1" applyAlignment="1">
      <alignment horizontal="left"/>
    </xf>
    <xf numFmtId="0" fontId="2" fillId="0" borderId="0" xfId="0" applyFont="1" applyFill="1" applyBorder="1" applyAlignment="1" applyProtection="1">
      <alignment horizontal="left"/>
      <protection locked="0"/>
    </xf>
    <xf numFmtId="0" fontId="6" fillId="0" borderId="0" xfId="0" applyFont="1" applyFill="1" applyBorder="1"/>
    <xf numFmtId="0" fontId="4" fillId="0" borderId="0" xfId="0" applyFont="1" applyFill="1" applyBorder="1" applyAlignment="1"/>
    <xf numFmtId="0" fontId="1" fillId="0" borderId="0" xfId="0" applyNumberFormat="1" applyFont="1" applyFill="1" applyBorder="1" applyAlignment="1">
      <alignment horizontal="left"/>
    </xf>
    <xf numFmtId="165" fontId="4" fillId="0" borderId="0" xfId="0" applyNumberFormat="1" applyFont="1" applyFill="1" applyBorder="1" applyAlignment="1">
      <alignment horizontal="center"/>
    </xf>
    <xf numFmtId="0" fontId="4" fillId="0" borderId="0" xfId="0" applyFont="1" applyFill="1" applyBorder="1" applyAlignment="1">
      <alignment horizontal="right"/>
    </xf>
    <xf numFmtId="0" fontId="4" fillId="0" borderId="0" xfId="0" applyNumberFormat="1" applyFont="1" applyFill="1" applyBorder="1" applyAlignment="1">
      <alignment horizontal="right"/>
    </xf>
    <xf numFmtId="1" fontId="7" fillId="0" borderId="0" xfId="0" applyNumberFormat="1" applyFont="1" applyFill="1" applyBorder="1" applyAlignment="1">
      <alignment horizontal="center"/>
    </xf>
    <xf numFmtId="1" fontId="4" fillId="0" borderId="0" xfId="0" applyNumberFormat="1" applyFont="1" applyFill="1" applyBorder="1" applyAlignment="1">
      <alignment horizontal="right"/>
    </xf>
    <xf numFmtId="0" fontId="7" fillId="0" borderId="0" xfId="0" applyFont="1" applyFill="1" applyBorder="1" applyAlignment="1">
      <alignment horizontal="center"/>
    </xf>
    <xf numFmtId="164" fontId="4" fillId="0" borderId="0" xfId="0" applyNumberFormat="1" applyFont="1" applyFill="1" applyBorder="1" applyAlignment="1">
      <alignment horizontal="left"/>
    </xf>
    <xf numFmtId="1" fontId="1" fillId="0" borderId="0" xfId="0" applyNumberFormat="1" applyFont="1" applyFill="1" applyBorder="1" applyAlignment="1">
      <alignment horizontal="right"/>
    </xf>
    <xf numFmtId="1" fontId="1" fillId="0" borderId="6" xfId="0" applyNumberFormat="1" applyFont="1" applyFill="1" applyBorder="1" applyAlignment="1">
      <alignment horizontal="left"/>
    </xf>
    <xf numFmtId="2" fontId="4" fillId="0" borderId="0" xfId="0" applyNumberFormat="1" applyFont="1" applyFill="1" applyBorder="1" applyAlignment="1">
      <alignment horizontal="right"/>
    </xf>
    <xf numFmtId="1" fontId="1" fillId="0" borderId="7" xfId="0" applyNumberFormat="1" applyFont="1" applyFill="1" applyBorder="1" applyAlignment="1">
      <alignment horizontal="left"/>
    </xf>
    <xf numFmtId="2" fontId="7" fillId="0" borderId="0" xfId="0" applyNumberFormat="1" applyFont="1" applyFill="1" applyBorder="1" applyAlignment="1">
      <alignment horizontal="center"/>
    </xf>
    <xf numFmtId="0" fontId="7" fillId="0" borderId="0" xfId="0" applyFont="1" applyFill="1" applyBorder="1" applyAlignment="1">
      <alignment horizontal="left"/>
    </xf>
    <xf numFmtId="0" fontId="1" fillId="0" borderId="0" xfId="0" applyFont="1" applyFill="1" applyBorder="1"/>
    <xf numFmtId="0" fontId="1" fillId="0" borderId="0" xfId="0" applyNumberFormat="1" applyFont="1" applyFill="1" applyBorder="1"/>
    <xf numFmtId="0" fontId="4" fillId="0" borderId="7" xfId="0" applyFont="1" applyFill="1" applyBorder="1"/>
    <xf numFmtId="1" fontId="4" fillId="0" borderId="8" xfId="0" applyNumberFormat="1" applyFont="1" applyFill="1" applyBorder="1" applyAlignment="1">
      <alignment horizontal="center"/>
    </xf>
    <xf numFmtId="0" fontId="4" fillId="0" borderId="9" xfId="0" applyFont="1" applyFill="1" applyBorder="1" applyAlignment="1">
      <alignment horizontal="center"/>
    </xf>
    <xf numFmtId="1" fontId="4" fillId="0" borderId="9" xfId="0" applyNumberFormat="1" applyFont="1" applyFill="1" applyBorder="1" applyAlignment="1">
      <alignment horizontal="center"/>
    </xf>
    <xf numFmtId="0" fontId="4" fillId="0" borderId="10" xfId="0" applyFont="1" applyFill="1" applyBorder="1" applyAlignment="1"/>
    <xf numFmtId="0" fontId="4" fillId="0" borderId="9" xfId="0" applyFont="1" applyFill="1" applyBorder="1"/>
    <xf numFmtId="0" fontId="1" fillId="0" borderId="11" xfId="0" applyFont="1" applyFill="1" applyBorder="1" applyAlignment="1">
      <alignment horizontal="center"/>
    </xf>
    <xf numFmtId="0" fontId="1" fillId="0" borderId="8" xfId="0" applyFont="1" applyFill="1" applyBorder="1" applyAlignment="1">
      <alignment horizontal="center"/>
    </xf>
    <xf numFmtId="0" fontId="4" fillId="0" borderId="12" xfId="0" applyFont="1" applyFill="1" applyBorder="1"/>
    <xf numFmtId="1" fontId="1" fillId="0" borderId="9" xfId="0" applyNumberFormat="1" applyFont="1" applyFill="1" applyBorder="1" applyAlignment="1">
      <alignment horizontal="center"/>
    </xf>
    <xf numFmtId="0" fontId="3" fillId="0" borderId="9" xfId="0" applyFont="1" applyFill="1" applyBorder="1" applyAlignment="1">
      <alignment horizontal="center"/>
    </xf>
    <xf numFmtId="0" fontId="3" fillId="0" borderId="9" xfId="0" applyNumberFormat="1" applyFont="1" applyFill="1" applyBorder="1" applyAlignment="1">
      <alignment horizontal="center"/>
    </xf>
    <xf numFmtId="0" fontId="3" fillId="0" borderId="10" xfId="0" applyFont="1" applyFill="1" applyBorder="1" applyAlignment="1">
      <alignment horizontal="left"/>
    </xf>
    <xf numFmtId="0" fontId="3" fillId="0" borderId="12" xfId="0" applyFont="1" applyFill="1" applyBorder="1" applyAlignment="1">
      <alignment horizontal="left"/>
    </xf>
    <xf numFmtId="1" fontId="1" fillId="0" borderId="6" xfId="0" applyNumberFormat="1" applyFont="1" applyFill="1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1" fontId="1" fillId="0" borderId="13" xfId="0" applyNumberFormat="1" applyFont="1" applyFill="1" applyBorder="1" applyAlignment="1">
      <alignment horizontal="center"/>
    </xf>
    <xf numFmtId="0" fontId="1" fillId="0" borderId="14" xfId="0" applyFont="1" applyFill="1" applyBorder="1" applyAlignment="1">
      <alignment horizontal="center"/>
    </xf>
    <xf numFmtId="0" fontId="1" fillId="0" borderId="15" xfId="0" applyFont="1" applyFill="1" applyBorder="1" applyAlignment="1">
      <alignment horizontal="center"/>
    </xf>
    <xf numFmtId="0" fontId="1" fillId="0" borderId="16" xfId="0" applyFont="1" applyFill="1" applyBorder="1" applyAlignment="1">
      <alignment horizontal="center"/>
    </xf>
    <xf numFmtId="0" fontId="1" fillId="0" borderId="3" xfId="0" applyFont="1" applyFill="1" applyBorder="1" applyAlignment="1">
      <alignment horizontal="center"/>
    </xf>
    <xf numFmtId="0" fontId="1" fillId="0" borderId="17" xfId="0" applyFont="1" applyFill="1" applyBorder="1" applyAlignment="1">
      <alignment horizontal="center"/>
    </xf>
    <xf numFmtId="0" fontId="1" fillId="0" borderId="2" xfId="0" applyFont="1" applyFill="1" applyBorder="1" applyAlignment="1">
      <alignment horizontal="center"/>
    </xf>
    <xf numFmtId="0" fontId="1" fillId="0" borderId="18" xfId="0" applyFont="1" applyFill="1" applyBorder="1" applyAlignment="1">
      <alignment horizontal="center"/>
    </xf>
    <xf numFmtId="0" fontId="1" fillId="0" borderId="6" xfId="0" applyFont="1" applyFill="1" applyBorder="1" applyAlignment="1">
      <alignment horizontal="center"/>
    </xf>
    <xf numFmtId="0" fontId="1" fillId="0" borderId="4" xfId="0" applyFont="1" applyFill="1" applyBorder="1" applyAlignment="1">
      <alignment horizontal="center"/>
    </xf>
    <xf numFmtId="1" fontId="1" fillId="0" borderId="1" xfId="0" applyNumberFormat="1" applyFont="1" applyFill="1" applyBorder="1" applyAlignment="1">
      <alignment horizontal="center"/>
    </xf>
    <xf numFmtId="1" fontId="2" fillId="0" borderId="4" xfId="0" applyNumberFormat="1" applyFont="1" applyFill="1" applyBorder="1" applyAlignment="1">
      <alignment horizontal="left"/>
    </xf>
    <xf numFmtId="0" fontId="1" fillId="0" borderId="1" xfId="0" applyFont="1" applyFill="1" applyBorder="1" applyAlignment="1"/>
    <xf numFmtId="1" fontId="1" fillId="0" borderId="2" xfId="0" applyNumberFormat="1" applyFont="1" applyFill="1" applyBorder="1" applyAlignment="1">
      <alignment horizontal="center"/>
    </xf>
    <xf numFmtId="0" fontId="1" fillId="0" borderId="5" xfId="0" applyFont="1" applyFill="1" applyBorder="1" applyAlignment="1">
      <alignment horizontal="center"/>
    </xf>
    <xf numFmtId="0" fontId="1" fillId="0" borderId="3" xfId="0" applyNumberFormat="1" applyFont="1" applyFill="1" applyBorder="1" applyAlignment="1">
      <alignment horizontal="center"/>
    </xf>
    <xf numFmtId="0" fontId="1" fillId="0" borderId="2" xfId="0" quotePrefix="1" applyFont="1" applyFill="1" applyBorder="1" applyAlignment="1">
      <alignment horizontal="center"/>
    </xf>
    <xf numFmtId="0" fontId="1" fillId="0" borderId="4" xfId="0" applyFont="1" applyFill="1" applyBorder="1"/>
    <xf numFmtId="0" fontId="1" fillId="0" borderId="19" xfId="0" applyFont="1" applyFill="1" applyBorder="1" applyAlignment="1">
      <alignment horizontal="center"/>
    </xf>
    <xf numFmtId="0" fontId="4" fillId="0" borderId="4" xfId="0" applyFont="1" applyFill="1" applyBorder="1"/>
    <xf numFmtId="1" fontId="1" fillId="0" borderId="1" xfId="0" applyNumberFormat="1" applyFont="1" applyFill="1" applyBorder="1" applyAlignment="1">
      <alignment horizontal="left"/>
    </xf>
    <xf numFmtId="1" fontId="1" fillId="0" borderId="17" xfId="0" applyNumberFormat="1" applyFont="1" applyFill="1" applyBorder="1" applyAlignment="1">
      <alignment horizontal="center"/>
    </xf>
    <xf numFmtId="0" fontId="1" fillId="0" borderId="20" xfId="0" applyFont="1" applyFill="1" applyBorder="1" applyAlignment="1">
      <alignment horizontal="center"/>
    </xf>
    <xf numFmtId="1" fontId="1" fillId="0" borderId="21" xfId="0" applyNumberFormat="1" applyFont="1" applyFill="1" applyBorder="1" applyAlignment="1">
      <alignment horizontal="center"/>
    </xf>
    <xf numFmtId="1" fontId="1" fillId="0" borderId="15" xfId="0" applyNumberFormat="1" applyFont="1" applyFill="1" applyBorder="1" applyAlignment="1">
      <alignment horizontal="center"/>
    </xf>
    <xf numFmtId="0" fontId="1" fillId="0" borderId="22" xfId="0" applyFont="1" applyFill="1" applyBorder="1" applyAlignment="1"/>
    <xf numFmtId="0" fontId="1" fillId="0" borderId="23" xfId="0" applyFont="1" applyFill="1" applyBorder="1" applyAlignment="1">
      <alignment horizontal="center"/>
    </xf>
    <xf numFmtId="0" fontId="4" fillId="0" borderId="24" xfId="0" applyFont="1" applyFill="1" applyBorder="1" applyAlignment="1">
      <alignment horizontal="center"/>
    </xf>
    <xf numFmtId="0" fontId="4" fillId="0" borderId="17" xfId="0" applyFont="1" applyFill="1" applyBorder="1" applyAlignment="1">
      <alignment horizontal="center"/>
    </xf>
    <xf numFmtId="0" fontId="4" fillId="0" borderId="25" xfId="0" applyFont="1" applyFill="1" applyBorder="1" applyAlignment="1">
      <alignment horizontal="center"/>
    </xf>
    <xf numFmtId="0" fontId="4" fillId="0" borderId="21" xfId="0" applyFont="1" applyFill="1" applyBorder="1" applyAlignment="1">
      <alignment horizontal="center"/>
    </xf>
    <xf numFmtId="0" fontId="4" fillId="0" borderId="15" xfId="0" applyNumberFormat="1" applyFont="1" applyFill="1" applyBorder="1" applyAlignment="1">
      <alignment horizontal="center"/>
    </xf>
    <xf numFmtId="0" fontId="4" fillId="0" borderId="15" xfId="0" applyFont="1" applyFill="1" applyBorder="1" applyAlignment="1">
      <alignment horizontal="center"/>
    </xf>
    <xf numFmtId="0" fontId="4" fillId="0" borderId="24" xfId="0" applyNumberFormat="1" applyFont="1" applyFill="1" applyBorder="1" applyAlignment="1">
      <alignment horizontal="center"/>
    </xf>
    <xf numFmtId="0" fontId="4" fillId="0" borderId="26" xfId="0" applyFont="1" applyFill="1" applyBorder="1" applyAlignment="1">
      <alignment horizontal="center"/>
    </xf>
    <xf numFmtId="0" fontId="1" fillId="0" borderId="27" xfId="0" applyFont="1" applyFill="1" applyBorder="1"/>
    <xf numFmtId="0" fontId="4" fillId="0" borderId="15" xfId="0" applyFont="1" applyFill="1" applyBorder="1"/>
    <xf numFmtId="0" fontId="4" fillId="0" borderId="26" xfId="0" applyFont="1" applyFill="1" applyBorder="1"/>
    <xf numFmtId="0" fontId="4" fillId="0" borderId="27" xfId="0" applyFont="1" applyFill="1" applyBorder="1" applyAlignment="1">
      <alignment horizontal="center"/>
    </xf>
    <xf numFmtId="0" fontId="4" fillId="0" borderId="22" xfId="0" applyFont="1" applyFill="1" applyBorder="1" applyAlignment="1">
      <alignment horizontal="center"/>
    </xf>
    <xf numFmtId="0" fontId="1" fillId="0" borderId="24" xfId="0" applyFont="1" applyFill="1" applyBorder="1" applyAlignment="1">
      <alignment horizontal="right"/>
    </xf>
    <xf numFmtId="0" fontId="1" fillId="0" borderId="22" xfId="0" applyFont="1" applyFill="1" applyBorder="1" applyAlignment="1">
      <alignment horizontal="center"/>
    </xf>
    <xf numFmtId="0" fontId="4" fillId="0" borderId="23" xfId="0" applyFont="1" applyFill="1" applyBorder="1" applyAlignment="1">
      <alignment horizontal="center"/>
    </xf>
    <xf numFmtId="0" fontId="4" fillId="0" borderId="22" xfId="0" applyFont="1" applyFill="1" applyBorder="1" applyAlignment="1">
      <alignment horizontal="left"/>
    </xf>
    <xf numFmtId="0" fontId="4" fillId="0" borderId="21" xfId="0" applyFont="1" applyFill="1" applyBorder="1"/>
    <xf numFmtId="0" fontId="1" fillId="0" borderId="15" xfId="0" applyNumberFormat="1" applyFont="1" applyFill="1" applyBorder="1" applyAlignment="1">
      <alignment horizontal="center"/>
    </xf>
    <xf numFmtId="0" fontId="1" fillId="0" borderId="22" xfId="0" applyFont="1" applyFill="1" applyBorder="1" applyAlignment="1">
      <alignment horizontal="left"/>
    </xf>
    <xf numFmtId="0" fontId="1" fillId="0" borderId="26" xfId="0" applyFont="1" applyFill="1" applyBorder="1" applyAlignment="1">
      <alignment horizontal="left"/>
    </xf>
    <xf numFmtId="1" fontId="3" fillId="0" borderId="27" xfId="0" applyNumberFormat="1" applyFont="1" applyFill="1" applyBorder="1" applyAlignment="1">
      <alignment horizontal="center"/>
    </xf>
    <xf numFmtId="1" fontId="3" fillId="0" borderId="24" xfId="0" applyNumberFormat="1" applyFont="1" applyFill="1" applyBorder="1" applyAlignment="1">
      <alignment horizontal="center"/>
    </xf>
    <xf numFmtId="1" fontId="3" fillId="0" borderId="15" xfId="0" applyNumberFormat="1" applyFont="1" applyFill="1" applyBorder="1" applyAlignment="1">
      <alignment horizontal="center"/>
    </xf>
    <xf numFmtId="1" fontId="3" fillId="0" borderId="23" xfId="0" applyNumberFormat="1" applyFont="1" applyFill="1" applyBorder="1" applyAlignment="1">
      <alignment horizontal="center"/>
    </xf>
    <xf numFmtId="0" fontId="3" fillId="0" borderId="27" xfId="0" applyFont="1" applyFill="1" applyBorder="1" applyAlignment="1">
      <alignment horizontal="center"/>
    </xf>
    <xf numFmtId="0" fontId="3" fillId="0" borderId="23" xfId="0" applyFont="1" applyFill="1" applyBorder="1" applyAlignment="1">
      <alignment horizontal="center"/>
    </xf>
    <xf numFmtId="1" fontId="4" fillId="0" borderId="1" xfId="0" applyNumberFormat="1" applyFont="1" applyFill="1" applyBorder="1" applyAlignment="1"/>
    <xf numFmtId="1" fontId="11" fillId="0" borderId="2" xfId="0" applyNumberFormat="1" applyFont="1" applyFill="1" applyBorder="1" applyAlignment="1">
      <alignment horizontal="center"/>
    </xf>
    <xf numFmtId="0" fontId="4" fillId="0" borderId="6" xfId="0" applyFont="1" applyFill="1" applyBorder="1" applyAlignment="1">
      <alignment horizontal="center"/>
    </xf>
    <xf numFmtId="0" fontId="11" fillId="0" borderId="0" xfId="0" applyFont="1" applyFill="1" applyBorder="1" applyAlignment="1">
      <alignment horizontal="center"/>
    </xf>
    <xf numFmtId="1" fontId="4" fillId="0" borderId="4" xfId="0" applyNumberFormat="1" applyFont="1" applyFill="1" applyBorder="1" applyAlignment="1">
      <alignment horizontal="center"/>
    </xf>
    <xf numFmtId="2" fontId="11" fillId="0" borderId="2" xfId="0" applyNumberFormat="1" applyFont="1" applyFill="1" applyBorder="1" applyAlignment="1">
      <alignment horizontal="center"/>
    </xf>
    <xf numFmtId="1" fontId="4" fillId="0" borderId="2" xfId="0" applyNumberFormat="1" applyFont="1" applyFill="1" applyBorder="1" applyAlignment="1">
      <alignment horizontal="center"/>
    </xf>
    <xf numFmtId="2" fontId="4" fillId="0" borderId="1" xfId="0" applyNumberFormat="1" applyFont="1" applyFill="1" applyBorder="1" applyAlignment="1">
      <alignment horizontal="center"/>
    </xf>
    <xf numFmtId="165" fontId="4" fillId="0" borderId="1" xfId="0" applyNumberFormat="1" applyFont="1" applyFill="1" applyBorder="1" applyAlignment="1">
      <alignment horizontal="center"/>
    </xf>
    <xf numFmtId="164" fontId="4" fillId="0" borderId="1" xfId="0" applyNumberFormat="1" applyFont="1" applyFill="1" applyBorder="1" applyAlignment="1">
      <alignment horizontal="center"/>
    </xf>
    <xf numFmtId="164" fontId="4" fillId="0" borderId="17" xfId="0" applyNumberFormat="1" applyFont="1" applyFill="1" applyBorder="1" applyAlignment="1">
      <alignment horizontal="center"/>
    </xf>
    <xf numFmtId="1" fontId="2" fillId="0" borderId="28" xfId="0" applyNumberFormat="1" applyFont="1" applyFill="1" applyBorder="1" applyAlignment="1">
      <alignment horizontal="left"/>
    </xf>
    <xf numFmtId="0" fontId="1" fillId="0" borderId="28" xfId="0" applyFont="1" applyFill="1" applyBorder="1" applyAlignment="1">
      <alignment horizontal="center"/>
    </xf>
    <xf numFmtId="0" fontId="1" fillId="0" borderId="28" xfId="0" applyNumberFormat="1" applyFont="1" applyFill="1" applyBorder="1" applyAlignment="1">
      <alignment horizontal="center"/>
    </xf>
    <xf numFmtId="0" fontId="1" fillId="0" borderId="18" xfId="0" applyFont="1" applyFill="1" applyBorder="1" applyAlignment="1">
      <alignment horizontal="left"/>
    </xf>
    <xf numFmtId="0" fontId="2" fillId="0" borderId="29" xfId="0" applyFont="1" applyFill="1" applyBorder="1" applyAlignment="1">
      <alignment horizontal="center"/>
    </xf>
    <xf numFmtId="1" fontId="3" fillId="0" borderId="18" xfId="0" applyNumberFormat="1" applyFont="1" applyFill="1" applyBorder="1" applyAlignment="1">
      <alignment horizontal="center"/>
    </xf>
    <xf numFmtId="0" fontId="3" fillId="0" borderId="19" xfId="0" applyFont="1" applyFill="1" applyBorder="1" applyAlignment="1">
      <alignment horizontal="center"/>
    </xf>
    <xf numFmtId="0" fontId="3" fillId="0" borderId="4" xfId="0" applyFont="1" applyFill="1" applyBorder="1" applyAlignment="1">
      <alignment horizontal="center"/>
    </xf>
    <xf numFmtId="1" fontId="3" fillId="0" borderId="1" xfId="0" applyNumberFormat="1" applyFont="1" applyFill="1" applyBorder="1" applyAlignment="1"/>
    <xf numFmtId="2" fontId="3" fillId="0" borderId="1" xfId="0" applyNumberFormat="1" applyFont="1" applyFill="1" applyBorder="1" applyAlignment="1">
      <alignment horizontal="center"/>
    </xf>
    <xf numFmtId="165" fontId="3" fillId="0" borderId="1" xfId="0" applyNumberFormat="1" applyFont="1" applyFill="1" applyBorder="1" applyAlignment="1">
      <alignment horizontal="center"/>
    </xf>
    <xf numFmtId="164" fontId="3" fillId="0" borderId="1" xfId="0" applyNumberFormat="1" applyFont="1" applyFill="1" applyBorder="1" applyAlignment="1">
      <alignment horizontal="center"/>
    </xf>
    <xf numFmtId="164" fontId="3" fillId="0" borderId="17" xfId="0" applyNumberFormat="1" applyFont="1" applyFill="1" applyBorder="1" applyAlignment="1">
      <alignment horizontal="center"/>
    </xf>
    <xf numFmtId="0" fontId="3" fillId="0" borderId="17" xfId="0" applyFont="1" applyFill="1" applyBorder="1" applyAlignment="1">
      <alignment horizontal="center"/>
    </xf>
    <xf numFmtId="0" fontId="6" fillId="0" borderId="0" xfId="0" applyNumberFormat="1" applyFont="1" applyFill="1" applyAlignment="1">
      <alignment horizontal="center"/>
    </xf>
    <xf numFmtId="0" fontId="6" fillId="0" borderId="0" xfId="0" applyNumberFormat="1" applyFont="1" applyFill="1"/>
    <xf numFmtId="1" fontId="6" fillId="0" borderId="0" xfId="0" applyNumberFormat="1" applyFont="1" applyFill="1" applyAlignment="1">
      <alignment horizontal="center"/>
    </xf>
    <xf numFmtId="0" fontId="6" fillId="0" borderId="0" xfId="0" applyFont="1" applyFill="1" applyAlignment="1">
      <alignment horizontal="center"/>
    </xf>
    <xf numFmtId="0" fontId="6" fillId="0" borderId="0" xfId="0" applyFont="1" applyFill="1" applyAlignment="1"/>
    <xf numFmtId="0" fontId="3" fillId="0" borderId="0" xfId="0" applyFont="1" applyBorder="1"/>
    <xf numFmtId="0" fontId="2" fillId="2" borderId="0" xfId="0" applyFont="1" applyFill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3" fillId="3" borderId="0" xfId="0" applyFont="1" applyFill="1" applyBorder="1"/>
    <xf numFmtId="0" fontId="3" fillId="0" borderId="0" xfId="0" applyFont="1"/>
    <xf numFmtId="0" fontId="2" fillId="2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3" borderId="0" xfId="0" applyFont="1" applyFill="1"/>
    <xf numFmtId="0" fontId="1" fillId="0" borderId="0" xfId="0" applyNumberFormat="1" applyFont="1" applyBorder="1" applyAlignment="1">
      <alignment horizontal="center"/>
    </xf>
    <xf numFmtId="1" fontId="3" fillId="0" borderId="0" xfId="0" applyNumberFormat="1" applyFont="1"/>
    <xf numFmtId="1" fontId="2" fillId="2" borderId="0" xfId="0" applyNumberFormat="1" applyFont="1" applyFill="1" applyAlignment="1">
      <alignment horizontal="center"/>
    </xf>
    <xf numFmtId="1" fontId="3" fillId="0" borderId="0" xfId="0" applyNumberFormat="1" applyFont="1" applyAlignment="1">
      <alignment horizontal="center"/>
    </xf>
    <xf numFmtId="1" fontId="2" fillId="4" borderId="0" xfId="0" applyNumberFormat="1" applyFont="1" applyFill="1" applyAlignment="1">
      <alignment horizontal="center"/>
    </xf>
    <xf numFmtId="0" fontId="3" fillId="4" borderId="0" xfId="0" applyFont="1" applyFill="1"/>
    <xf numFmtId="0" fontId="1" fillId="4" borderId="0" xfId="0" applyFont="1" applyFill="1" applyAlignment="1">
      <alignment horizontal="center"/>
    </xf>
    <xf numFmtId="0" fontId="3" fillId="4" borderId="0" xfId="0" applyFont="1" applyFill="1" applyAlignment="1">
      <alignment horizontal="center"/>
    </xf>
    <xf numFmtId="1" fontId="1" fillId="4" borderId="0" xfId="0" applyNumberFormat="1" applyFont="1" applyFill="1" applyAlignment="1">
      <alignment horizontal="center"/>
    </xf>
    <xf numFmtId="1" fontId="2" fillId="4" borderId="0" xfId="0" applyNumberFormat="1" applyFont="1" applyFill="1" applyBorder="1" applyAlignment="1">
      <alignment horizontal="center"/>
    </xf>
    <xf numFmtId="0" fontId="1" fillId="4" borderId="0" xfId="0" applyFont="1" applyFill="1" applyBorder="1" applyAlignment="1">
      <alignment horizontal="center"/>
    </xf>
    <xf numFmtId="0" fontId="1" fillId="4" borderId="0" xfId="0" applyFont="1" applyFill="1" applyBorder="1"/>
    <xf numFmtId="1" fontId="1" fillId="4" borderId="0" xfId="0" applyNumberFormat="1" applyFont="1" applyFill="1" applyBorder="1" applyAlignment="1">
      <alignment horizontal="center"/>
    </xf>
    <xf numFmtId="1" fontId="3" fillId="4" borderId="0" xfId="0" applyNumberFormat="1" applyFont="1" applyFill="1" applyBorder="1" applyAlignment="1">
      <alignment horizontal="center"/>
    </xf>
    <xf numFmtId="0" fontId="3" fillId="4" borderId="0" xfId="0" applyFont="1" applyFill="1" applyBorder="1" applyAlignment="1">
      <alignment horizontal="center"/>
    </xf>
    <xf numFmtId="0" fontId="3" fillId="4" borderId="0" xfId="0" applyFont="1" applyFill="1" applyBorder="1"/>
    <xf numFmtId="0" fontId="16" fillId="0" borderId="0" xfId="0" applyFont="1" applyBorder="1"/>
    <xf numFmtId="0" fontId="16" fillId="0" borderId="0" xfId="0" applyFont="1"/>
    <xf numFmtId="0" fontId="17" fillId="0" borderId="0" xfId="0" applyNumberFormat="1" applyFont="1" applyBorder="1" applyAlignment="1">
      <alignment horizontal="center"/>
    </xf>
    <xf numFmtId="1" fontId="16" fillId="0" borderId="0" xfId="0" applyNumberFormat="1" applyFont="1" applyFill="1" applyBorder="1" applyAlignment="1">
      <alignment horizontal="center"/>
    </xf>
    <xf numFmtId="0" fontId="7" fillId="0" borderId="0" xfId="0" applyFont="1" applyFill="1" applyBorder="1"/>
    <xf numFmtId="0" fontId="1" fillId="0" borderId="30" xfId="0" applyFont="1" applyFill="1" applyBorder="1" applyAlignment="1">
      <alignment horizontal="center"/>
    </xf>
    <xf numFmtId="0" fontId="1" fillId="0" borderId="31" xfId="0" applyFont="1" applyFill="1" applyBorder="1" applyAlignment="1">
      <alignment horizontal="center"/>
    </xf>
    <xf numFmtId="0" fontId="3" fillId="0" borderId="25" xfId="0" applyFont="1" applyFill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1" fontId="1" fillId="3" borderId="0" xfId="0" applyNumberFormat="1" applyFont="1" applyFill="1" applyBorder="1" applyAlignment="1">
      <alignment horizontal="center"/>
    </xf>
    <xf numFmtId="0" fontId="1" fillId="0" borderId="32" xfId="0" applyFont="1" applyFill="1" applyBorder="1" applyAlignment="1">
      <alignment horizontal="center"/>
    </xf>
    <xf numFmtId="0" fontId="1" fillId="0" borderId="0" xfId="0" applyFont="1" applyBorder="1" applyAlignment="1">
      <alignment horizontal="left"/>
    </xf>
    <xf numFmtId="0" fontId="3" fillId="0" borderId="0" xfId="0" applyNumberFormat="1" applyFont="1" applyFill="1" applyBorder="1" applyAlignment="1">
      <alignment horizontal="right"/>
    </xf>
    <xf numFmtId="0" fontId="3" fillId="0" borderId="22" xfId="0" applyFont="1" applyFill="1" applyBorder="1" applyAlignment="1">
      <alignment horizontal="center"/>
    </xf>
    <xf numFmtId="0" fontId="14" fillId="0" borderId="0" xfId="0" applyFont="1" applyFill="1" applyBorder="1" applyAlignment="1">
      <alignment horizontal="left"/>
    </xf>
    <xf numFmtId="0" fontId="1" fillId="0" borderId="18" xfId="0" applyFont="1" applyFill="1" applyBorder="1" applyAlignment="1">
      <alignment horizontal="center" vertical="center"/>
    </xf>
    <xf numFmtId="0" fontId="1" fillId="0" borderId="33" xfId="0" applyFont="1" applyFill="1" applyBorder="1" applyAlignment="1"/>
    <xf numFmtId="0" fontId="1" fillId="0" borderId="34" xfId="0" applyFont="1" applyFill="1" applyBorder="1" applyAlignment="1">
      <alignment horizontal="center" vertical="center"/>
    </xf>
    <xf numFmtId="0" fontId="3" fillId="0" borderId="22" xfId="0" applyFont="1" applyFill="1" applyBorder="1" applyAlignment="1">
      <alignment horizontal="center" vertical="center"/>
    </xf>
    <xf numFmtId="164" fontId="11" fillId="0" borderId="2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right"/>
    </xf>
    <xf numFmtId="2" fontId="20" fillId="0" borderId="0" xfId="0" applyNumberFormat="1" applyFont="1" applyFill="1" applyBorder="1" applyAlignment="1">
      <alignment horizontal="left"/>
    </xf>
    <xf numFmtId="2" fontId="3" fillId="0" borderId="0" xfId="0" applyNumberFormat="1" applyFont="1" applyFill="1" applyBorder="1" applyAlignment="1">
      <alignment horizontal="center"/>
    </xf>
    <xf numFmtId="1" fontId="3" fillId="0" borderId="0" xfId="0" applyNumberFormat="1" applyFont="1" applyFill="1" applyBorder="1" applyAlignment="1"/>
    <xf numFmtId="164" fontId="11" fillId="0" borderId="0" xfId="0" applyNumberFormat="1" applyFont="1" applyFill="1" applyBorder="1" applyAlignment="1">
      <alignment horizontal="center"/>
    </xf>
    <xf numFmtId="165" fontId="3" fillId="0" borderId="0" xfId="0" applyNumberFormat="1" applyFont="1" applyFill="1" applyBorder="1" applyAlignment="1">
      <alignment horizontal="center"/>
    </xf>
    <xf numFmtId="164" fontId="3" fillId="0" borderId="0" xfId="0" applyNumberFormat="1" applyFont="1" applyFill="1" applyBorder="1" applyAlignment="1">
      <alignment horizontal="center"/>
    </xf>
    <xf numFmtId="49" fontId="3" fillId="0" borderId="0" xfId="0" applyNumberFormat="1" applyFont="1" applyFill="1" applyBorder="1" applyAlignment="1">
      <alignment horizontal="left"/>
    </xf>
    <xf numFmtId="1" fontId="6" fillId="0" borderId="0" xfId="0" applyNumberFormat="1" applyFont="1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6" fillId="0" borderId="0" xfId="0" applyFont="1" applyFill="1" applyBorder="1" applyAlignment="1"/>
    <xf numFmtId="0" fontId="6" fillId="0" borderId="0" xfId="0" applyNumberFormat="1" applyFont="1" applyFill="1" applyBorder="1" applyAlignment="1">
      <alignment horizontal="center"/>
    </xf>
    <xf numFmtId="0" fontId="6" fillId="0" borderId="0" xfId="0" applyNumberFormat="1" applyFont="1" applyFill="1" applyBorder="1"/>
    <xf numFmtId="1" fontId="6" fillId="0" borderId="6" xfId="0" applyNumberFormat="1" applyFont="1" applyFill="1" applyBorder="1" applyAlignment="1">
      <alignment horizontal="center"/>
    </xf>
    <xf numFmtId="0" fontId="3" fillId="0" borderId="4" xfId="0" applyFont="1" applyFill="1" applyBorder="1"/>
    <xf numFmtId="1" fontId="3" fillId="0" borderId="35" xfId="0" applyNumberFormat="1" applyFont="1" applyFill="1" applyBorder="1" applyAlignment="1">
      <alignment horizontal="center"/>
    </xf>
    <xf numFmtId="1" fontId="3" fillId="0" borderId="7" xfId="0" applyNumberFormat="1" applyFont="1" applyFill="1" applyBorder="1" applyAlignment="1">
      <alignment horizontal="center"/>
    </xf>
    <xf numFmtId="1" fontId="3" fillId="0" borderId="36" xfId="0" applyNumberFormat="1" applyFont="1" applyFill="1" applyBorder="1" applyAlignment="1"/>
    <xf numFmtId="1" fontId="11" fillId="0" borderId="37" xfId="0" applyNumberFormat="1" applyFont="1" applyFill="1" applyBorder="1" applyAlignment="1">
      <alignment horizontal="center"/>
    </xf>
    <xf numFmtId="1" fontId="3" fillId="0" borderId="38" xfId="0" applyNumberFormat="1" applyFont="1" applyFill="1" applyBorder="1" applyAlignment="1">
      <alignment horizontal="center"/>
    </xf>
    <xf numFmtId="1" fontId="11" fillId="0" borderId="36" xfId="0" applyNumberFormat="1" applyFont="1" applyFill="1" applyBorder="1" applyAlignment="1">
      <alignment horizontal="center"/>
    </xf>
    <xf numFmtId="1" fontId="3" fillId="0" borderId="36" xfId="0" applyNumberFormat="1" applyFont="1" applyFill="1" applyBorder="1" applyAlignment="1">
      <alignment horizontal="center"/>
    </xf>
    <xf numFmtId="1" fontId="3" fillId="0" borderId="39" xfId="0" applyNumberFormat="1" applyFont="1" applyFill="1" applyBorder="1" applyAlignment="1">
      <alignment horizontal="center"/>
    </xf>
    <xf numFmtId="0" fontId="3" fillId="0" borderId="35" xfId="0" applyFont="1" applyFill="1" applyBorder="1" applyAlignment="1">
      <alignment horizontal="center"/>
    </xf>
    <xf numFmtId="0" fontId="11" fillId="0" borderId="7" xfId="0" applyNumberFormat="1" applyFont="1" applyFill="1" applyBorder="1" applyAlignment="1">
      <alignment horizontal="center"/>
    </xf>
    <xf numFmtId="0" fontId="3" fillId="0" borderId="7" xfId="0" applyFont="1" applyFill="1" applyBorder="1" applyAlignment="1">
      <alignment horizontal="center"/>
    </xf>
    <xf numFmtId="0" fontId="11" fillId="0" borderId="7" xfId="0" applyFont="1" applyFill="1" applyBorder="1" applyAlignment="1">
      <alignment horizontal="center"/>
    </xf>
    <xf numFmtId="0" fontId="11" fillId="0" borderId="38" xfId="0" applyNumberFormat="1" applyFont="1" applyFill="1" applyBorder="1" applyAlignment="1">
      <alignment horizontal="center"/>
    </xf>
    <xf numFmtId="1" fontId="3" fillId="0" borderId="40" xfId="0" applyNumberFormat="1" applyFont="1" applyFill="1" applyBorder="1" applyAlignment="1">
      <alignment horizontal="center"/>
    </xf>
    <xf numFmtId="164" fontId="11" fillId="0" borderId="37" xfId="0" applyNumberFormat="1" applyFont="1" applyFill="1" applyBorder="1" applyAlignment="1">
      <alignment horizontal="center"/>
    </xf>
    <xf numFmtId="1" fontId="11" fillId="0" borderId="7" xfId="0" applyNumberFormat="1" applyFont="1" applyFill="1" applyBorder="1" applyAlignment="1">
      <alignment horizontal="center"/>
    </xf>
    <xf numFmtId="1" fontId="3" fillId="0" borderId="37" xfId="0" applyNumberFormat="1" applyFont="1" applyFill="1" applyBorder="1" applyAlignment="1">
      <alignment horizontal="center"/>
    </xf>
    <xf numFmtId="2" fontId="3" fillId="0" borderId="36" xfId="0" applyNumberFormat="1" applyFont="1" applyFill="1" applyBorder="1" applyAlignment="1">
      <alignment horizontal="center"/>
    </xf>
    <xf numFmtId="2" fontId="3" fillId="0" borderId="38" xfId="0" applyNumberFormat="1" applyFont="1" applyFill="1" applyBorder="1" applyAlignment="1">
      <alignment horizontal="center"/>
    </xf>
    <xf numFmtId="165" fontId="3" fillId="0" borderId="37" xfId="0" applyNumberFormat="1" applyFont="1" applyFill="1" applyBorder="1" applyAlignment="1">
      <alignment horizontal="center"/>
    </xf>
    <xf numFmtId="165" fontId="3" fillId="0" borderId="36" xfId="0" applyNumberFormat="1" applyFont="1" applyFill="1" applyBorder="1" applyAlignment="1">
      <alignment horizontal="center"/>
    </xf>
    <xf numFmtId="164" fontId="3" fillId="0" borderId="36" xfId="0" applyNumberFormat="1" applyFont="1" applyFill="1" applyBorder="1" applyAlignment="1">
      <alignment horizontal="center"/>
    </xf>
    <xf numFmtId="164" fontId="3" fillId="0" borderId="41" xfId="0" applyNumberFormat="1" applyFont="1" applyFill="1" applyBorder="1" applyAlignment="1">
      <alignment horizontal="center"/>
    </xf>
    <xf numFmtId="0" fontId="3" fillId="0" borderId="41" xfId="0" applyFont="1" applyFill="1" applyBorder="1" applyAlignment="1">
      <alignment horizontal="center"/>
    </xf>
    <xf numFmtId="1" fontId="3" fillId="0" borderId="0" xfId="0" applyNumberFormat="1" applyFont="1" applyFill="1" applyAlignment="1">
      <alignment horizontal="right"/>
    </xf>
    <xf numFmtId="1" fontId="3" fillId="0" borderId="0" xfId="0" applyNumberFormat="1" applyFont="1" applyFill="1" applyBorder="1" applyAlignment="1">
      <alignment horizontal="right"/>
    </xf>
    <xf numFmtId="0" fontId="3" fillId="0" borderId="0" xfId="0" applyNumberFormat="1" applyFont="1" applyFill="1" applyAlignment="1">
      <alignment horizontal="right"/>
    </xf>
    <xf numFmtId="0" fontId="3" fillId="0" borderId="0" xfId="0" applyFont="1" applyFill="1" applyAlignment="1">
      <alignment horizontal="center"/>
    </xf>
    <xf numFmtId="0" fontId="3" fillId="0" borderId="0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3" fillId="0" borderId="0" xfId="0" applyFont="1" applyAlignment="1"/>
    <xf numFmtId="0" fontId="2" fillId="0" borderId="0" xfId="0" applyNumberFormat="1" applyFont="1" applyBorder="1" applyAlignment="1">
      <alignment horizontal="center" vertical="center"/>
    </xf>
    <xf numFmtId="1" fontId="2" fillId="4" borderId="0" xfId="0" applyNumberFormat="1" applyFont="1" applyFill="1" applyAlignment="1">
      <alignment horizontal="center" vertical="center"/>
    </xf>
    <xf numFmtId="1" fontId="2" fillId="4" borderId="0" xfId="0" applyNumberFormat="1" applyFont="1" applyFill="1" applyBorder="1" applyAlignment="1">
      <alignment horizontal="center" vertical="center"/>
    </xf>
    <xf numFmtId="1" fontId="2" fillId="0" borderId="0" xfId="0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0" borderId="0" xfId="0" applyNumberFormat="1" applyFont="1" applyBorder="1" applyAlignment="1">
      <alignment horizontal="center"/>
    </xf>
    <xf numFmtId="1" fontId="3" fillId="0" borderId="34" xfId="0" applyNumberFormat="1" applyFont="1" applyFill="1" applyBorder="1" applyAlignment="1">
      <alignment horizontal="center" vertical="center"/>
    </xf>
    <xf numFmtId="0" fontId="3" fillId="0" borderId="34" xfId="0" applyFont="1" applyFill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2" fillId="0" borderId="34" xfId="0" applyFont="1" applyBorder="1" applyAlignment="1">
      <alignment horizontal="center" vertical="center"/>
    </xf>
    <xf numFmtId="0" fontId="3" fillId="0" borderId="34" xfId="0" applyFont="1" applyBorder="1"/>
    <xf numFmtId="0" fontId="21" fillId="0" borderId="34" xfId="0" applyFont="1" applyFill="1" applyBorder="1" applyAlignment="1">
      <alignment horizontal="center" vertical="center"/>
    </xf>
    <xf numFmtId="0" fontId="3" fillId="0" borderId="34" xfId="0" applyFont="1" applyFill="1" applyBorder="1"/>
    <xf numFmtId="0" fontId="3" fillId="0" borderId="34" xfId="0" applyFont="1" applyFill="1" applyBorder="1" applyAlignment="1">
      <alignment horizontal="center"/>
    </xf>
    <xf numFmtId="1" fontId="13" fillId="0" borderId="34" xfId="0" applyNumberFormat="1" applyFont="1" applyBorder="1" applyAlignment="1">
      <alignment horizontal="center" vertical="center"/>
    </xf>
    <xf numFmtId="0" fontId="3" fillId="0" borderId="34" xfId="0" applyFont="1" applyBorder="1" applyAlignment="1"/>
    <xf numFmtId="0" fontId="13" fillId="0" borderId="34" xfId="0" applyFont="1" applyBorder="1" applyAlignment="1"/>
    <xf numFmtId="0" fontId="6" fillId="0" borderId="34" xfId="0" applyFont="1" applyFill="1" applyBorder="1"/>
    <xf numFmtId="0" fontId="3" fillId="0" borderId="34" xfId="0" applyFont="1" applyFill="1" applyBorder="1" applyAlignment="1">
      <alignment horizontal="right"/>
    </xf>
    <xf numFmtId="0" fontId="7" fillId="0" borderId="34" xfId="0" applyFont="1" applyFill="1" applyBorder="1" applyAlignment="1">
      <alignment horizontal="center"/>
    </xf>
    <xf numFmtId="0" fontId="20" fillId="0" borderId="34" xfId="0" applyFont="1" applyFill="1" applyBorder="1" applyAlignment="1">
      <alignment horizontal="right"/>
    </xf>
    <xf numFmtId="1" fontId="2" fillId="0" borderId="6" xfId="0" applyNumberFormat="1" applyFont="1" applyFill="1" applyBorder="1" applyAlignment="1">
      <alignment horizontal="center"/>
    </xf>
    <xf numFmtId="1" fontId="21" fillId="0" borderId="6" xfId="0" applyNumberFormat="1" applyFont="1" applyFill="1" applyBorder="1" applyAlignment="1">
      <alignment horizontal="center"/>
    </xf>
    <xf numFmtId="0" fontId="1" fillId="0" borderId="8" xfId="0" applyFont="1" applyFill="1" applyBorder="1" applyAlignment="1">
      <alignment horizontal="center"/>
    </xf>
    <xf numFmtId="0" fontId="1" fillId="0" borderId="14" xfId="0" applyFont="1" applyFill="1" applyBorder="1" applyAlignment="1">
      <alignment horizontal="center"/>
    </xf>
    <xf numFmtId="0" fontId="1" fillId="0" borderId="11" xfId="0" applyFont="1" applyFill="1" applyBorder="1" applyAlignment="1">
      <alignment horizontal="center"/>
    </xf>
    <xf numFmtId="0" fontId="1" fillId="0" borderId="15" xfId="0" applyFont="1" applyFill="1" applyBorder="1" applyAlignment="1">
      <alignment horizontal="center"/>
    </xf>
    <xf numFmtId="0" fontId="3" fillId="0" borderId="34" xfId="0" applyFont="1" applyFill="1" applyBorder="1" applyAlignment="1">
      <alignment horizontal="center"/>
    </xf>
    <xf numFmtId="0" fontId="1" fillId="0" borderId="18" xfId="0" applyFont="1" applyFill="1" applyBorder="1" applyAlignment="1">
      <alignment horizontal="center" vertical="center"/>
    </xf>
    <xf numFmtId="0" fontId="1" fillId="4" borderId="0" xfId="0" applyFont="1" applyFill="1" applyAlignment="1">
      <alignment horizontal="center"/>
    </xf>
    <xf numFmtId="0" fontId="1" fillId="0" borderId="6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1" fillId="0" borderId="4" xfId="0" applyFont="1" applyFill="1" applyBorder="1" applyAlignment="1">
      <alignment horizontal="center"/>
    </xf>
    <xf numFmtId="1" fontId="3" fillId="0" borderId="6" xfId="0" applyNumberFormat="1" applyFont="1" applyBorder="1" applyAlignment="1">
      <alignment horizontal="center"/>
    </xf>
    <xf numFmtId="1" fontId="3" fillId="0" borderId="1" xfId="0" applyNumberFormat="1" applyFont="1" applyBorder="1"/>
    <xf numFmtId="1" fontId="11" fillId="0" borderId="2" xfId="0" applyNumberFormat="1" applyFont="1" applyBorder="1" applyAlignment="1">
      <alignment horizontal="center"/>
    </xf>
    <xf numFmtId="1" fontId="3" fillId="0" borderId="3" xfId="0" applyNumberFormat="1" applyFont="1" applyBorder="1" applyAlignment="1">
      <alignment horizontal="center"/>
    </xf>
    <xf numFmtId="1" fontId="11" fillId="0" borderId="1" xfId="0" applyNumberFormat="1" applyFont="1" applyBorder="1" applyAlignment="1">
      <alignment horizontal="center"/>
    </xf>
    <xf numFmtId="1" fontId="3" fillId="0" borderId="1" xfId="0" applyNumberFormat="1" applyFont="1" applyBorder="1" applyAlignment="1">
      <alignment horizontal="center"/>
    </xf>
    <xf numFmtId="1" fontId="3" fillId="0" borderId="5" xfId="0" applyNumberFormat="1" applyFont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11" fillId="0" borderId="3" xfId="0" applyFont="1" applyBorder="1" applyAlignment="1">
      <alignment horizontal="center"/>
    </xf>
    <xf numFmtId="1" fontId="3" fillId="0" borderId="4" xfId="0" applyNumberFormat="1" applyFont="1" applyBorder="1" applyAlignment="1">
      <alignment horizontal="center"/>
    </xf>
    <xf numFmtId="164" fontId="11" fillId="0" borderId="2" xfId="0" applyNumberFormat="1" applyFont="1" applyBorder="1" applyAlignment="1">
      <alignment horizontal="center"/>
    </xf>
    <xf numFmtId="1" fontId="11" fillId="0" borderId="0" xfId="0" applyNumberFormat="1" applyFont="1" applyAlignment="1">
      <alignment horizontal="center"/>
    </xf>
    <xf numFmtId="1" fontId="3" fillId="0" borderId="2" xfId="0" applyNumberFormat="1" applyFont="1" applyBorder="1" applyAlignment="1">
      <alignment horizontal="center"/>
    </xf>
    <xf numFmtId="2" fontId="3" fillId="0" borderId="1" xfId="0" applyNumberFormat="1" applyFont="1" applyBorder="1" applyAlignment="1">
      <alignment horizontal="center"/>
    </xf>
    <xf numFmtId="2" fontId="3" fillId="0" borderId="3" xfId="0" applyNumberFormat="1" applyFont="1" applyBorder="1" applyAlignment="1">
      <alignment horizontal="center"/>
    </xf>
    <xf numFmtId="165" fontId="3" fillId="0" borderId="2" xfId="0" applyNumberFormat="1" applyFont="1" applyBorder="1" applyAlignment="1">
      <alignment horizontal="center"/>
    </xf>
    <xf numFmtId="165" fontId="3" fillId="0" borderId="1" xfId="0" applyNumberFormat="1" applyFont="1" applyBorder="1" applyAlignment="1">
      <alignment horizontal="center"/>
    </xf>
    <xf numFmtId="164" fontId="3" fillId="0" borderId="1" xfId="0" applyNumberFormat="1" applyFont="1" applyBorder="1" applyAlignment="1">
      <alignment horizontal="center"/>
    </xf>
    <xf numFmtId="164" fontId="3" fillId="0" borderId="17" xfId="0" applyNumberFormat="1" applyFont="1" applyBorder="1" applyAlignment="1">
      <alignment horizontal="center"/>
    </xf>
    <xf numFmtId="0" fontId="3" fillId="0" borderId="17" xfId="0" applyFont="1" applyBorder="1" applyAlignment="1">
      <alignment horizontal="center"/>
    </xf>
    <xf numFmtId="49" fontId="3" fillId="0" borderId="0" xfId="0" applyNumberFormat="1" applyFont="1" applyAlignment="1">
      <alignment horizontal="center"/>
    </xf>
    <xf numFmtId="49" fontId="3" fillId="0" borderId="1" xfId="0" applyNumberFormat="1" applyFont="1" applyBorder="1" applyAlignment="1">
      <alignment horizontal="left"/>
    </xf>
    <xf numFmtId="1" fontId="2" fillId="0" borderId="0" xfId="0" applyNumberFormat="1" applyFont="1" applyAlignment="1">
      <alignment horizontal="center" vertical="center"/>
    </xf>
    <xf numFmtId="1" fontId="3" fillId="4" borderId="0" xfId="0" applyNumberFormat="1" applyFont="1" applyFill="1" applyAlignment="1">
      <alignment horizontal="center"/>
    </xf>
    <xf numFmtId="1" fontId="16" fillId="0" borderId="0" xfId="0" applyNumberFormat="1" applyFont="1" applyAlignment="1">
      <alignment horizontal="center"/>
    </xf>
    <xf numFmtId="1" fontId="3" fillId="0" borderId="35" xfId="0" applyNumberFormat="1" applyFont="1" applyBorder="1" applyAlignment="1">
      <alignment horizontal="center"/>
    </xf>
    <xf numFmtId="1" fontId="3" fillId="0" borderId="7" xfId="0" applyNumberFormat="1" applyFont="1" applyBorder="1" applyAlignment="1">
      <alignment horizontal="center"/>
    </xf>
    <xf numFmtId="1" fontId="3" fillId="0" borderId="36" xfId="0" applyNumberFormat="1" applyFont="1" applyBorder="1"/>
    <xf numFmtId="1" fontId="11" fillId="0" borderId="37" xfId="0" applyNumberFormat="1" applyFont="1" applyBorder="1" applyAlignment="1">
      <alignment horizontal="center"/>
    </xf>
    <xf numFmtId="1" fontId="3" fillId="0" borderId="38" xfId="0" applyNumberFormat="1" applyFont="1" applyBorder="1" applyAlignment="1">
      <alignment horizontal="center"/>
    </xf>
    <xf numFmtId="1" fontId="11" fillId="0" borderId="36" xfId="0" applyNumberFormat="1" applyFont="1" applyBorder="1" applyAlignment="1">
      <alignment horizontal="center"/>
    </xf>
    <xf numFmtId="1" fontId="3" fillId="0" borderId="36" xfId="0" applyNumberFormat="1" applyFont="1" applyBorder="1" applyAlignment="1">
      <alignment horizontal="center"/>
    </xf>
    <xf numFmtId="1" fontId="3" fillId="0" borderId="39" xfId="0" applyNumberFormat="1" applyFont="1" applyBorder="1" applyAlignment="1">
      <alignment horizontal="center"/>
    </xf>
    <xf numFmtId="0" fontId="3" fillId="0" borderId="35" xfId="0" applyFont="1" applyBorder="1" applyAlignment="1">
      <alignment horizontal="center"/>
    </xf>
    <xf numFmtId="0" fontId="11" fillId="0" borderId="7" xfId="0" applyFont="1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11" fillId="0" borderId="38" xfId="0" applyFont="1" applyBorder="1" applyAlignment="1">
      <alignment horizontal="center"/>
    </xf>
    <xf numFmtId="1" fontId="3" fillId="0" borderId="40" xfId="0" applyNumberFormat="1" applyFont="1" applyBorder="1" applyAlignment="1">
      <alignment horizontal="center"/>
    </xf>
    <xf numFmtId="164" fontId="11" fillId="0" borderId="37" xfId="0" applyNumberFormat="1" applyFont="1" applyBorder="1" applyAlignment="1">
      <alignment horizontal="center"/>
    </xf>
    <xf numFmtId="1" fontId="11" fillId="0" borderId="7" xfId="0" applyNumberFormat="1" applyFont="1" applyBorder="1" applyAlignment="1">
      <alignment horizontal="center"/>
    </xf>
    <xf numFmtId="1" fontId="3" fillId="0" borderId="37" xfId="0" applyNumberFormat="1" applyFont="1" applyBorder="1" applyAlignment="1">
      <alignment horizontal="center"/>
    </xf>
    <xf numFmtId="2" fontId="3" fillId="0" borderId="36" xfId="0" applyNumberFormat="1" applyFont="1" applyBorder="1" applyAlignment="1">
      <alignment horizontal="center"/>
    </xf>
    <xf numFmtId="2" fontId="3" fillId="0" borderId="38" xfId="0" applyNumberFormat="1" applyFont="1" applyBorder="1" applyAlignment="1">
      <alignment horizontal="center"/>
    </xf>
    <xf numFmtId="165" fontId="3" fillId="0" borderId="37" xfId="0" applyNumberFormat="1" applyFont="1" applyBorder="1" applyAlignment="1">
      <alignment horizontal="center"/>
    </xf>
    <xf numFmtId="165" fontId="3" fillId="0" borderId="36" xfId="0" applyNumberFormat="1" applyFont="1" applyBorder="1" applyAlignment="1">
      <alignment horizontal="center"/>
    </xf>
    <xf numFmtId="164" fontId="3" fillId="0" borderId="36" xfId="0" applyNumberFormat="1" applyFont="1" applyBorder="1" applyAlignment="1">
      <alignment horizontal="center"/>
    </xf>
    <xf numFmtId="164" fontId="3" fillId="0" borderId="41" xfId="0" applyNumberFormat="1" applyFont="1" applyBorder="1" applyAlignment="1">
      <alignment horizontal="center"/>
    </xf>
    <xf numFmtId="0" fontId="3" fillId="0" borderId="41" xfId="0" applyFont="1" applyBorder="1" applyAlignment="1">
      <alignment horizontal="center"/>
    </xf>
    <xf numFmtId="1" fontId="6" fillId="0" borderId="0" xfId="0" applyNumberFormat="1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/>
    <xf numFmtId="2" fontId="3" fillId="0" borderId="0" xfId="0" applyNumberFormat="1" applyFont="1"/>
    <xf numFmtId="2" fontId="3" fillId="0" borderId="0" xfId="0" applyNumberFormat="1" applyFont="1" applyAlignment="1">
      <alignment horizontal="left"/>
    </xf>
    <xf numFmtId="1" fontId="1" fillId="0" borderId="4" xfId="0" applyNumberFormat="1" applyFont="1" applyFill="1" applyBorder="1" applyAlignment="1">
      <alignment horizontal="left"/>
    </xf>
    <xf numFmtId="0" fontId="1" fillId="0" borderId="29" xfId="0" applyFont="1" applyFill="1" applyBorder="1" applyAlignment="1">
      <alignment horizontal="center"/>
    </xf>
    <xf numFmtId="0" fontId="3" fillId="0" borderId="34" xfId="0" applyFont="1" applyFill="1" applyBorder="1" applyAlignment="1">
      <alignment horizontal="center" vertical="center" wrapText="1"/>
    </xf>
    <xf numFmtId="0" fontId="3" fillId="0" borderId="34" xfId="0" applyFont="1" applyFill="1" applyBorder="1" applyAlignment="1">
      <alignment horizontal="center" wrapText="1"/>
    </xf>
    <xf numFmtId="0" fontId="1" fillId="0" borderId="18" xfId="0" applyFont="1" applyFill="1" applyBorder="1" applyAlignment="1">
      <alignment horizontal="center" vertical="center"/>
    </xf>
    <xf numFmtId="0" fontId="1" fillId="0" borderId="22" xfId="0" applyFont="1" applyFill="1" applyBorder="1" applyAlignment="1">
      <alignment horizontal="center" vertical="center"/>
    </xf>
    <xf numFmtId="0" fontId="14" fillId="0" borderId="0" xfId="0" applyFont="1" applyAlignment="1">
      <alignment horizontal="center"/>
    </xf>
    <xf numFmtId="1" fontId="15" fillId="4" borderId="0" xfId="0" applyNumberFormat="1" applyFont="1" applyFill="1" applyAlignment="1">
      <alignment horizontal="center"/>
    </xf>
    <xf numFmtId="0" fontId="1" fillId="4" borderId="0" xfId="0" applyFont="1" applyFill="1" applyAlignment="1">
      <alignment horizontal="center"/>
    </xf>
    <xf numFmtId="0" fontId="1" fillId="0" borderId="43" xfId="0" applyFont="1" applyFill="1" applyBorder="1" applyAlignment="1">
      <alignment horizontal="center"/>
    </xf>
    <xf numFmtId="0" fontId="1" fillId="0" borderId="44" xfId="0" applyFont="1" applyFill="1" applyBorder="1" applyAlignment="1">
      <alignment horizontal="center"/>
    </xf>
    <xf numFmtId="0" fontId="1" fillId="0" borderId="11" xfId="0" applyFont="1" applyFill="1" applyBorder="1" applyAlignment="1">
      <alignment horizontal="center"/>
    </xf>
    <xf numFmtId="0" fontId="1" fillId="0" borderId="13" xfId="0" applyFont="1" applyFill="1" applyBorder="1" applyAlignment="1">
      <alignment horizontal="center"/>
    </xf>
    <xf numFmtId="0" fontId="1" fillId="0" borderId="46" xfId="0" applyFont="1" applyFill="1" applyBorder="1" applyAlignment="1">
      <alignment horizontal="center"/>
    </xf>
    <xf numFmtId="0" fontId="1" fillId="0" borderId="33" xfId="0" applyFont="1" applyFill="1" applyBorder="1" applyAlignment="1">
      <alignment horizontal="center"/>
    </xf>
    <xf numFmtId="0" fontId="1" fillId="0" borderId="14" xfId="0" applyFont="1" applyFill="1" applyBorder="1" applyAlignment="1">
      <alignment horizontal="center"/>
    </xf>
    <xf numFmtId="0" fontId="1" fillId="0" borderId="6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1" fillId="0" borderId="4" xfId="0" applyFont="1" applyFill="1" applyBorder="1" applyAlignment="1">
      <alignment horizontal="center"/>
    </xf>
    <xf numFmtId="15" fontId="4" fillId="0" borderId="0" xfId="0" applyNumberFormat="1" applyFont="1" applyFill="1" applyBorder="1" applyAlignment="1">
      <alignment horizontal="left"/>
    </xf>
    <xf numFmtId="0" fontId="3" fillId="0" borderId="0" xfId="0" applyFont="1" applyBorder="1" applyAlignment="1">
      <alignment horizontal="left"/>
    </xf>
    <xf numFmtId="1" fontId="1" fillId="0" borderId="34" xfId="0" applyNumberFormat="1" applyFont="1" applyFill="1" applyBorder="1" applyAlignment="1">
      <alignment horizontal="center"/>
    </xf>
    <xf numFmtId="0" fontId="0" fillId="0" borderId="34" xfId="0" applyFill="1" applyBorder="1" applyAlignment="1">
      <alignment horizontal="center"/>
    </xf>
    <xf numFmtId="0" fontId="0" fillId="0" borderId="44" xfId="0" applyFill="1" applyBorder="1" applyAlignment="1">
      <alignment horizontal="center"/>
    </xf>
    <xf numFmtId="0" fontId="0" fillId="0" borderId="11" xfId="0" applyFill="1" applyBorder="1" applyAlignment="1">
      <alignment horizontal="center"/>
    </xf>
    <xf numFmtId="0" fontId="1" fillId="0" borderId="21" xfId="0" applyFont="1" applyFill="1" applyBorder="1" applyAlignment="1">
      <alignment horizontal="center"/>
    </xf>
    <xf numFmtId="0" fontId="1" fillId="0" borderId="15" xfId="0" applyFont="1" applyFill="1" applyBorder="1" applyAlignment="1">
      <alignment horizontal="center"/>
    </xf>
    <xf numFmtId="0" fontId="1" fillId="0" borderId="24" xfId="0" applyFont="1" applyFill="1" applyBorder="1" applyAlignment="1">
      <alignment horizontal="center"/>
    </xf>
    <xf numFmtId="0" fontId="1" fillId="0" borderId="45" xfId="0" applyFont="1" applyFill="1" applyBorder="1" applyAlignment="1">
      <alignment horizontal="center"/>
    </xf>
    <xf numFmtId="0" fontId="1" fillId="0" borderId="26" xfId="0" applyFont="1" applyFill="1" applyBorder="1" applyAlignment="1">
      <alignment horizontal="center"/>
    </xf>
    <xf numFmtId="0" fontId="1" fillId="0" borderId="42" xfId="0" applyFont="1" applyFill="1" applyBorder="1" applyAlignment="1">
      <alignment horizontal="center"/>
    </xf>
    <xf numFmtId="0" fontId="4" fillId="0" borderId="34" xfId="0" applyFont="1" applyFill="1" applyBorder="1" applyAlignment="1">
      <alignment horizontal="center"/>
    </xf>
    <xf numFmtId="0" fontId="3" fillId="0" borderId="34" xfId="0" applyFont="1" applyFill="1" applyBorder="1" applyAlignment="1">
      <alignment horizontal="center"/>
    </xf>
    <xf numFmtId="0" fontId="1" fillId="0" borderId="34" xfId="0" applyFont="1" applyFill="1" applyBorder="1" applyAlignment="1">
      <alignment horizontal="center"/>
    </xf>
    <xf numFmtId="0" fontId="1" fillId="0" borderId="47" xfId="0" applyFont="1" applyFill="1" applyBorder="1" applyAlignment="1">
      <alignment horizontal="center"/>
    </xf>
    <xf numFmtId="0" fontId="1" fillId="0" borderId="0" xfId="0" quotePrefix="1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1" fillId="0" borderId="8" xfId="0" applyFont="1" applyFill="1" applyBorder="1" applyAlignment="1">
      <alignment horizontal="center"/>
    </xf>
    <xf numFmtId="0" fontId="0" fillId="0" borderId="9" xfId="0" applyFill="1" applyBorder="1" applyAlignment="1">
      <alignment horizontal="center"/>
    </xf>
    <xf numFmtId="0" fontId="0" fillId="0" borderId="26" xfId="0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163285</xdr:rowOff>
    </xdr:from>
    <xdr:to>
      <xdr:col>10</xdr:col>
      <xdr:colOff>48985</xdr:colOff>
      <xdr:row>16</xdr:row>
      <xdr:rowOff>146958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2862943" y="326571"/>
          <a:ext cx="3706585" cy="2432958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To initiate</a:t>
          </a:r>
          <a:r>
            <a:rPr lang="en-US" sz="1100" baseline="0"/>
            <a:t> script. To establish frame to be designed for(see Nodes Frame Name excel for the highlighted elements to be designed for</a:t>
          </a:r>
        </a:p>
        <a:p>
          <a:endParaRPr lang="en-US" sz="1100" baseline="0"/>
        </a:p>
        <a:p>
          <a:endParaRPr lang="en-US" sz="1100" baseline="0"/>
        </a:p>
        <a:p>
          <a:r>
            <a:rPr lang="en-US" sz="1100"/>
            <a:t>if axis</a:t>
          </a:r>
          <a:r>
            <a:rPr lang="en-US" sz="1100" baseline="0"/>
            <a:t> direction outward-&gt; </a:t>
          </a:r>
        </a:p>
        <a:p>
          <a:r>
            <a:rPr lang="en-US" sz="1100" baseline="0"/>
            <a:t>+ve moment : rebar internal</a:t>
          </a:r>
        </a:p>
        <a:p>
          <a:r>
            <a:rPr lang="en-US" sz="1100" baseline="0"/>
            <a:t>-ve moment: rebar external</a:t>
          </a:r>
        </a:p>
        <a:p>
          <a:endParaRPr lang="en-US" sz="1100" baseline="0"/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axis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direction inward-&gt; </a:t>
          </a:r>
        </a:p>
        <a:p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+ve moment : rebar external</a:t>
          </a:r>
          <a:endParaRPr lang="en-US">
            <a:effectLst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-ve moment: rebar internal</a:t>
          </a:r>
          <a:endParaRPr lang="en-US">
            <a:effectLst/>
          </a:endParaRPr>
        </a:p>
        <a:p>
          <a:endParaRPr lang="en-US">
            <a:effectLst/>
          </a:endParaRPr>
        </a:p>
        <a:p>
          <a:endParaRPr lang="en-US" sz="1100"/>
        </a:p>
      </xdr:txBody>
    </xdr:sp>
    <xdr:clientData/>
  </xdr:twoCellAnchor>
  <xdr:twoCellAnchor editAs="oneCell">
    <xdr:from>
      <xdr:col>3</xdr:col>
      <xdr:colOff>462643</xdr:colOff>
      <xdr:row>17</xdr:row>
      <xdr:rowOff>96992</xdr:rowOff>
    </xdr:from>
    <xdr:to>
      <xdr:col>10</xdr:col>
      <xdr:colOff>43931</xdr:colOff>
      <xdr:row>29</xdr:row>
      <xdr:rowOff>66190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15986" y="2872849"/>
          <a:ext cx="3848488" cy="1928627"/>
        </a:xfrm>
        <a:prstGeom prst="rect">
          <a:avLst/>
        </a:prstGeom>
      </xdr:spPr>
    </xdr:pic>
    <xdr:clientData/>
  </xdr:twoCellAnchor>
  <xdr:twoCellAnchor editAs="oneCell">
    <xdr:from>
      <xdr:col>10</xdr:col>
      <xdr:colOff>144371</xdr:colOff>
      <xdr:row>2</xdr:row>
      <xdr:rowOff>58057</xdr:rowOff>
    </xdr:from>
    <xdr:to>
      <xdr:col>19</xdr:col>
      <xdr:colOff>539208</xdr:colOff>
      <xdr:row>28</xdr:row>
      <xdr:rowOff>123424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737485" y="377371"/>
          <a:ext cx="5881237" cy="421645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73</xdr:col>
          <xdr:colOff>129540</xdr:colOff>
          <xdr:row>15</xdr:row>
          <xdr:rowOff>38100</xdr:rowOff>
        </xdr:from>
        <xdr:to>
          <xdr:col>74</xdr:col>
          <xdr:colOff>327660</xdr:colOff>
          <xdr:row>16</xdr:row>
          <xdr:rowOff>114300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3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98</xdr:col>
          <xdr:colOff>304800</xdr:colOff>
          <xdr:row>0</xdr:row>
          <xdr:rowOff>114300</xdr:rowOff>
        </xdr:from>
        <xdr:to>
          <xdr:col>99</xdr:col>
          <xdr:colOff>480060</xdr:colOff>
          <xdr:row>2</xdr:row>
          <xdr:rowOff>15240</xdr:rowOff>
        </xdr:to>
        <xdr:sp macro="" textlink="">
          <xdr:nvSpPr>
            <xdr:cNvPr id="31784" name="Button 40" hidden="1">
              <a:extLst>
                <a:ext uri="{63B3BB69-23CF-44E3-9099-C40C66FF867C}">
                  <a14:compatExt spid="_x0000_s31784"/>
                </a:ext>
                <a:ext uri="{FF2B5EF4-FFF2-40B4-BE49-F238E27FC236}">
                  <a16:creationId xmlns:a16="http://schemas.microsoft.com/office/drawing/2014/main" id="{00000000-0008-0000-0300-000028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 M&amp;N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289560</xdr:colOff>
          <xdr:row>15</xdr:row>
          <xdr:rowOff>30480</xdr:rowOff>
        </xdr:from>
        <xdr:to>
          <xdr:col>71</xdr:col>
          <xdr:colOff>403860</xdr:colOff>
          <xdr:row>16</xdr:row>
          <xdr:rowOff>114300</xdr:rowOff>
        </xdr:to>
        <xdr:sp macro="" textlink="">
          <xdr:nvSpPr>
            <xdr:cNvPr id="31785" name="Button 41" hidden="1">
              <a:extLst>
                <a:ext uri="{63B3BB69-23CF-44E3-9099-C40C66FF867C}">
                  <a14:compatExt spid="_x0000_s31785"/>
                </a:ext>
                <a:ext uri="{FF2B5EF4-FFF2-40B4-BE49-F238E27FC236}">
                  <a16:creationId xmlns:a16="http://schemas.microsoft.com/office/drawing/2014/main" id="{00000000-0008-0000-0300-000029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Modify lcs</a:t>
              </a:r>
            </a:p>
          </xdr:txBody>
        </xdr:sp>
        <xdr:clientData fPrintsWithSheet="0"/>
      </xdr:twoCellAnchor>
    </mc:Choice>
    <mc:Fallback/>
  </mc:AlternateContent>
  <xdr:twoCellAnchor>
    <xdr:from>
      <xdr:col>100</xdr:col>
      <xdr:colOff>0</xdr:colOff>
      <xdr:row>18</xdr:row>
      <xdr:rowOff>118110</xdr:rowOff>
    </xdr:from>
    <xdr:to>
      <xdr:col>100</xdr:col>
      <xdr:colOff>0</xdr:colOff>
      <xdr:row>19</xdr:row>
      <xdr:rowOff>110354</xdr:rowOff>
    </xdr:to>
    <xdr:sp macro="[0]!Layer0" textlink="">
      <xdr:nvSpPr>
        <xdr:cNvPr id="43472" name="Rectangle 2512">
          <a:extLst>
            <a:ext uri="{FF2B5EF4-FFF2-40B4-BE49-F238E27FC236}">
              <a16:creationId xmlns:a16="http://schemas.microsoft.com/office/drawing/2014/main" id="{00000000-0008-0000-0300-0000D0A90000}"/>
            </a:ext>
          </a:extLst>
        </xdr:cNvPr>
        <xdr:cNvSpPr>
          <a:spLocks noChangeArrowheads="1"/>
        </xdr:cNvSpPr>
      </xdr:nvSpPr>
      <xdr:spPr bwMode="auto">
        <a:xfrm>
          <a:off x="46148625" y="3571875"/>
          <a:ext cx="0" cy="2000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GB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0</a:t>
          </a:r>
          <a:endParaRPr lang="en-GB"/>
        </a:p>
      </xdr:txBody>
    </xdr:sp>
    <xdr:clientData/>
  </xdr:twoCellAnchor>
  <xdr:twoCellAnchor>
    <xdr:from>
      <xdr:col>100</xdr:col>
      <xdr:colOff>0</xdr:colOff>
      <xdr:row>18</xdr:row>
      <xdr:rowOff>118110</xdr:rowOff>
    </xdr:from>
    <xdr:to>
      <xdr:col>100</xdr:col>
      <xdr:colOff>0</xdr:colOff>
      <xdr:row>19</xdr:row>
      <xdr:rowOff>110354</xdr:rowOff>
    </xdr:to>
    <xdr:sp macro="[0]!Layer1" textlink="">
      <xdr:nvSpPr>
        <xdr:cNvPr id="43473" name="Rectangle 2513">
          <a:extLst>
            <a:ext uri="{FF2B5EF4-FFF2-40B4-BE49-F238E27FC236}">
              <a16:creationId xmlns:a16="http://schemas.microsoft.com/office/drawing/2014/main" id="{00000000-0008-0000-0300-0000D1A90000}"/>
            </a:ext>
          </a:extLst>
        </xdr:cNvPr>
        <xdr:cNvSpPr>
          <a:spLocks noChangeArrowheads="1"/>
        </xdr:cNvSpPr>
      </xdr:nvSpPr>
      <xdr:spPr bwMode="auto">
        <a:xfrm>
          <a:off x="46148625" y="3571875"/>
          <a:ext cx="0" cy="2000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GB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1</a:t>
          </a:r>
          <a:endParaRPr lang="en-GB"/>
        </a:p>
      </xdr:txBody>
    </xdr:sp>
    <xdr:clientData/>
  </xdr:twoCellAnchor>
  <xdr:twoCellAnchor>
    <xdr:from>
      <xdr:col>100</xdr:col>
      <xdr:colOff>0</xdr:colOff>
      <xdr:row>18</xdr:row>
      <xdr:rowOff>118110</xdr:rowOff>
    </xdr:from>
    <xdr:to>
      <xdr:col>100</xdr:col>
      <xdr:colOff>0</xdr:colOff>
      <xdr:row>19</xdr:row>
      <xdr:rowOff>110354</xdr:rowOff>
    </xdr:to>
    <xdr:sp macro="[0]!Layer2" textlink="">
      <xdr:nvSpPr>
        <xdr:cNvPr id="43474" name="Rectangle 2514">
          <a:extLst>
            <a:ext uri="{FF2B5EF4-FFF2-40B4-BE49-F238E27FC236}">
              <a16:creationId xmlns:a16="http://schemas.microsoft.com/office/drawing/2014/main" id="{00000000-0008-0000-0300-0000D2A90000}"/>
            </a:ext>
          </a:extLst>
        </xdr:cNvPr>
        <xdr:cNvSpPr>
          <a:spLocks noChangeArrowheads="1"/>
        </xdr:cNvSpPr>
      </xdr:nvSpPr>
      <xdr:spPr bwMode="auto">
        <a:xfrm>
          <a:off x="46148625" y="3571875"/>
          <a:ext cx="0" cy="2000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GB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2</a:t>
          </a:r>
          <a:endParaRPr lang="en-GB"/>
        </a:p>
      </xdr:txBody>
    </xdr:sp>
    <xdr:clientData/>
  </xdr:twoCellAnchor>
  <xdr:twoCellAnchor>
    <xdr:from>
      <xdr:col>100</xdr:col>
      <xdr:colOff>0</xdr:colOff>
      <xdr:row>18</xdr:row>
      <xdr:rowOff>118110</xdr:rowOff>
    </xdr:from>
    <xdr:to>
      <xdr:col>100</xdr:col>
      <xdr:colOff>0</xdr:colOff>
      <xdr:row>19</xdr:row>
      <xdr:rowOff>110354</xdr:rowOff>
    </xdr:to>
    <xdr:sp macro="[0]!Layer3" textlink="">
      <xdr:nvSpPr>
        <xdr:cNvPr id="43475" name="Rectangle 2515">
          <a:extLst>
            <a:ext uri="{FF2B5EF4-FFF2-40B4-BE49-F238E27FC236}">
              <a16:creationId xmlns:a16="http://schemas.microsoft.com/office/drawing/2014/main" id="{00000000-0008-0000-0300-0000D3A90000}"/>
            </a:ext>
          </a:extLst>
        </xdr:cNvPr>
        <xdr:cNvSpPr>
          <a:spLocks noChangeArrowheads="1"/>
        </xdr:cNvSpPr>
      </xdr:nvSpPr>
      <xdr:spPr bwMode="auto">
        <a:xfrm>
          <a:off x="46148625" y="3571875"/>
          <a:ext cx="0" cy="2000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GB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3</a:t>
          </a:r>
          <a:endParaRPr lang="en-GB"/>
        </a:p>
      </xdr:txBody>
    </xdr:sp>
    <xdr:clientData/>
  </xdr:twoCellAnchor>
  <xdr:twoCellAnchor>
    <xdr:from>
      <xdr:col>101</xdr:col>
      <xdr:colOff>38100</xdr:colOff>
      <xdr:row>21</xdr:row>
      <xdr:rowOff>190500</xdr:rowOff>
    </xdr:from>
    <xdr:to>
      <xdr:col>115</xdr:col>
      <xdr:colOff>190500</xdr:colOff>
      <xdr:row>24</xdr:row>
      <xdr:rowOff>0</xdr:rowOff>
    </xdr:to>
    <xdr:sp macro="" textlink="">
      <xdr:nvSpPr>
        <xdr:cNvPr id="58245" name="Rectangle 2517">
          <a:extLst>
            <a:ext uri="{FF2B5EF4-FFF2-40B4-BE49-F238E27FC236}">
              <a16:creationId xmlns:a16="http://schemas.microsoft.com/office/drawing/2014/main" id="{00000000-0008-0000-0300-000085E30000}"/>
            </a:ext>
          </a:extLst>
        </xdr:cNvPr>
        <xdr:cNvSpPr>
          <a:spLocks noChangeArrowheads="1"/>
        </xdr:cNvSpPr>
      </xdr:nvSpPr>
      <xdr:spPr bwMode="auto">
        <a:xfrm>
          <a:off x="43875960" y="4152900"/>
          <a:ext cx="7589520" cy="396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FF00" mc:Ignorable="a14" a14:legacySpreadsheetColorIndex="11">
            <a:alpha val="20000"/>
          </a:srgbClr>
        </a:solidFill>
        <a:ln w="2540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108</xdr:col>
      <xdr:colOff>38100</xdr:colOff>
      <xdr:row>22</xdr:row>
      <xdr:rowOff>0</xdr:rowOff>
    </xdr:from>
    <xdr:to>
      <xdr:col>108</xdr:col>
      <xdr:colOff>144780</xdr:colOff>
      <xdr:row>24</xdr:row>
      <xdr:rowOff>0</xdr:rowOff>
    </xdr:to>
    <xdr:sp macro="" textlink="">
      <xdr:nvSpPr>
        <xdr:cNvPr id="58246" name="Rectangle 2518">
          <a:extLst>
            <a:ext uri="{FF2B5EF4-FFF2-40B4-BE49-F238E27FC236}">
              <a16:creationId xmlns:a16="http://schemas.microsoft.com/office/drawing/2014/main" id="{00000000-0008-0000-0300-000086E30000}"/>
            </a:ext>
          </a:extLst>
        </xdr:cNvPr>
        <xdr:cNvSpPr>
          <a:spLocks noChangeArrowheads="1"/>
        </xdr:cNvSpPr>
      </xdr:nvSpPr>
      <xdr:spPr bwMode="auto">
        <a:xfrm>
          <a:off x="47884080" y="4168140"/>
          <a:ext cx="106680" cy="381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00" mc:Ignorable="a14" a14:legacySpreadsheetColorIndex="10">
            <a:alpha val="30196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 editAs="oneCell">
    <xdr:from>
      <xdr:col>1</xdr:col>
      <xdr:colOff>76200</xdr:colOff>
      <xdr:row>0</xdr:row>
      <xdr:rowOff>99060</xdr:rowOff>
    </xdr:from>
    <xdr:to>
      <xdr:col>2</xdr:col>
      <xdr:colOff>133350</xdr:colOff>
      <xdr:row>3</xdr:row>
      <xdr:rowOff>0</xdr:rowOff>
    </xdr:to>
    <xdr:pic>
      <xdr:nvPicPr>
        <xdr:cNvPr id="58247" name="Picture 4">
          <a:extLst>
            <a:ext uri="{FF2B5EF4-FFF2-40B4-BE49-F238E27FC236}">
              <a16:creationId xmlns:a16="http://schemas.microsoft.com/office/drawing/2014/main" id="{00000000-0008-0000-0300-000087E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7390" b="22360"/>
        <a:stretch>
          <a:fillRect/>
        </a:stretch>
      </xdr:blipFill>
      <xdr:spPr bwMode="auto">
        <a:xfrm>
          <a:off x="83820" y="99060"/>
          <a:ext cx="746760" cy="457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518160</xdr:colOff>
          <xdr:row>5</xdr:row>
          <xdr:rowOff>60960</xdr:rowOff>
        </xdr:from>
        <xdr:to>
          <xdr:col>11</xdr:col>
          <xdr:colOff>182880</xdr:colOff>
          <xdr:row>10</xdr:row>
          <xdr:rowOff>53340</xdr:rowOff>
        </xdr:to>
        <xdr:sp macro="" textlink="">
          <xdr:nvSpPr>
            <xdr:cNvPr id="57384" name="Button 6184" hidden="1">
              <a:extLst>
                <a:ext uri="{63B3BB69-23CF-44E3-9099-C40C66FF867C}">
                  <a14:compatExt spid="_x0000_s57384"/>
                </a:ext>
                <a:ext uri="{FF2B5EF4-FFF2-40B4-BE49-F238E27FC236}">
                  <a16:creationId xmlns:a16="http://schemas.microsoft.com/office/drawing/2014/main" id="{00000000-0008-0000-0300-00002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Design</a:t>
              </a:r>
            </a:p>
          </xdr:txBody>
        </xdr:sp>
        <xdr:clientData fPrintsWithSheet="0"/>
      </xdr:twoCellAnchor>
    </mc:Choice>
    <mc:Fallback/>
  </mc:AlternateContent>
  <xdr:twoCellAnchor>
    <xdr:from>
      <xdr:col>98</xdr:col>
      <xdr:colOff>273200</xdr:colOff>
      <xdr:row>2</xdr:row>
      <xdr:rowOff>72950</xdr:rowOff>
    </xdr:from>
    <xdr:to>
      <xdr:col>99</xdr:col>
      <xdr:colOff>494682</xdr:colOff>
      <xdr:row>5</xdr:row>
      <xdr:rowOff>119686</xdr:rowOff>
    </xdr:to>
    <xdr:sp macro="" textlink="">
      <xdr:nvSpPr>
        <xdr:cNvPr id="2" name="Arrow: Righ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 bwMode="auto">
        <a:xfrm>
          <a:off x="43646912" y="448235"/>
          <a:ext cx="784412" cy="627530"/>
        </a:xfrm>
        <a:prstGeom prst="rightArrow">
          <a:avLst/>
        </a:prstGeom>
        <a:solidFill>
          <a:srgbClr val="FF0000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n-SG" sz="1600" b="1">
              <a:solidFill>
                <a:schemeClr val="bg1"/>
              </a:solidFill>
            </a:rPr>
            <a:t>INPUT</a:t>
          </a:r>
          <a:r>
            <a:rPr lang="en-SG" sz="1100">
              <a:solidFill>
                <a:schemeClr val="bg1"/>
              </a:solidFill>
            </a:rPr>
            <a:t> 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73</xdr:col>
          <xdr:colOff>129540</xdr:colOff>
          <xdr:row>15</xdr:row>
          <xdr:rowOff>38100</xdr:rowOff>
        </xdr:from>
        <xdr:to>
          <xdr:col>74</xdr:col>
          <xdr:colOff>327660</xdr:colOff>
          <xdr:row>16</xdr:row>
          <xdr:rowOff>114300</xdr:rowOff>
        </xdr:to>
        <xdr:sp macro="" textlink="">
          <xdr:nvSpPr>
            <xdr:cNvPr id="58369" name="Button 1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04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98</xdr:col>
          <xdr:colOff>304800</xdr:colOff>
          <xdr:row>0</xdr:row>
          <xdr:rowOff>114300</xdr:rowOff>
        </xdr:from>
        <xdr:to>
          <xdr:col>99</xdr:col>
          <xdr:colOff>480060</xdr:colOff>
          <xdr:row>2</xdr:row>
          <xdr:rowOff>15240</xdr:rowOff>
        </xdr:to>
        <xdr:sp macro="" textlink="">
          <xdr:nvSpPr>
            <xdr:cNvPr id="58370" name="Button 2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00000000-0008-0000-0400-00000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 M&amp;N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289560</xdr:colOff>
          <xdr:row>15</xdr:row>
          <xdr:rowOff>30480</xdr:rowOff>
        </xdr:from>
        <xdr:to>
          <xdr:col>71</xdr:col>
          <xdr:colOff>403860</xdr:colOff>
          <xdr:row>16</xdr:row>
          <xdr:rowOff>114300</xdr:rowOff>
        </xdr:to>
        <xdr:sp macro="" textlink="">
          <xdr:nvSpPr>
            <xdr:cNvPr id="58371" name="Button 3" hidden="1">
              <a:extLst>
                <a:ext uri="{63B3BB69-23CF-44E3-9099-C40C66FF867C}">
                  <a14:compatExt spid="_x0000_s58371"/>
                </a:ext>
                <a:ext uri="{FF2B5EF4-FFF2-40B4-BE49-F238E27FC236}">
                  <a16:creationId xmlns:a16="http://schemas.microsoft.com/office/drawing/2014/main" id="{00000000-0008-0000-0400-00000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Modify lcs</a:t>
              </a:r>
            </a:p>
          </xdr:txBody>
        </xdr:sp>
        <xdr:clientData fPrintsWithSheet="0"/>
      </xdr:twoCellAnchor>
    </mc:Choice>
    <mc:Fallback/>
  </mc:AlternateContent>
  <xdr:twoCellAnchor>
    <xdr:from>
      <xdr:col>100</xdr:col>
      <xdr:colOff>0</xdr:colOff>
      <xdr:row>18</xdr:row>
      <xdr:rowOff>118110</xdr:rowOff>
    </xdr:from>
    <xdr:to>
      <xdr:col>100</xdr:col>
      <xdr:colOff>0</xdr:colOff>
      <xdr:row>19</xdr:row>
      <xdr:rowOff>110354</xdr:rowOff>
    </xdr:to>
    <xdr:sp macro="[0]!Layer0" textlink="">
      <xdr:nvSpPr>
        <xdr:cNvPr id="5" name="Rectangle 2512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>
          <a:spLocks noChangeArrowheads="1"/>
        </xdr:cNvSpPr>
      </xdr:nvSpPr>
      <xdr:spPr bwMode="auto">
        <a:xfrm>
          <a:off x="43033950" y="3406140"/>
          <a:ext cx="0" cy="197984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GB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0</a:t>
          </a:r>
          <a:endParaRPr lang="en-GB"/>
        </a:p>
      </xdr:txBody>
    </xdr:sp>
    <xdr:clientData/>
  </xdr:twoCellAnchor>
  <xdr:twoCellAnchor>
    <xdr:from>
      <xdr:col>100</xdr:col>
      <xdr:colOff>0</xdr:colOff>
      <xdr:row>18</xdr:row>
      <xdr:rowOff>118110</xdr:rowOff>
    </xdr:from>
    <xdr:to>
      <xdr:col>100</xdr:col>
      <xdr:colOff>0</xdr:colOff>
      <xdr:row>19</xdr:row>
      <xdr:rowOff>110354</xdr:rowOff>
    </xdr:to>
    <xdr:sp macro="[0]!Layer1" textlink="">
      <xdr:nvSpPr>
        <xdr:cNvPr id="6" name="Rectangle 2513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>
          <a:spLocks noChangeArrowheads="1"/>
        </xdr:cNvSpPr>
      </xdr:nvSpPr>
      <xdr:spPr bwMode="auto">
        <a:xfrm>
          <a:off x="43033950" y="3406140"/>
          <a:ext cx="0" cy="197984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GB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1</a:t>
          </a:r>
          <a:endParaRPr lang="en-GB"/>
        </a:p>
      </xdr:txBody>
    </xdr:sp>
    <xdr:clientData/>
  </xdr:twoCellAnchor>
  <xdr:twoCellAnchor>
    <xdr:from>
      <xdr:col>100</xdr:col>
      <xdr:colOff>0</xdr:colOff>
      <xdr:row>18</xdr:row>
      <xdr:rowOff>118110</xdr:rowOff>
    </xdr:from>
    <xdr:to>
      <xdr:col>100</xdr:col>
      <xdr:colOff>0</xdr:colOff>
      <xdr:row>19</xdr:row>
      <xdr:rowOff>110354</xdr:rowOff>
    </xdr:to>
    <xdr:sp macro="[0]!Layer2" textlink="">
      <xdr:nvSpPr>
        <xdr:cNvPr id="7" name="Rectangle 2514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>
          <a:spLocks noChangeArrowheads="1"/>
        </xdr:cNvSpPr>
      </xdr:nvSpPr>
      <xdr:spPr bwMode="auto">
        <a:xfrm>
          <a:off x="43033950" y="3406140"/>
          <a:ext cx="0" cy="197984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GB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2</a:t>
          </a:r>
          <a:endParaRPr lang="en-GB"/>
        </a:p>
      </xdr:txBody>
    </xdr:sp>
    <xdr:clientData/>
  </xdr:twoCellAnchor>
  <xdr:twoCellAnchor>
    <xdr:from>
      <xdr:col>100</xdr:col>
      <xdr:colOff>0</xdr:colOff>
      <xdr:row>18</xdr:row>
      <xdr:rowOff>118110</xdr:rowOff>
    </xdr:from>
    <xdr:to>
      <xdr:col>100</xdr:col>
      <xdr:colOff>0</xdr:colOff>
      <xdr:row>19</xdr:row>
      <xdr:rowOff>110354</xdr:rowOff>
    </xdr:to>
    <xdr:sp macro="[0]!Layer3" textlink="">
      <xdr:nvSpPr>
        <xdr:cNvPr id="8" name="Rectangle 2515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>
          <a:spLocks noChangeArrowheads="1"/>
        </xdr:cNvSpPr>
      </xdr:nvSpPr>
      <xdr:spPr bwMode="auto">
        <a:xfrm>
          <a:off x="43033950" y="3406140"/>
          <a:ext cx="0" cy="197984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GB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3</a:t>
          </a:r>
          <a:endParaRPr lang="en-GB"/>
        </a:p>
      </xdr:txBody>
    </xdr:sp>
    <xdr:clientData/>
  </xdr:twoCellAnchor>
  <xdr:twoCellAnchor>
    <xdr:from>
      <xdr:col>101</xdr:col>
      <xdr:colOff>38100</xdr:colOff>
      <xdr:row>21</xdr:row>
      <xdr:rowOff>190500</xdr:rowOff>
    </xdr:from>
    <xdr:to>
      <xdr:col>115</xdr:col>
      <xdr:colOff>190500</xdr:colOff>
      <xdr:row>24</xdr:row>
      <xdr:rowOff>0</xdr:rowOff>
    </xdr:to>
    <xdr:sp macro="" textlink="">
      <xdr:nvSpPr>
        <xdr:cNvPr id="9" name="Rectangle 2517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>
          <a:spLocks noChangeArrowheads="1"/>
        </xdr:cNvSpPr>
      </xdr:nvSpPr>
      <xdr:spPr bwMode="auto">
        <a:xfrm>
          <a:off x="43824525" y="4114800"/>
          <a:ext cx="7553325" cy="4000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FF00" mc:Ignorable="a14" a14:legacySpreadsheetColorIndex="11">
            <a:alpha val="20000"/>
          </a:srgbClr>
        </a:solidFill>
        <a:ln w="2540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108</xdr:col>
      <xdr:colOff>38100</xdr:colOff>
      <xdr:row>22</xdr:row>
      <xdr:rowOff>0</xdr:rowOff>
    </xdr:from>
    <xdr:to>
      <xdr:col>108</xdr:col>
      <xdr:colOff>144780</xdr:colOff>
      <xdr:row>24</xdr:row>
      <xdr:rowOff>0</xdr:rowOff>
    </xdr:to>
    <xdr:sp macro="" textlink="">
      <xdr:nvSpPr>
        <xdr:cNvPr id="10" name="Rectangle 2518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>
          <a:spLocks noChangeArrowheads="1"/>
        </xdr:cNvSpPr>
      </xdr:nvSpPr>
      <xdr:spPr bwMode="auto">
        <a:xfrm>
          <a:off x="47815500" y="4133850"/>
          <a:ext cx="104775" cy="381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00" mc:Ignorable="a14" a14:legacySpreadsheetColorIndex="10">
            <a:alpha val="30196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 editAs="oneCell">
    <xdr:from>
      <xdr:col>1</xdr:col>
      <xdr:colOff>76200</xdr:colOff>
      <xdr:row>0</xdr:row>
      <xdr:rowOff>99060</xdr:rowOff>
    </xdr:from>
    <xdr:to>
      <xdr:col>2</xdr:col>
      <xdr:colOff>133350</xdr:colOff>
      <xdr:row>3</xdr:row>
      <xdr:rowOff>0</xdr:rowOff>
    </xdr:to>
    <xdr:pic>
      <xdr:nvPicPr>
        <xdr:cNvPr id="11" name="Picture 4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7390" b="22360"/>
        <a:stretch>
          <a:fillRect/>
        </a:stretch>
      </xdr:blipFill>
      <xdr:spPr bwMode="auto">
        <a:xfrm>
          <a:off x="85725" y="95250"/>
          <a:ext cx="748665" cy="457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68</xdr:col>
          <xdr:colOff>365760</xdr:colOff>
          <xdr:row>15</xdr:row>
          <xdr:rowOff>60960</xdr:rowOff>
        </xdr:from>
        <xdr:to>
          <xdr:col>70</xdr:col>
          <xdr:colOff>129540</xdr:colOff>
          <xdr:row>16</xdr:row>
          <xdr:rowOff>129540</xdr:rowOff>
        </xdr:to>
        <xdr:sp macro="" textlink="">
          <xdr:nvSpPr>
            <xdr:cNvPr id="58372" name="Button 4" hidden="1">
              <a:extLst>
                <a:ext uri="{63B3BB69-23CF-44E3-9099-C40C66FF867C}">
                  <a14:compatExt spid="_x0000_s58372"/>
                </a:ext>
                <a:ext uri="{FF2B5EF4-FFF2-40B4-BE49-F238E27FC236}">
                  <a16:creationId xmlns:a16="http://schemas.microsoft.com/office/drawing/2014/main" id="{00000000-0008-0000-0400-00000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Design</a:t>
              </a:r>
            </a:p>
          </xdr:txBody>
        </xdr:sp>
        <xdr:clientData fPrintsWithSheet="0"/>
      </xdr:twoCellAnchor>
    </mc:Choice>
    <mc:Fallback/>
  </mc:AlternateContent>
  <xdr:twoCellAnchor>
    <xdr:from>
      <xdr:col>98</xdr:col>
      <xdr:colOff>273200</xdr:colOff>
      <xdr:row>2</xdr:row>
      <xdr:rowOff>72950</xdr:rowOff>
    </xdr:from>
    <xdr:to>
      <xdr:col>99</xdr:col>
      <xdr:colOff>494682</xdr:colOff>
      <xdr:row>5</xdr:row>
      <xdr:rowOff>119686</xdr:rowOff>
    </xdr:to>
    <xdr:sp macro="" textlink="">
      <xdr:nvSpPr>
        <xdr:cNvPr id="13" name="Arrow: Right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/>
      </xdr:nvSpPr>
      <xdr:spPr bwMode="auto">
        <a:xfrm>
          <a:off x="42166055" y="444425"/>
          <a:ext cx="791077" cy="610616"/>
        </a:xfrm>
        <a:prstGeom prst="rightArrow">
          <a:avLst/>
        </a:prstGeom>
        <a:solidFill>
          <a:srgbClr val="FF0000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n-SG" sz="1600" b="1">
              <a:solidFill>
                <a:schemeClr val="bg1"/>
              </a:solidFill>
            </a:rPr>
            <a:t>INPUT</a:t>
          </a:r>
          <a:r>
            <a:rPr lang="en-SG" sz="1100">
              <a:solidFill>
                <a:schemeClr val="bg1"/>
              </a:solidFill>
            </a:rPr>
            <a:t> 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3EBF130-4D2B-4C27-956F-40E64C2D65F5}" name="Table1" displayName="Table1" ref="A1:C27" totalsRowShown="0">
  <autoFilter ref="A1:C27" xr:uid="{BE7AEB10-3BDA-48DA-9F29-07F7249117D4}"/>
  <sortState xmlns:xlrd2="http://schemas.microsoft.com/office/spreadsheetml/2017/richdata2" ref="A2:B22">
    <sortCondition ref="A1:A88"/>
  </sortState>
  <tableColumns count="3">
    <tableColumn id="1" xr3:uid="{0F0E7B6D-07E5-409F-BC3C-5F7939DB3703}" name="Frame"/>
    <tableColumn id="3" xr3:uid="{24307D15-0AE1-4176-926B-2F0FFF0C5D3C}" name="Location"/>
    <tableColumn id="4" xr3:uid="{52DDE00C-7D4D-4267-8E63-922160BB18BD}" name="Axis direct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C190BF-9D33-4F4A-A72B-E385D0337494}">
  <dimension ref="A1:C27"/>
  <sheetViews>
    <sheetView zoomScale="175" zoomScaleNormal="175" workbookViewId="0">
      <selection activeCell="B21" sqref="B21"/>
    </sheetView>
  </sheetViews>
  <sheetFormatPr defaultRowHeight="13.2" x14ac:dyDescent="0.25"/>
  <cols>
    <col min="2" max="2" width="14" customWidth="1"/>
    <col min="3" max="3" width="10.5546875" customWidth="1"/>
  </cols>
  <sheetData>
    <row r="1" spans="1:3" x14ac:dyDescent="0.25">
      <c r="A1" t="s">
        <v>168</v>
      </c>
      <c r="B1" t="s">
        <v>79</v>
      </c>
      <c r="C1" t="s">
        <v>200</v>
      </c>
    </row>
    <row r="2" spans="1:3" x14ac:dyDescent="0.25">
      <c r="A2">
        <v>76</v>
      </c>
      <c r="B2" t="s">
        <v>161</v>
      </c>
      <c r="C2" t="s">
        <v>202</v>
      </c>
    </row>
    <row r="3" spans="1:3" x14ac:dyDescent="0.25">
      <c r="A3">
        <v>77</v>
      </c>
      <c r="B3" t="s">
        <v>161</v>
      </c>
      <c r="C3" t="s">
        <v>202</v>
      </c>
    </row>
    <row r="4" spans="1:3" x14ac:dyDescent="0.25">
      <c r="A4">
        <v>79</v>
      </c>
      <c r="B4" t="s">
        <v>161</v>
      </c>
      <c r="C4" t="s">
        <v>202</v>
      </c>
    </row>
    <row r="5" spans="1:3" x14ac:dyDescent="0.25">
      <c r="A5">
        <v>82</v>
      </c>
      <c r="B5" t="s">
        <v>161</v>
      </c>
      <c r="C5" t="s">
        <v>202</v>
      </c>
    </row>
    <row r="6" spans="1:3" x14ac:dyDescent="0.25">
      <c r="A6">
        <v>84</v>
      </c>
      <c r="B6" t="s">
        <v>161</v>
      </c>
      <c r="C6" t="s">
        <v>202</v>
      </c>
    </row>
    <row r="7" spans="1:3" x14ac:dyDescent="0.25">
      <c r="A7">
        <v>86</v>
      </c>
      <c r="B7" t="s">
        <v>161</v>
      </c>
      <c r="C7" t="s">
        <v>202</v>
      </c>
    </row>
    <row r="8" spans="1:3" x14ac:dyDescent="0.25">
      <c r="A8">
        <v>87</v>
      </c>
      <c r="B8" t="s">
        <v>161</v>
      </c>
      <c r="C8" t="s">
        <v>202</v>
      </c>
    </row>
    <row r="9" spans="1:3" x14ac:dyDescent="0.25">
      <c r="A9">
        <v>88</v>
      </c>
      <c r="B9" t="s">
        <v>167</v>
      </c>
      <c r="C9" t="s">
        <v>201</v>
      </c>
    </row>
    <row r="10" spans="1:3" x14ac:dyDescent="0.25">
      <c r="A10">
        <v>89</v>
      </c>
      <c r="B10" t="s">
        <v>167</v>
      </c>
      <c r="C10" t="s">
        <v>201</v>
      </c>
    </row>
    <row r="11" spans="1:3" x14ac:dyDescent="0.25">
      <c r="A11">
        <v>91</v>
      </c>
      <c r="B11" t="s">
        <v>167</v>
      </c>
      <c r="C11" t="s">
        <v>201</v>
      </c>
    </row>
    <row r="12" spans="1:3" x14ac:dyDescent="0.25">
      <c r="A12">
        <v>94</v>
      </c>
      <c r="B12" t="s">
        <v>167</v>
      </c>
      <c r="C12" t="s">
        <v>201</v>
      </c>
    </row>
    <row r="13" spans="1:3" x14ac:dyDescent="0.25">
      <c r="A13">
        <v>96</v>
      </c>
      <c r="B13" t="s">
        <v>167</v>
      </c>
      <c r="C13" t="s">
        <v>201</v>
      </c>
    </row>
    <row r="14" spans="1:3" x14ac:dyDescent="0.25">
      <c r="A14">
        <v>98</v>
      </c>
      <c r="B14" t="s">
        <v>167</v>
      </c>
      <c r="C14" t="s">
        <v>201</v>
      </c>
    </row>
    <row r="15" spans="1:3" x14ac:dyDescent="0.25">
      <c r="A15">
        <v>99</v>
      </c>
      <c r="B15" t="s">
        <v>167</v>
      </c>
      <c r="C15" t="s">
        <v>201</v>
      </c>
    </row>
    <row r="16" spans="1:3" x14ac:dyDescent="0.25">
      <c r="A16">
        <v>100</v>
      </c>
      <c r="B16" t="s">
        <v>162</v>
      </c>
      <c r="C16" t="s">
        <v>201</v>
      </c>
    </row>
    <row r="17" spans="1:3" x14ac:dyDescent="0.25">
      <c r="A17">
        <v>104</v>
      </c>
      <c r="B17" t="s">
        <v>162</v>
      </c>
      <c r="C17" t="s">
        <v>201</v>
      </c>
    </row>
    <row r="18" spans="1:3" x14ac:dyDescent="0.25">
      <c r="A18">
        <v>109</v>
      </c>
      <c r="B18" t="s">
        <v>162</v>
      </c>
      <c r="C18" t="s">
        <v>201</v>
      </c>
    </row>
    <row r="19" spans="1:3" x14ac:dyDescent="0.25">
      <c r="A19">
        <v>110</v>
      </c>
      <c r="B19" t="s">
        <v>163</v>
      </c>
      <c r="C19" t="s">
        <v>202</v>
      </c>
    </row>
    <row r="20" spans="1:3" x14ac:dyDescent="0.25">
      <c r="A20">
        <v>114</v>
      </c>
      <c r="B20" t="s">
        <v>163</v>
      </c>
      <c r="C20" t="s">
        <v>202</v>
      </c>
    </row>
    <row r="21" spans="1:3" x14ac:dyDescent="0.25">
      <c r="A21">
        <v>119</v>
      </c>
      <c r="B21" t="s">
        <v>163</v>
      </c>
      <c r="C21" t="s">
        <v>202</v>
      </c>
    </row>
    <row r="22" spans="1:3" x14ac:dyDescent="0.25">
      <c r="A22">
        <v>120</v>
      </c>
      <c r="B22" t="s">
        <v>164</v>
      </c>
      <c r="C22" t="s">
        <v>201</v>
      </c>
    </row>
    <row r="23" spans="1:3" x14ac:dyDescent="0.25">
      <c r="A23">
        <v>124</v>
      </c>
      <c r="B23" t="s">
        <v>164</v>
      </c>
      <c r="C23" t="s">
        <v>201</v>
      </c>
    </row>
    <row r="24" spans="1:3" x14ac:dyDescent="0.25">
      <c r="A24">
        <v>129</v>
      </c>
      <c r="B24" t="s">
        <v>164</v>
      </c>
      <c r="C24" t="s">
        <v>201</v>
      </c>
    </row>
    <row r="25" spans="1:3" x14ac:dyDescent="0.25">
      <c r="A25">
        <v>130</v>
      </c>
      <c r="B25" t="s">
        <v>164</v>
      </c>
      <c r="C25" t="s">
        <v>201</v>
      </c>
    </row>
    <row r="26" spans="1:3" x14ac:dyDescent="0.25">
      <c r="A26">
        <v>134</v>
      </c>
      <c r="B26" t="s">
        <v>164</v>
      </c>
      <c r="C26" t="s">
        <v>201</v>
      </c>
    </row>
    <row r="27" spans="1:3" x14ac:dyDescent="0.25">
      <c r="A27">
        <v>139</v>
      </c>
      <c r="B27" t="s">
        <v>164</v>
      </c>
      <c r="C27" t="s">
        <v>201</v>
      </c>
    </row>
  </sheetData>
  <phoneticPr fontId="23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DCB6AD-033A-442D-9AAA-C5C59D9C8076}">
  <dimension ref="A1:H209"/>
  <sheetViews>
    <sheetView zoomScale="130" zoomScaleNormal="130" workbookViewId="0">
      <selection activeCell="B11" sqref="B11"/>
    </sheetView>
  </sheetViews>
  <sheetFormatPr defaultRowHeight="13.2" x14ac:dyDescent="0.25"/>
  <cols>
    <col min="1" max="1" width="11.5546875" customWidth="1"/>
    <col min="2" max="2" width="14" customWidth="1"/>
    <col min="3" max="3" width="10.5546875" customWidth="1"/>
  </cols>
  <sheetData>
    <row r="1" spans="1:8" x14ac:dyDescent="0.25">
      <c r="A1" t="s">
        <v>173</v>
      </c>
      <c r="B1" t="s">
        <v>168</v>
      </c>
      <c r="C1" t="s">
        <v>79</v>
      </c>
      <c r="D1" t="s">
        <v>174</v>
      </c>
      <c r="E1" t="s">
        <v>170</v>
      </c>
      <c r="F1" t="s">
        <v>171</v>
      </c>
      <c r="G1" t="s">
        <v>172</v>
      </c>
      <c r="H1" t="s">
        <v>169</v>
      </c>
    </row>
    <row r="2" spans="1:8" x14ac:dyDescent="0.25">
      <c r="A2" t="s">
        <v>175</v>
      </c>
      <c r="B2">
        <v>76</v>
      </c>
      <c r="C2" t="s">
        <v>161</v>
      </c>
      <c r="D2">
        <v>0</v>
      </c>
      <c r="E2">
        <v>204</v>
      </c>
      <c r="F2">
        <v>-447.77205337077754</v>
      </c>
      <c r="G2">
        <v>-2053.6513109801394</v>
      </c>
      <c r="H2" t="s">
        <v>145</v>
      </c>
    </row>
    <row r="3" spans="1:8" x14ac:dyDescent="0.25">
      <c r="A3" t="s">
        <v>176</v>
      </c>
      <c r="B3">
        <v>76</v>
      </c>
      <c r="C3" t="s">
        <v>161</v>
      </c>
      <c r="D3">
        <v>0</v>
      </c>
      <c r="E3">
        <v>203</v>
      </c>
      <c r="F3">
        <v>-863.17150809225461</v>
      </c>
      <c r="G3">
        <v>-1644.13268371349</v>
      </c>
      <c r="H3" t="s">
        <v>147</v>
      </c>
    </row>
    <row r="4" spans="1:8" x14ac:dyDescent="0.25">
      <c r="A4" t="s">
        <v>177</v>
      </c>
      <c r="B4">
        <v>76</v>
      </c>
      <c r="C4" t="s">
        <v>161</v>
      </c>
      <c r="D4">
        <v>1.125</v>
      </c>
      <c r="E4">
        <v>206</v>
      </c>
      <c r="F4">
        <v>-107.80577148190422</v>
      </c>
      <c r="G4">
        <v>-1258.5445365322596</v>
      </c>
      <c r="H4" t="s">
        <v>146</v>
      </c>
    </row>
    <row r="5" spans="1:8" x14ac:dyDescent="0.25">
      <c r="A5" t="s">
        <v>178</v>
      </c>
      <c r="B5">
        <v>76</v>
      </c>
      <c r="C5" t="s">
        <v>161</v>
      </c>
      <c r="D5">
        <v>0</v>
      </c>
      <c r="E5">
        <v>206</v>
      </c>
      <c r="F5">
        <v>-94.340196223663071</v>
      </c>
      <c r="G5">
        <v>-1285.0530483491109</v>
      </c>
      <c r="H5" t="s">
        <v>148</v>
      </c>
    </row>
    <row r="6" spans="1:8" x14ac:dyDescent="0.25">
      <c r="A6" t="s">
        <v>203</v>
      </c>
      <c r="B6">
        <v>77</v>
      </c>
      <c r="C6" t="s">
        <v>161</v>
      </c>
      <c r="D6">
        <v>0</v>
      </c>
      <c r="E6">
        <v>204</v>
      </c>
      <c r="F6">
        <v>-395.43285197589012</v>
      </c>
      <c r="G6">
        <v>-2027.1427991632827</v>
      </c>
      <c r="H6" t="s">
        <v>145</v>
      </c>
    </row>
    <row r="7" spans="1:8" x14ac:dyDescent="0.25">
      <c r="A7" t="s">
        <v>204</v>
      </c>
      <c r="B7">
        <v>77</v>
      </c>
      <c r="C7" t="s">
        <v>161</v>
      </c>
      <c r="D7">
        <v>0</v>
      </c>
      <c r="E7">
        <v>203</v>
      </c>
      <c r="F7">
        <v>-763.00756697009592</v>
      </c>
      <c r="G7">
        <v>-1617.6241718966603</v>
      </c>
      <c r="H7" t="s">
        <v>147</v>
      </c>
    </row>
    <row r="8" spans="1:8" x14ac:dyDescent="0.25">
      <c r="A8" t="s">
        <v>205</v>
      </c>
      <c r="B8">
        <v>77</v>
      </c>
      <c r="C8" t="s">
        <v>161</v>
      </c>
      <c r="D8">
        <v>1.1250000000000004</v>
      </c>
      <c r="E8">
        <v>206</v>
      </c>
      <c r="F8">
        <v>-121.27134674014275</v>
      </c>
      <c r="G8">
        <v>-1232.0360247154028</v>
      </c>
      <c r="H8" t="s">
        <v>146</v>
      </c>
    </row>
    <row r="9" spans="1:8" x14ac:dyDescent="0.25">
      <c r="A9" t="s">
        <v>206</v>
      </c>
      <c r="B9">
        <v>77</v>
      </c>
      <c r="C9" t="s">
        <v>161</v>
      </c>
      <c r="D9">
        <v>0</v>
      </c>
      <c r="E9">
        <v>206</v>
      </c>
      <c r="F9">
        <v>-107.80577148190244</v>
      </c>
      <c r="G9">
        <v>-1258.5445365322541</v>
      </c>
      <c r="H9" t="s">
        <v>148</v>
      </c>
    </row>
    <row r="10" spans="1:8" x14ac:dyDescent="0.25">
      <c r="A10" t="s">
        <v>179</v>
      </c>
      <c r="B10">
        <v>79</v>
      </c>
      <c r="C10" t="s">
        <v>161</v>
      </c>
      <c r="D10">
        <v>0</v>
      </c>
      <c r="E10">
        <v>204</v>
      </c>
      <c r="F10">
        <v>-290.75444918611532</v>
      </c>
      <c r="G10">
        <v>-1974.1257755295858</v>
      </c>
      <c r="H10" t="s">
        <v>145</v>
      </c>
    </row>
    <row r="11" spans="1:8" x14ac:dyDescent="0.25">
      <c r="A11" t="s">
        <v>180</v>
      </c>
      <c r="B11">
        <v>79</v>
      </c>
      <c r="C11" t="s">
        <v>161</v>
      </c>
      <c r="D11">
        <v>0</v>
      </c>
      <c r="E11">
        <v>203</v>
      </c>
      <c r="F11">
        <v>-562.67968472577627</v>
      </c>
      <c r="G11">
        <v>-1564.607148262904</v>
      </c>
      <c r="H11" t="s">
        <v>147</v>
      </c>
    </row>
    <row r="12" spans="1:8" x14ac:dyDescent="0.25">
      <c r="A12" t="s">
        <v>181</v>
      </c>
      <c r="B12">
        <v>79</v>
      </c>
      <c r="C12" t="s">
        <v>161</v>
      </c>
      <c r="D12">
        <v>1.1249999999999998</v>
      </c>
      <c r="E12">
        <v>206</v>
      </c>
      <c r="F12">
        <v>-148.20249725662461</v>
      </c>
      <c r="G12">
        <v>-1179.0190010816978</v>
      </c>
      <c r="H12" t="s">
        <v>146</v>
      </c>
    </row>
    <row r="13" spans="1:8" x14ac:dyDescent="0.25">
      <c r="A13" t="s">
        <v>182</v>
      </c>
      <c r="B13">
        <v>79</v>
      </c>
      <c r="C13" t="s">
        <v>161</v>
      </c>
      <c r="D13">
        <v>0</v>
      </c>
      <c r="E13">
        <v>206</v>
      </c>
      <c r="F13">
        <v>-134.73692199838376</v>
      </c>
      <c r="G13">
        <v>-1205.527512898549</v>
      </c>
      <c r="H13" t="s">
        <v>148</v>
      </c>
    </row>
    <row r="14" spans="1:8" x14ac:dyDescent="0.25">
      <c r="A14" t="s">
        <v>183</v>
      </c>
      <c r="B14">
        <v>82</v>
      </c>
      <c r="C14" t="s">
        <v>161</v>
      </c>
      <c r="D14">
        <v>0</v>
      </c>
      <c r="E14">
        <v>204</v>
      </c>
      <c r="F14">
        <v>-133.73684500145418</v>
      </c>
      <c r="G14">
        <v>-1894.6002400790644</v>
      </c>
      <c r="H14" t="s">
        <v>145</v>
      </c>
    </row>
    <row r="15" spans="1:8" x14ac:dyDescent="0.25">
      <c r="A15" t="s">
        <v>184</v>
      </c>
      <c r="B15">
        <v>82</v>
      </c>
      <c r="C15" t="s">
        <v>161</v>
      </c>
      <c r="D15">
        <v>0</v>
      </c>
      <c r="E15">
        <v>203</v>
      </c>
      <c r="F15">
        <v>-262.18786135929616</v>
      </c>
      <c r="G15">
        <v>-1485.0816128123508</v>
      </c>
      <c r="H15" t="s">
        <v>147</v>
      </c>
    </row>
    <row r="16" spans="1:8" x14ac:dyDescent="0.25">
      <c r="A16" t="s">
        <v>185</v>
      </c>
      <c r="B16">
        <v>82</v>
      </c>
      <c r="C16" t="s">
        <v>161</v>
      </c>
      <c r="D16">
        <v>1.1249999999999998</v>
      </c>
      <c r="E16">
        <v>206</v>
      </c>
      <c r="F16">
        <v>-188.59922303135491</v>
      </c>
      <c r="G16">
        <v>-1034.749715631144</v>
      </c>
      <c r="H16" t="s">
        <v>146</v>
      </c>
    </row>
    <row r="17" spans="1:8" x14ac:dyDescent="0.25">
      <c r="A17" t="s">
        <v>186</v>
      </c>
      <c r="B17">
        <v>82</v>
      </c>
      <c r="C17" t="s">
        <v>161</v>
      </c>
      <c r="D17">
        <v>1.1249999999999998</v>
      </c>
      <c r="E17">
        <v>204</v>
      </c>
      <c r="F17">
        <v>-81.397643606567698</v>
      </c>
      <c r="G17">
        <v>-1757.504228262213</v>
      </c>
      <c r="H17" t="s">
        <v>148</v>
      </c>
    </row>
    <row r="18" spans="1:8" x14ac:dyDescent="0.25">
      <c r="A18" t="s">
        <v>187</v>
      </c>
      <c r="B18">
        <v>84</v>
      </c>
      <c r="C18" t="s">
        <v>161</v>
      </c>
      <c r="D18">
        <v>0</v>
      </c>
      <c r="E18">
        <v>201</v>
      </c>
      <c r="F18">
        <v>234.49163343266139</v>
      </c>
      <c r="G18">
        <v>-1386.097632539258</v>
      </c>
      <c r="H18" t="s">
        <v>145</v>
      </c>
    </row>
    <row r="19" spans="1:8" x14ac:dyDescent="0.25">
      <c r="A19" t="s">
        <v>188</v>
      </c>
      <c r="B19">
        <v>84</v>
      </c>
      <c r="C19" t="s">
        <v>161</v>
      </c>
      <c r="D19">
        <v>1.125</v>
      </c>
      <c r="E19">
        <v>203</v>
      </c>
      <c r="F19">
        <v>1553.3234359283892</v>
      </c>
      <c r="G19">
        <v>-1316.2024950617231</v>
      </c>
      <c r="H19" t="s">
        <v>147</v>
      </c>
    </row>
    <row r="20" spans="1:8" x14ac:dyDescent="0.25">
      <c r="A20" t="s">
        <v>189</v>
      </c>
      <c r="B20">
        <v>84</v>
      </c>
      <c r="C20" t="s">
        <v>161</v>
      </c>
      <c r="D20">
        <v>1.125</v>
      </c>
      <c r="E20">
        <v>206</v>
      </c>
      <c r="F20">
        <v>810.26725260898627</v>
      </c>
      <c r="G20">
        <v>-954.55278933177385</v>
      </c>
      <c r="H20" t="s">
        <v>146</v>
      </c>
    </row>
    <row r="21" spans="1:8" x14ac:dyDescent="0.25">
      <c r="A21" t="s">
        <v>190</v>
      </c>
      <c r="B21">
        <v>84</v>
      </c>
      <c r="C21" t="s">
        <v>161</v>
      </c>
      <c r="D21">
        <v>0</v>
      </c>
      <c r="E21">
        <v>206</v>
      </c>
      <c r="F21">
        <v>-24.672398224458707</v>
      </c>
      <c r="G21">
        <v>-981.06130114862538</v>
      </c>
      <c r="H21" t="s">
        <v>148</v>
      </c>
    </row>
    <row r="22" spans="1:8" x14ac:dyDescent="0.25">
      <c r="A22" t="s">
        <v>207</v>
      </c>
      <c r="B22">
        <v>86</v>
      </c>
      <c r="C22" t="s">
        <v>161</v>
      </c>
      <c r="D22">
        <v>0</v>
      </c>
      <c r="E22">
        <v>201</v>
      </c>
      <c r="F22">
        <v>1320.1681011424964</v>
      </c>
      <c r="G22">
        <v>-1332.8449776894051</v>
      </c>
      <c r="H22" t="s">
        <v>145</v>
      </c>
    </row>
    <row r="23" spans="1:8" x14ac:dyDescent="0.25">
      <c r="A23" t="s">
        <v>208</v>
      </c>
      <c r="B23">
        <v>86</v>
      </c>
      <c r="C23" t="s">
        <v>161</v>
      </c>
      <c r="D23">
        <v>0</v>
      </c>
      <c r="E23">
        <v>203</v>
      </c>
      <c r="F23">
        <v>1676.5091325498374</v>
      </c>
      <c r="G23">
        <v>-1289.4583520287201</v>
      </c>
      <c r="H23" t="s">
        <v>147</v>
      </c>
    </row>
    <row r="24" spans="1:8" x14ac:dyDescent="0.25">
      <c r="A24" t="s">
        <v>209</v>
      </c>
      <c r="B24">
        <v>86</v>
      </c>
      <c r="C24" t="s">
        <v>161</v>
      </c>
      <c r="D24">
        <v>1.1249999999999998</v>
      </c>
      <c r="E24">
        <v>206</v>
      </c>
      <c r="F24">
        <v>1313.1264191943371</v>
      </c>
      <c r="G24">
        <v>-901.30013448192119</v>
      </c>
      <c r="H24" t="s">
        <v>146</v>
      </c>
    </row>
    <row r="25" spans="1:8" x14ac:dyDescent="0.25">
      <c r="A25" t="s">
        <v>210</v>
      </c>
      <c r="B25">
        <v>86</v>
      </c>
      <c r="C25" t="s">
        <v>161</v>
      </c>
      <c r="D25">
        <v>1.1249999999999998</v>
      </c>
      <c r="E25">
        <v>204</v>
      </c>
      <c r="F25">
        <v>589.49900980121015</v>
      </c>
      <c r="G25">
        <v>-1247.5565849996758</v>
      </c>
      <c r="H25" t="s">
        <v>148</v>
      </c>
    </row>
    <row r="26" spans="1:8" x14ac:dyDescent="0.25">
      <c r="A26" t="s">
        <v>191</v>
      </c>
      <c r="B26">
        <v>87</v>
      </c>
      <c r="C26" t="s">
        <v>161</v>
      </c>
      <c r="D26">
        <v>0</v>
      </c>
      <c r="E26">
        <v>201</v>
      </c>
      <c r="F26">
        <v>1284.113929742442</v>
      </c>
      <c r="G26">
        <v>-1306.2186502644786</v>
      </c>
      <c r="H26" t="s">
        <v>145</v>
      </c>
    </row>
    <row r="27" spans="1:8" x14ac:dyDescent="0.25">
      <c r="A27" t="s">
        <v>192</v>
      </c>
      <c r="B27">
        <v>87</v>
      </c>
      <c r="C27" t="s">
        <v>161</v>
      </c>
      <c r="D27">
        <v>0</v>
      </c>
      <c r="E27">
        <v>203</v>
      </c>
      <c r="F27">
        <v>1452.1662626303626</v>
      </c>
      <c r="G27">
        <v>-1262.8320246037945</v>
      </c>
      <c r="H27" t="s">
        <v>147</v>
      </c>
    </row>
    <row r="28" spans="1:8" x14ac:dyDescent="0.25">
      <c r="A28" t="s">
        <v>193</v>
      </c>
      <c r="B28">
        <v>87</v>
      </c>
      <c r="C28" t="s">
        <v>161</v>
      </c>
      <c r="D28">
        <v>1.1249999999999998</v>
      </c>
      <c r="E28">
        <v>206</v>
      </c>
      <c r="F28">
        <v>1029.7815618504931</v>
      </c>
      <c r="G28">
        <v>-874.67380705699406</v>
      </c>
      <c r="H28" t="s">
        <v>146</v>
      </c>
    </row>
    <row r="29" spans="1:8" x14ac:dyDescent="0.25">
      <c r="A29" t="s">
        <v>194</v>
      </c>
      <c r="B29">
        <v>87</v>
      </c>
      <c r="C29" t="s">
        <v>161</v>
      </c>
      <c r="D29">
        <v>1.1249999999999998</v>
      </c>
      <c r="E29">
        <v>204</v>
      </c>
      <c r="F29">
        <v>235.96897035063634</v>
      </c>
      <c r="G29">
        <v>-1220.9302575747474</v>
      </c>
      <c r="H29" t="s">
        <v>148</v>
      </c>
    </row>
    <row r="30" spans="1:8" x14ac:dyDescent="0.25">
      <c r="A30" t="s">
        <v>195</v>
      </c>
      <c r="B30">
        <v>88</v>
      </c>
      <c r="C30" t="s">
        <v>167</v>
      </c>
      <c r="D30">
        <v>0</v>
      </c>
      <c r="E30">
        <v>201</v>
      </c>
      <c r="F30">
        <v>894.59498692410796</v>
      </c>
      <c r="G30">
        <v>-1279.5923228395541</v>
      </c>
      <c r="H30" t="s">
        <v>145</v>
      </c>
    </row>
    <row r="31" spans="1:8" x14ac:dyDescent="0.25">
      <c r="A31" t="s">
        <v>196</v>
      </c>
      <c r="B31">
        <v>88</v>
      </c>
      <c r="C31" t="s">
        <v>167</v>
      </c>
      <c r="D31">
        <v>0</v>
      </c>
      <c r="E31">
        <v>206</v>
      </c>
      <c r="F31">
        <v>1029.7521079484775</v>
      </c>
      <c r="G31">
        <v>-874.5559914489213</v>
      </c>
      <c r="H31" t="s">
        <v>147</v>
      </c>
    </row>
    <row r="32" spans="1:8" x14ac:dyDescent="0.25">
      <c r="A32" t="s">
        <v>197</v>
      </c>
      <c r="B32">
        <v>88</v>
      </c>
      <c r="C32" t="s">
        <v>167</v>
      </c>
      <c r="D32">
        <v>1.1250000000000011</v>
      </c>
      <c r="E32">
        <v>206</v>
      </c>
      <c r="F32">
        <v>422.41856303255543</v>
      </c>
      <c r="G32">
        <v>-848.04747963207046</v>
      </c>
      <c r="H32" t="s">
        <v>146</v>
      </c>
    </row>
    <row r="33" spans="1:8" x14ac:dyDescent="0.25">
      <c r="A33" t="s">
        <v>198</v>
      </c>
      <c r="B33">
        <v>88</v>
      </c>
      <c r="C33" t="s">
        <v>167</v>
      </c>
      <c r="D33">
        <v>1.1250000000000011</v>
      </c>
      <c r="E33">
        <v>212</v>
      </c>
      <c r="F33">
        <v>-27.500841586904532</v>
      </c>
      <c r="G33">
        <v>-1226.2332882530541</v>
      </c>
      <c r="H33" t="s">
        <v>148</v>
      </c>
    </row>
    <row r="34" spans="1:8" x14ac:dyDescent="0.25">
      <c r="A34" t="s">
        <v>211</v>
      </c>
      <c r="B34">
        <v>89</v>
      </c>
      <c r="C34" t="s">
        <v>167</v>
      </c>
      <c r="D34">
        <v>0</v>
      </c>
      <c r="E34">
        <v>201</v>
      </c>
      <c r="F34">
        <v>175.99524295097646</v>
      </c>
      <c r="G34">
        <v>-1252.9659954146275</v>
      </c>
      <c r="H34" t="s">
        <v>145</v>
      </c>
    </row>
    <row r="35" spans="1:8" x14ac:dyDescent="0.25">
      <c r="A35" t="s">
        <v>212</v>
      </c>
      <c r="B35">
        <v>89</v>
      </c>
      <c r="C35" t="s">
        <v>167</v>
      </c>
      <c r="D35">
        <v>1.1249999999999998</v>
      </c>
      <c r="E35">
        <v>203</v>
      </c>
      <c r="F35">
        <v>-1080.3543636475181</v>
      </c>
      <c r="G35">
        <v>-1183.0708579370908</v>
      </c>
      <c r="H35" t="s">
        <v>147</v>
      </c>
    </row>
    <row r="36" spans="1:8" x14ac:dyDescent="0.25">
      <c r="A36" t="s">
        <v>213</v>
      </c>
      <c r="B36">
        <v>89</v>
      </c>
      <c r="C36" t="s">
        <v>167</v>
      </c>
      <c r="D36">
        <v>1.1249999999999998</v>
      </c>
      <c r="E36">
        <v>206</v>
      </c>
      <c r="F36">
        <v>-484.64217642415497</v>
      </c>
      <c r="G36">
        <v>-821.42115220714334</v>
      </c>
      <c r="H36" t="s">
        <v>146</v>
      </c>
    </row>
    <row r="37" spans="1:8" x14ac:dyDescent="0.25">
      <c r="A37" t="s">
        <v>214</v>
      </c>
      <c r="B37">
        <v>89</v>
      </c>
      <c r="C37" t="s">
        <v>167</v>
      </c>
      <c r="D37">
        <v>0</v>
      </c>
      <c r="E37">
        <v>212</v>
      </c>
      <c r="F37">
        <v>-27.530295488924303</v>
      </c>
      <c r="G37">
        <v>-1226.1154726449795</v>
      </c>
      <c r="H37" t="s">
        <v>148</v>
      </c>
    </row>
    <row r="38" spans="1:8" x14ac:dyDescent="0.25">
      <c r="H38" t="s">
        <v>145</v>
      </c>
    </row>
    <row r="39" spans="1:8" x14ac:dyDescent="0.25">
      <c r="H39" t="s">
        <v>147</v>
      </c>
    </row>
    <row r="40" spans="1:8" x14ac:dyDescent="0.25">
      <c r="H40" t="s">
        <v>146</v>
      </c>
    </row>
    <row r="41" spans="1:8" x14ac:dyDescent="0.25">
      <c r="H41" t="s">
        <v>148</v>
      </c>
    </row>
    <row r="42" spans="1:8" x14ac:dyDescent="0.25">
      <c r="H42" t="s">
        <v>145</v>
      </c>
    </row>
    <row r="43" spans="1:8" x14ac:dyDescent="0.25">
      <c r="H43" t="s">
        <v>147</v>
      </c>
    </row>
    <row r="44" spans="1:8" x14ac:dyDescent="0.25">
      <c r="H44" t="s">
        <v>146</v>
      </c>
    </row>
    <row r="45" spans="1:8" x14ac:dyDescent="0.25">
      <c r="H45" t="s">
        <v>148</v>
      </c>
    </row>
    <row r="46" spans="1:8" x14ac:dyDescent="0.25">
      <c r="H46" t="s">
        <v>145</v>
      </c>
    </row>
    <row r="47" spans="1:8" x14ac:dyDescent="0.25">
      <c r="H47" t="s">
        <v>147</v>
      </c>
    </row>
    <row r="48" spans="1:8" x14ac:dyDescent="0.25">
      <c r="H48" t="s">
        <v>146</v>
      </c>
    </row>
    <row r="49" spans="8:8" x14ac:dyDescent="0.25">
      <c r="H49" t="s">
        <v>148</v>
      </c>
    </row>
    <row r="50" spans="8:8" x14ac:dyDescent="0.25">
      <c r="H50" t="s">
        <v>145</v>
      </c>
    </row>
    <row r="51" spans="8:8" x14ac:dyDescent="0.25">
      <c r="H51" t="s">
        <v>147</v>
      </c>
    </row>
    <row r="52" spans="8:8" x14ac:dyDescent="0.25">
      <c r="H52" t="s">
        <v>146</v>
      </c>
    </row>
    <row r="53" spans="8:8" x14ac:dyDescent="0.25">
      <c r="H53" t="s">
        <v>148</v>
      </c>
    </row>
    <row r="54" spans="8:8" x14ac:dyDescent="0.25">
      <c r="H54" t="s">
        <v>145</v>
      </c>
    </row>
    <row r="55" spans="8:8" x14ac:dyDescent="0.25">
      <c r="H55" t="s">
        <v>147</v>
      </c>
    </row>
    <row r="56" spans="8:8" x14ac:dyDescent="0.25">
      <c r="H56" t="s">
        <v>146</v>
      </c>
    </row>
    <row r="57" spans="8:8" x14ac:dyDescent="0.25">
      <c r="H57" t="s">
        <v>148</v>
      </c>
    </row>
    <row r="58" spans="8:8" x14ac:dyDescent="0.25">
      <c r="H58" t="s">
        <v>145</v>
      </c>
    </row>
    <row r="59" spans="8:8" x14ac:dyDescent="0.25">
      <c r="H59" t="s">
        <v>147</v>
      </c>
    </row>
    <row r="60" spans="8:8" x14ac:dyDescent="0.25">
      <c r="H60" t="s">
        <v>146</v>
      </c>
    </row>
    <row r="61" spans="8:8" x14ac:dyDescent="0.25">
      <c r="H61" t="s">
        <v>148</v>
      </c>
    </row>
    <row r="62" spans="8:8" x14ac:dyDescent="0.25">
      <c r="H62" t="s">
        <v>145</v>
      </c>
    </row>
    <row r="63" spans="8:8" x14ac:dyDescent="0.25">
      <c r="H63" t="s">
        <v>147</v>
      </c>
    </row>
    <row r="64" spans="8:8" x14ac:dyDescent="0.25">
      <c r="H64" t="s">
        <v>146</v>
      </c>
    </row>
    <row r="65" spans="8:8" x14ac:dyDescent="0.25">
      <c r="H65" t="s">
        <v>148</v>
      </c>
    </row>
    <row r="66" spans="8:8" x14ac:dyDescent="0.25">
      <c r="H66" t="s">
        <v>145</v>
      </c>
    </row>
    <row r="67" spans="8:8" x14ac:dyDescent="0.25">
      <c r="H67" t="s">
        <v>147</v>
      </c>
    </row>
    <row r="68" spans="8:8" x14ac:dyDescent="0.25">
      <c r="H68" t="s">
        <v>146</v>
      </c>
    </row>
    <row r="69" spans="8:8" x14ac:dyDescent="0.25">
      <c r="H69" t="s">
        <v>148</v>
      </c>
    </row>
    <row r="70" spans="8:8" x14ac:dyDescent="0.25">
      <c r="H70" t="s">
        <v>145</v>
      </c>
    </row>
    <row r="71" spans="8:8" x14ac:dyDescent="0.25">
      <c r="H71" t="s">
        <v>147</v>
      </c>
    </row>
    <row r="72" spans="8:8" x14ac:dyDescent="0.25">
      <c r="H72" t="s">
        <v>146</v>
      </c>
    </row>
    <row r="73" spans="8:8" x14ac:dyDescent="0.25">
      <c r="H73" t="s">
        <v>146</v>
      </c>
    </row>
    <row r="74" spans="8:8" x14ac:dyDescent="0.25">
      <c r="H74" t="s">
        <v>148</v>
      </c>
    </row>
    <row r="75" spans="8:8" x14ac:dyDescent="0.25">
      <c r="H75" t="s">
        <v>145</v>
      </c>
    </row>
    <row r="76" spans="8:8" x14ac:dyDescent="0.25">
      <c r="H76" t="s">
        <v>147</v>
      </c>
    </row>
    <row r="77" spans="8:8" x14ac:dyDescent="0.25">
      <c r="H77" t="s">
        <v>146</v>
      </c>
    </row>
    <row r="78" spans="8:8" x14ac:dyDescent="0.25">
      <c r="H78" t="s">
        <v>148</v>
      </c>
    </row>
    <row r="79" spans="8:8" x14ac:dyDescent="0.25">
      <c r="H79" t="s">
        <v>145</v>
      </c>
    </row>
    <row r="80" spans="8:8" x14ac:dyDescent="0.25">
      <c r="H80" t="s">
        <v>147</v>
      </c>
    </row>
    <row r="81" spans="8:8" x14ac:dyDescent="0.25">
      <c r="H81" t="s">
        <v>146</v>
      </c>
    </row>
    <row r="82" spans="8:8" x14ac:dyDescent="0.25">
      <c r="H82" t="s">
        <v>148</v>
      </c>
    </row>
    <row r="83" spans="8:8" x14ac:dyDescent="0.25">
      <c r="H83" t="s">
        <v>145</v>
      </c>
    </row>
    <row r="84" spans="8:8" x14ac:dyDescent="0.25">
      <c r="H84" t="s">
        <v>147</v>
      </c>
    </row>
    <row r="85" spans="8:8" x14ac:dyDescent="0.25">
      <c r="H85" t="s">
        <v>146</v>
      </c>
    </row>
    <row r="86" spans="8:8" x14ac:dyDescent="0.25">
      <c r="H86" t="s">
        <v>148</v>
      </c>
    </row>
    <row r="87" spans="8:8" x14ac:dyDescent="0.25">
      <c r="H87" t="s">
        <v>145</v>
      </c>
    </row>
    <row r="88" spans="8:8" x14ac:dyDescent="0.25">
      <c r="H88" t="s">
        <v>147</v>
      </c>
    </row>
    <row r="89" spans="8:8" x14ac:dyDescent="0.25">
      <c r="H89" t="s">
        <v>146</v>
      </c>
    </row>
    <row r="90" spans="8:8" x14ac:dyDescent="0.25">
      <c r="H90" t="s">
        <v>148</v>
      </c>
    </row>
    <row r="91" spans="8:8" x14ac:dyDescent="0.25">
      <c r="H91" t="s">
        <v>145</v>
      </c>
    </row>
    <row r="92" spans="8:8" x14ac:dyDescent="0.25">
      <c r="H92" t="s">
        <v>147</v>
      </c>
    </row>
    <row r="93" spans="8:8" x14ac:dyDescent="0.25">
      <c r="H93" t="s">
        <v>146</v>
      </c>
    </row>
    <row r="94" spans="8:8" x14ac:dyDescent="0.25">
      <c r="H94" t="s">
        <v>148</v>
      </c>
    </row>
    <row r="95" spans="8:8" x14ac:dyDescent="0.25">
      <c r="H95" t="s">
        <v>145</v>
      </c>
    </row>
    <row r="96" spans="8:8" x14ac:dyDescent="0.25">
      <c r="H96" t="s">
        <v>147</v>
      </c>
    </row>
    <row r="97" spans="8:8" x14ac:dyDescent="0.25">
      <c r="H97" t="s">
        <v>146</v>
      </c>
    </row>
    <row r="98" spans="8:8" x14ac:dyDescent="0.25">
      <c r="H98" t="s">
        <v>148</v>
      </c>
    </row>
    <row r="99" spans="8:8" x14ac:dyDescent="0.25">
      <c r="H99" t="s">
        <v>145</v>
      </c>
    </row>
    <row r="100" spans="8:8" x14ac:dyDescent="0.25">
      <c r="H100" t="s">
        <v>147</v>
      </c>
    </row>
    <row r="101" spans="8:8" x14ac:dyDescent="0.25">
      <c r="H101" t="s">
        <v>146</v>
      </c>
    </row>
    <row r="102" spans="8:8" x14ac:dyDescent="0.25">
      <c r="H102" t="s">
        <v>148</v>
      </c>
    </row>
    <row r="103" spans="8:8" x14ac:dyDescent="0.25">
      <c r="H103" t="s">
        <v>145</v>
      </c>
    </row>
    <row r="104" spans="8:8" x14ac:dyDescent="0.25">
      <c r="H104" t="s">
        <v>147</v>
      </c>
    </row>
    <row r="105" spans="8:8" x14ac:dyDescent="0.25">
      <c r="H105" t="s">
        <v>146</v>
      </c>
    </row>
    <row r="106" spans="8:8" x14ac:dyDescent="0.25">
      <c r="H106" t="s">
        <v>148</v>
      </c>
    </row>
    <row r="107" spans="8:8" x14ac:dyDescent="0.25">
      <c r="H107" t="s">
        <v>148</v>
      </c>
    </row>
    <row r="108" spans="8:8" x14ac:dyDescent="0.25">
      <c r="H108" t="s">
        <v>147</v>
      </c>
    </row>
    <row r="109" spans="8:8" x14ac:dyDescent="0.25">
      <c r="H109" t="s">
        <v>147</v>
      </c>
    </row>
    <row r="110" spans="8:8" x14ac:dyDescent="0.25">
      <c r="H110" t="s">
        <v>146</v>
      </c>
    </row>
    <row r="111" spans="8:8" x14ac:dyDescent="0.25">
      <c r="H111" t="s">
        <v>146</v>
      </c>
    </row>
    <row r="112" spans="8:8" x14ac:dyDescent="0.25">
      <c r="H112" t="s">
        <v>148</v>
      </c>
    </row>
    <row r="113" spans="8:8" x14ac:dyDescent="0.25">
      <c r="H113" t="s">
        <v>148</v>
      </c>
    </row>
    <row r="114" spans="8:8" x14ac:dyDescent="0.25">
      <c r="H114" t="s">
        <v>145</v>
      </c>
    </row>
    <row r="115" spans="8:8" x14ac:dyDescent="0.25">
      <c r="H115" t="s">
        <v>145</v>
      </c>
    </row>
    <row r="116" spans="8:8" x14ac:dyDescent="0.25">
      <c r="H116" t="s">
        <v>147</v>
      </c>
    </row>
    <row r="117" spans="8:8" x14ac:dyDescent="0.25">
      <c r="H117" t="s">
        <v>147</v>
      </c>
    </row>
    <row r="118" spans="8:8" x14ac:dyDescent="0.25">
      <c r="H118" t="s">
        <v>146</v>
      </c>
    </row>
    <row r="119" spans="8:8" x14ac:dyDescent="0.25">
      <c r="H119" t="s">
        <v>146</v>
      </c>
    </row>
    <row r="120" spans="8:8" x14ac:dyDescent="0.25">
      <c r="H120" t="s">
        <v>148</v>
      </c>
    </row>
    <row r="121" spans="8:8" x14ac:dyDescent="0.25">
      <c r="H121" t="s">
        <v>148</v>
      </c>
    </row>
    <row r="122" spans="8:8" x14ac:dyDescent="0.25">
      <c r="H122" t="s">
        <v>145</v>
      </c>
    </row>
    <row r="123" spans="8:8" x14ac:dyDescent="0.25">
      <c r="H123" t="s">
        <v>145</v>
      </c>
    </row>
    <row r="124" spans="8:8" x14ac:dyDescent="0.25">
      <c r="H124" t="s">
        <v>147</v>
      </c>
    </row>
    <row r="125" spans="8:8" x14ac:dyDescent="0.25">
      <c r="H125" t="s">
        <v>147</v>
      </c>
    </row>
    <row r="126" spans="8:8" x14ac:dyDescent="0.25">
      <c r="H126" t="s">
        <v>146</v>
      </c>
    </row>
    <row r="127" spans="8:8" x14ac:dyDescent="0.25">
      <c r="H127" t="s">
        <v>146</v>
      </c>
    </row>
    <row r="128" spans="8:8" x14ac:dyDescent="0.25">
      <c r="H128" t="s">
        <v>148</v>
      </c>
    </row>
    <row r="129" spans="8:8" x14ac:dyDescent="0.25">
      <c r="H129" t="s">
        <v>148</v>
      </c>
    </row>
    <row r="130" spans="8:8" x14ac:dyDescent="0.25">
      <c r="H130" t="s">
        <v>145</v>
      </c>
    </row>
    <row r="131" spans="8:8" x14ac:dyDescent="0.25">
      <c r="H131" t="s">
        <v>145</v>
      </c>
    </row>
    <row r="132" spans="8:8" x14ac:dyDescent="0.25">
      <c r="H132" t="s">
        <v>147</v>
      </c>
    </row>
    <row r="133" spans="8:8" x14ac:dyDescent="0.25">
      <c r="H133" t="s">
        <v>147</v>
      </c>
    </row>
    <row r="134" spans="8:8" x14ac:dyDescent="0.25">
      <c r="H134" t="s">
        <v>146</v>
      </c>
    </row>
    <row r="135" spans="8:8" x14ac:dyDescent="0.25">
      <c r="H135" t="s">
        <v>146</v>
      </c>
    </row>
    <row r="136" spans="8:8" x14ac:dyDescent="0.25">
      <c r="H136" t="s">
        <v>148</v>
      </c>
    </row>
    <row r="137" spans="8:8" x14ac:dyDescent="0.25">
      <c r="H137" t="s">
        <v>148</v>
      </c>
    </row>
    <row r="138" spans="8:8" x14ac:dyDescent="0.25">
      <c r="H138" t="s">
        <v>145</v>
      </c>
    </row>
    <row r="139" spans="8:8" x14ac:dyDescent="0.25">
      <c r="H139" t="s">
        <v>145</v>
      </c>
    </row>
    <row r="140" spans="8:8" x14ac:dyDescent="0.25">
      <c r="H140" t="s">
        <v>147</v>
      </c>
    </row>
    <row r="141" spans="8:8" x14ac:dyDescent="0.25">
      <c r="H141" t="s">
        <v>147</v>
      </c>
    </row>
    <row r="142" spans="8:8" x14ac:dyDescent="0.25">
      <c r="H142" t="s">
        <v>146</v>
      </c>
    </row>
    <row r="143" spans="8:8" x14ac:dyDescent="0.25">
      <c r="H143" t="s">
        <v>146</v>
      </c>
    </row>
    <row r="144" spans="8:8" x14ac:dyDescent="0.25">
      <c r="H144" t="s">
        <v>148</v>
      </c>
    </row>
    <row r="145" spans="8:8" x14ac:dyDescent="0.25">
      <c r="H145" t="s">
        <v>148</v>
      </c>
    </row>
    <row r="146" spans="8:8" x14ac:dyDescent="0.25">
      <c r="H146" t="s">
        <v>145</v>
      </c>
    </row>
    <row r="147" spans="8:8" x14ac:dyDescent="0.25">
      <c r="H147" t="s">
        <v>145</v>
      </c>
    </row>
    <row r="148" spans="8:8" x14ac:dyDescent="0.25">
      <c r="H148" t="s">
        <v>147</v>
      </c>
    </row>
    <row r="149" spans="8:8" x14ac:dyDescent="0.25">
      <c r="H149" t="s">
        <v>147</v>
      </c>
    </row>
    <row r="150" spans="8:8" x14ac:dyDescent="0.25">
      <c r="H150" t="s">
        <v>146</v>
      </c>
    </row>
    <row r="151" spans="8:8" x14ac:dyDescent="0.25">
      <c r="H151" t="s">
        <v>146</v>
      </c>
    </row>
    <row r="152" spans="8:8" x14ac:dyDescent="0.25">
      <c r="H152" t="s">
        <v>148</v>
      </c>
    </row>
    <row r="153" spans="8:8" x14ac:dyDescent="0.25">
      <c r="H153" t="s">
        <v>148</v>
      </c>
    </row>
    <row r="154" spans="8:8" x14ac:dyDescent="0.25">
      <c r="H154" t="s">
        <v>145</v>
      </c>
    </row>
    <row r="155" spans="8:8" x14ac:dyDescent="0.25">
      <c r="H155" t="s">
        <v>145</v>
      </c>
    </row>
    <row r="156" spans="8:8" x14ac:dyDescent="0.25">
      <c r="H156" t="s">
        <v>147</v>
      </c>
    </row>
    <row r="157" spans="8:8" x14ac:dyDescent="0.25">
      <c r="H157" t="s">
        <v>147</v>
      </c>
    </row>
    <row r="158" spans="8:8" x14ac:dyDescent="0.25">
      <c r="H158" t="s">
        <v>146</v>
      </c>
    </row>
    <row r="159" spans="8:8" x14ac:dyDescent="0.25">
      <c r="H159" t="s">
        <v>146</v>
      </c>
    </row>
    <row r="160" spans="8:8" x14ac:dyDescent="0.25">
      <c r="H160" t="s">
        <v>148</v>
      </c>
    </row>
    <row r="161" spans="8:8" x14ac:dyDescent="0.25">
      <c r="H161" t="s">
        <v>148</v>
      </c>
    </row>
    <row r="162" spans="8:8" x14ac:dyDescent="0.25">
      <c r="H162" t="s">
        <v>145</v>
      </c>
    </row>
    <row r="163" spans="8:8" x14ac:dyDescent="0.25">
      <c r="H163" t="s">
        <v>145</v>
      </c>
    </row>
    <row r="164" spans="8:8" x14ac:dyDescent="0.25">
      <c r="H164" t="s">
        <v>147</v>
      </c>
    </row>
    <row r="165" spans="8:8" x14ac:dyDescent="0.25">
      <c r="H165" t="s">
        <v>147</v>
      </c>
    </row>
    <row r="166" spans="8:8" x14ac:dyDescent="0.25">
      <c r="H166" t="s">
        <v>146</v>
      </c>
    </row>
    <row r="167" spans="8:8" x14ac:dyDescent="0.25">
      <c r="H167" t="s">
        <v>146</v>
      </c>
    </row>
    <row r="168" spans="8:8" x14ac:dyDescent="0.25">
      <c r="H168" t="s">
        <v>148</v>
      </c>
    </row>
    <row r="169" spans="8:8" x14ac:dyDescent="0.25">
      <c r="H169" t="s">
        <v>148</v>
      </c>
    </row>
    <row r="170" spans="8:8" x14ac:dyDescent="0.25">
      <c r="H170" t="s">
        <v>145</v>
      </c>
    </row>
    <row r="171" spans="8:8" x14ac:dyDescent="0.25">
      <c r="H171" t="s">
        <v>145</v>
      </c>
    </row>
    <row r="172" spans="8:8" x14ac:dyDescent="0.25">
      <c r="H172" t="s">
        <v>147</v>
      </c>
    </row>
    <row r="173" spans="8:8" x14ac:dyDescent="0.25">
      <c r="H173" t="s">
        <v>147</v>
      </c>
    </row>
    <row r="174" spans="8:8" x14ac:dyDescent="0.25">
      <c r="H174" t="s">
        <v>146</v>
      </c>
    </row>
    <row r="175" spans="8:8" x14ac:dyDescent="0.25">
      <c r="H175" t="s">
        <v>146</v>
      </c>
    </row>
    <row r="176" spans="8:8" x14ac:dyDescent="0.25">
      <c r="H176" t="s">
        <v>148</v>
      </c>
    </row>
    <row r="177" spans="8:8" x14ac:dyDescent="0.25">
      <c r="H177" t="s">
        <v>148</v>
      </c>
    </row>
    <row r="178" spans="8:8" x14ac:dyDescent="0.25">
      <c r="H178" t="s">
        <v>145</v>
      </c>
    </row>
    <row r="179" spans="8:8" x14ac:dyDescent="0.25">
      <c r="H179" t="s">
        <v>145</v>
      </c>
    </row>
    <row r="180" spans="8:8" x14ac:dyDescent="0.25">
      <c r="H180" t="s">
        <v>147</v>
      </c>
    </row>
    <row r="181" spans="8:8" x14ac:dyDescent="0.25">
      <c r="H181" t="s">
        <v>147</v>
      </c>
    </row>
    <row r="182" spans="8:8" x14ac:dyDescent="0.25">
      <c r="H182" t="s">
        <v>146</v>
      </c>
    </row>
    <row r="183" spans="8:8" x14ac:dyDescent="0.25">
      <c r="H183" t="s">
        <v>146</v>
      </c>
    </row>
    <row r="184" spans="8:8" x14ac:dyDescent="0.25">
      <c r="H184" t="s">
        <v>148</v>
      </c>
    </row>
    <row r="185" spans="8:8" x14ac:dyDescent="0.25">
      <c r="H185" t="s">
        <v>148</v>
      </c>
    </row>
    <row r="186" spans="8:8" x14ac:dyDescent="0.25">
      <c r="H186" t="s">
        <v>145</v>
      </c>
    </row>
    <row r="187" spans="8:8" x14ac:dyDescent="0.25">
      <c r="H187" t="s">
        <v>145</v>
      </c>
    </row>
    <row r="188" spans="8:8" x14ac:dyDescent="0.25">
      <c r="H188" t="s">
        <v>147</v>
      </c>
    </row>
    <row r="189" spans="8:8" x14ac:dyDescent="0.25">
      <c r="H189" t="s">
        <v>147</v>
      </c>
    </row>
    <row r="190" spans="8:8" x14ac:dyDescent="0.25">
      <c r="H190" t="s">
        <v>146</v>
      </c>
    </row>
    <row r="191" spans="8:8" x14ac:dyDescent="0.25">
      <c r="H191" t="s">
        <v>146</v>
      </c>
    </row>
    <row r="192" spans="8:8" x14ac:dyDescent="0.25">
      <c r="H192" t="s">
        <v>148</v>
      </c>
    </row>
    <row r="193" spans="8:8" x14ac:dyDescent="0.25">
      <c r="H193" t="s">
        <v>148</v>
      </c>
    </row>
    <row r="194" spans="8:8" x14ac:dyDescent="0.25">
      <c r="H194" t="s">
        <v>145</v>
      </c>
    </row>
    <row r="195" spans="8:8" x14ac:dyDescent="0.25">
      <c r="H195" t="s">
        <v>145</v>
      </c>
    </row>
    <row r="196" spans="8:8" x14ac:dyDescent="0.25">
      <c r="H196" t="s">
        <v>147</v>
      </c>
    </row>
    <row r="197" spans="8:8" x14ac:dyDescent="0.25">
      <c r="H197" t="s">
        <v>147</v>
      </c>
    </row>
    <row r="198" spans="8:8" x14ac:dyDescent="0.25">
      <c r="H198" t="s">
        <v>146</v>
      </c>
    </row>
    <row r="199" spans="8:8" x14ac:dyDescent="0.25">
      <c r="H199" t="s">
        <v>146</v>
      </c>
    </row>
    <row r="200" spans="8:8" x14ac:dyDescent="0.25">
      <c r="H200" t="s">
        <v>148</v>
      </c>
    </row>
    <row r="201" spans="8:8" x14ac:dyDescent="0.25">
      <c r="H201" t="s">
        <v>148</v>
      </c>
    </row>
    <row r="202" spans="8:8" x14ac:dyDescent="0.25">
      <c r="H202" t="s">
        <v>145</v>
      </c>
    </row>
    <row r="203" spans="8:8" x14ac:dyDescent="0.25">
      <c r="H203" t="s">
        <v>145</v>
      </c>
    </row>
    <row r="204" spans="8:8" x14ac:dyDescent="0.25">
      <c r="H204" t="s">
        <v>147</v>
      </c>
    </row>
    <row r="205" spans="8:8" x14ac:dyDescent="0.25">
      <c r="H205" t="s">
        <v>147</v>
      </c>
    </row>
    <row r="206" spans="8:8" x14ac:dyDescent="0.25">
      <c r="H206" t="s">
        <v>146</v>
      </c>
    </row>
    <row r="207" spans="8:8" x14ac:dyDescent="0.25">
      <c r="H207" t="s">
        <v>146</v>
      </c>
    </row>
    <row r="208" spans="8:8" x14ac:dyDescent="0.25">
      <c r="H208" t="s">
        <v>148</v>
      </c>
    </row>
    <row r="209" spans="8:8" x14ac:dyDescent="0.25">
      <c r="H209" t="s">
        <v>148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7687A-1330-48A7-8F71-62C9D7EF20AD}">
  <dimension ref="A1:H105"/>
  <sheetViews>
    <sheetView topLeftCell="A19" zoomScale="175" zoomScaleNormal="175" workbookViewId="0">
      <selection activeCell="E12" sqref="E12"/>
    </sheetView>
  </sheetViews>
  <sheetFormatPr defaultRowHeight="13.2" x14ac:dyDescent="0.25"/>
  <cols>
    <col min="1" max="1" width="11.5546875" customWidth="1"/>
    <col min="2" max="2" width="14" customWidth="1"/>
    <col min="3" max="3" width="10.5546875" customWidth="1"/>
    <col min="5" max="5" width="12.77734375" customWidth="1"/>
  </cols>
  <sheetData>
    <row r="1" spans="1:8" x14ac:dyDescent="0.25">
      <c r="A1" t="s">
        <v>173</v>
      </c>
      <c r="B1" t="s">
        <v>168</v>
      </c>
      <c r="C1" t="s">
        <v>79</v>
      </c>
      <c r="D1" t="s">
        <v>174</v>
      </c>
      <c r="E1" t="s">
        <v>170</v>
      </c>
      <c r="F1" t="s">
        <v>171</v>
      </c>
      <c r="G1" t="s">
        <v>172</v>
      </c>
      <c r="H1" t="s">
        <v>169</v>
      </c>
    </row>
    <row r="2" spans="1:8" x14ac:dyDescent="0.25">
      <c r="A2" t="s">
        <v>175</v>
      </c>
      <c r="B2">
        <v>76</v>
      </c>
      <c r="C2" t="s">
        <v>161</v>
      </c>
      <c r="D2">
        <v>0</v>
      </c>
      <c r="E2">
        <v>104</v>
      </c>
      <c r="F2">
        <v>-605.71464335934616</v>
      </c>
      <c r="G2">
        <v>-2867.7329837835455</v>
      </c>
      <c r="H2" t="s">
        <v>145</v>
      </c>
    </row>
    <row r="3" spans="1:8" x14ac:dyDescent="0.25">
      <c r="A3" t="s">
        <v>176</v>
      </c>
      <c r="B3">
        <v>76</v>
      </c>
      <c r="C3" t="s">
        <v>161</v>
      </c>
      <c r="D3">
        <v>0</v>
      </c>
      <c r="E3">
        <v>103</v>
      </c>
      <c r="F3">
        <v>-1175.6382584531993</v>
      </c>
      <c r="G3">
        <v>-2243.7092913645042</v>
      </c>
      <c r="H3" t="s">
        <v>147</v>
      </c>
    </row>
    <row r="4" spans="1:8" x14ac:dyDescent="0.25">
      <c r="A4" t="s">
        <v>177</v>
      </c>
      <c r="B4">
        <v>76</v>
      </c>
      <c r="C4" t="s">
        <v>161</v>
      </c>
      <c r="D4">
        <v>1.125</v>
      </c>
      <c r="E4">
        <v>106</v>
      </c>
      <c r="F4">
        <v>-156.24267583829808</v>
      </c>
      <c r="G4">
        <v>-1188.2203963368854</v>
      </c>
      <c r="H4" t="s">
        <v>146</v>
      </c>
    </row>
    <row r="5" spans="1:8" x14ac:dyDescent="0.25">
      <c r="A5" t="s">
        <v>178</v>
      </c>
      <c r="B5">
        <v>76</v>
      </c>
      <c r="C5" t="s">
        <v>161</v>
      </c>
      <c r="D5">
        <v>0</v>
      </c>
      <c r="E5">
        <v>106</v>
      </c>
      <c r="F5">
        <v>-138.20740870697787</v>
      </c>
      <c r="G5">
        <v>-1214.7289081537367</v>
      </c>
      <c r="H5" t="s">
        <v>148</v>
      </c>
    </row>
    <row r="6" spans="1:8" x14ac:dyDescent="0.25">
      <c r="A6" t="s">
        <v>203</v>
      </c>
      <c r="B6">
        <v>77</v>
      </c>
      <c r="C6" t="s">
        <v>161</v>
      </c>
      <c r="D6">
        <v>0</v>
      </c>
      <c r="E6">
        <v>104</v>
      </c>
      <c r="F6">
        <v>-529.99193438562213</v>
      </c>
      <c r="G6">
        <v>-2831.9464928307789</v>
      </c>
      <c r="H6" t="s">
        <v>145</v>
      </c>
    </row>
    <row r="7" spans="1:8" x14ac:dyDescent="0.25">
      <c r="A7" t="s">
        <v>204</v>
      </c>
      <c r="B7">
        <v>77</v>
      </c>
      <c r="C7" t="s">
        <v>161</v>
      </c>
      <c r="D7">
        <v>0</v>
      </c>
      <c r="E7">
        <v>103</v>
      </c>
      <c r="F7">
        <v>-1039.1709029151659</v>
      </c>
      <c r="G7">
        <v>-2207.9228004117699</v>
      </c>
      <c r="H7" t="s">
        <v>147</v>
      </c>
    </row>
    <row r="8" spans="1:8" x14ac:dyDescent="0.25">
      <c r="A8" t="s">
        <v>205</v>
      </c>
      <c r="B8">
        <v>77</v>
      </c>
      <c r="C8" t="s">
        <v>161</v>
      </c>
      <c r="D8">
        <v>1.1250000000000004</v>
      </c>
      <c r="E8">
        <v>106</v>
      </c>
      <c r="F8">
        <v>-174.27794296962318</v>
      </c>
      <c r="G8">
        <v>-1161.7118845200287</v>
      </c>
      <c r="H8" t="s">
        <v>146</v>
      </c>
    </row>
    <row r="9" spans="1:8" x14ac:dyDescent="0.25">
      <c r="A9" t="s">
        <v>206</v>
      </c>
      <c r="B9">
        <v>77</v>
      </c>
      <c r="C9" t="s">
        <v>161</v>
      </c>
      <c r="D9">
        <v>0</v>
      </c>
      <c r="E9">
        <v>106</v>
      </c>
      <c r="F9">
        <v>-156.24267583829956</v>
      </c>
      <c r="G9">
        <v>-1188.22039633688</v>
      </c>
      <c r="H9" t="s">
        <v>148</v>
      </c>
    </row>
    <row r="10" spans="1:8" x14ac:dyDescent="0.25">
      <c r="A10" t="s">
        <v>179</v>
      </c>
      <c r="B10">
        <v>79</v>
      </c>
      <c r="C10" t="s">
        <v>161</v>
      </c>
      <c r="D10">
        <v>0</v>
      </c>
      <c r="E10">
        <v>104</v>
      </c>
      <c r="F10">
        <v>-378.54651643817698</v>
      </c>
      <c r="G10">
        <v>-2760.373510925278</v>
      </c>
      <c r="H10" t="s">
        <v>145</v>
      </c>
    </row>
    <row r="11" spans="1:8" x14ac:dyDescent="0.25">
      <c r="A11" t="s">
        <v>180</v>
      </c>
      <c r="B11">
        <v>79</v>
      </c>
      <c r="C11" t="s">
        <v>161</v>
      </c>
      <c r="D11">
        <v>0</v>
      </c>
      <c r="E11">
        <v>103</v>
      </c>
      <c r="F11">
        <v>-766.23619183909898</v>
      </c>
      <c r="G11">
        <v>-2136.3498185063008</v>
      </c>
      <c r="H11" t="s">
        <v>147</v>
      </c>
    </row>
    <row r="12" spans="1:8" x14ac:dyDescent="0.25">
      <c r="A12" t="s">
        <v>181</v>
      </c>
      <c r="B12">
        <v>79</v>
      </c>
      <c r="C12" t="s">
        <v>161</v>
      </c>
      <c r="D12">
        <v>1.1249999999999998</v>
      </c>
      <c r="E12">
        <v>106</v>
      </c>
      <c r="F12">
        <v>-210.34847723227006</v>
      </c>
      <c r="G12">
        <v>-1108.6948608863477</v>
      </c>
      <c r="H12" t="s">
        <v>146</v>
      </c>
    </row>
    <row r="13" spans="1:8" x14ac:dyDescent="0.25">
      <c r="A13" t="s">
        <v>182</v>
      </c>
      <c r="B13">
        <v>79</v>
      </c>
      <c r="C13" t="s">
        <v>161</v>
      </c>
      <c r="D13">
        <v>0</v>
      </c>
      <c r="E13">
        <v>106</v>
      </c>
      <c r="F13">
        <v>-192.31321010094641</v>
      </c>
      <c r="G13">
        <v>-1135.2033727031992</v>
      </c>
      <c r="H13" t="s">
        <v>148</v>
      </c>
    </row>
    <row r="14" spans="1:8" x14ac:dyDescent="0.25">
      <c r="A14" t="s">
        <v>183</v>
      </c>
      <c r="B14">
        <v>82</v>
      </c>
      <c r="C14" t="s">
        <v>161</v>
      </c>
      <c r="D14">
        <v>0</v>
      </c>
      <c r="E14">
        <v>104</v>
      </c>
      <c r="F14">
        <v>-151.37838951700786</v>
      </c>
      <c r="G14">
        <v>-2653.01403806701</v>
      </c>
      <c r="H14" t="s">
        <v>145</v>
      </c>
    </row>
    <row r="15" spans="1:8" x14ac:dyDescent="0.25">
      <c r="A15" t="s">
        <v>184</v>
      </c>
      <c r="B15">
        <v>82</v>
      </c>
      <c r="C15" t="s">
        <v>161</v>
      </c>
      <c r="D15">
        <v>0</v>
      </c>
      <c r="E15">
        <v>103</v>
      </c>
      <c r="F15">
        <v>-356.8341252249927</v>
      </c>
      <c r="G15">
        <v>-2028.9903456480331</v>
      </c>
      <c r="H15" t="s">
        <v>147</v>
      </c>
    </row>
    <row r="16" spans="1:8" x14ac:dyDescent="0.25">
      <c r="A16" t="s">
        <v>185</v>
      </c>
      <c r="B16">
        <v>82</v>
      </c>
      <c r="C16" t="s">
        <v>161</v>
      </c>
      <c r="D16">
        <v>1.1249999999999998</v>
      </c>
      <c r="E16">
        <v>106</v>
      </c>
      <c r="F16">
        <v>-264.45427862625434</v>
      </c>
      <c r="G16">
        <v>-964.42557543578596</v>
      </c>
      <c r="H16" t="s">
        <v>146</v>
      </c>
    </row>
    <row r="17" spans="1:8" x14ac:dyDescent="0.25">
      <c r="A17" t="s">
        <v>186</v>
      </c>
      <c r="B17">
        <v>82</v>
      </c>
      <c r="C17" t="s">
        <v>161</v>
      </c>
      <c r="D17">
        <v>1.1249999999999998</v>
      </c>
      <c r="E17">
        <v>104</v>
      </c>
      <c r="F17">
        <v>-75.65568054328466</v>
      </c>
      <c r="G17">
        <v>-2463.9266096142605</v>
      </c>
      <c r="H17" t="s">
        <v>148</v>
      </c>
    </row>
    <row r="18" spans="1:8" x14ac:dyDescent="0.25">
      <c r="A18" t="s">
        <v>187</v>
      </c>
      <c r="B18">
        <v>84</v>
      </c>
      <c r="C18" t="s">
        <v>161</v>
      </c>
      <c r="D18">
        <v>0</v>
      </c>
      <c r="E18">
        <v>101</v>
      </c>
      <c r="F18">
        <v>350.45625194030481</v>
      </c>
      <c r="G18">
        <v>-1912.4658525351365</v>
      </c>
      <c r="H18" t="s">
        <v>145</v>
      </c>
    </row>
    <row r="19" spans="1:8" x14ac:dyDescent="0.25">
      <c r="A19" t="s">
        <v>188</v>
      </c>
      <c r="B19">
        <v>84</v>
      </c>
      <c r="C19" t="s">
        <v>161</v>
      </c>
      <c r="D19">
        <v>1.125</v>
      </c>
      <c r="E19">
        <v>103</v>
      </c>
      <c r="F19">
        <v>2113.9053858779512</v>
      </c>
      <c r="G19">
        <v>-1793.9595491589612</v>
      </c>
      <c r="H19" t="s">
        <v>147</v>
      </c>
    </row>
    <row r="20" spans="1:8" x14ac:dyDescent="0.25">
      <c r="A20" t="s">
        <v>189</v>
      </c>
      <c r="B20">
        <v>84</v>
      </c>
      <c r="C20" t="s">
        <v>161</v>
      </c>
      <c r="D20">
        <v>1.125</v>
      </c>
      <c r="E20">
        <v>106</v>
      </c>
      <c r="F20">
        <v>1184.6251064959629</v>
      </c>
      <c r="G20">
        <v>-1025.0761901702958</v>
      </c>
      <c r="H20" t="s">
        <v>146</v>
      </c>
    </row>
    <row r="21" spans="1:8" x14ac:dyDescent="0.25">
      <c r="A21" t="s">
        <v>190</v>
      </c>
      <c r="B21">
        <v>84</v>
      </c>
      <c r="C21" t="s">
        <v>161</v>
      </c>
      <c r="D21">
        <v>0</v>
      </c>
      <c r="E21">
        <v>106</v>
      </c>
      <c r="F21">
        <v>20.231579419972309</v>
      </c>
      <c r="G21">
        <v>-1051.5847019871471</v>
      </c>
      <c r="H21" t="s">
        <v>148</v>
      </c>
    </row>
    <row r="22" spans="1:8" x14ac:dyDescent="0.25">
      <c r="A22" t="s">
        <v>207</v>
      </c>
      <c r="B22">
        <v>86</v>
      </c>
      <c r="C22" t="s">
        <v>161</v>
      </c>
      <c r="D22">
        <v>0</v>
      </c>
      <c r="E22">
        <v>101</v>
      </c>
      <c r="F22">
        <v>1828.9833092017802</v>
      </c>
      <c r="G22">
        <v>-1840.5747684878345</v>
      </c>
      <c r="H22" t="s">
        <v>145</v>
      </c>
    </row>
    <row r="23" spans="1:8" x14ac:dyDescent="0.25">
      <c r="A23" t="s">
        <v>208</v>
      </c>
      <c r="B23">
        <v>86</v>
      </c>
      <c r="C23" t="s">
        <v>161</v>
      </c>
      <c r="D23">
        <v>0</v>
      </c>
      <c r="E23">
        <v>103</v>
      </c>
      <c r="F23">
        <v>2281.588497238416</v>
      </c>
      <c r="G23">
        <v>-1757.8549560644108</v>
      </c>
      <c r="H23" t="s">
        <v>147</v>
      </c>
    </row>
    <row r="24" spans="1:8" x14ac:dyDescent="0.25">
      <c r="A24" t="s">
        <v>209</v>
      </c>
      <c r="B24">
        <v>86</v>
      </c>
      <c r="C24" t="s">
        <v>161</v>
      </c>
      <c r="D24">
        <v>1.1249999999999998</v>
      </c>
      <c r="E24">
        <v>106</v>
      </c>
      <c r="F24">
        <v>1910.903713559308</v>
      </c>
      <c r="G24">
        <v>-971.82353532044363</v>
      </c>
      <c r="H24" t="s">
        <v>146</v>
      </c>
    </row>
    <row r="25" spans="1:8" x14ac:dyDescent="0.25">
      <c r="A25" t="s">
        <v>210</v>
      </c>
      <c r="B25">
        <v>86</v>
      </c>
      <c r="C25" t="s">
        <v>161</v>
      </c>
      <c r="D25">
        <v>1.1249999999999998</v>
      </c>
      <c r="E25">
        <v>104</v>
      </c>
      <c r="F25">
        <v>502.83262746123023</v>
      </c>
      <c r="G25">
        <v>-1687.0558684865427</v>
      </c>
      <c r="H25" t="s">
        <v>148</v>
      </c>
    </row>
    <row r="26" spans="1:8" x14ac:dyDescent="0.25">
      <c r="A26" t="s">
        <v>191</v>
      </c>
      <c r="B26">
        <v>87</v>
      </c>
      <c r="C26" t="s">
        <v>161</v>
      </c>
      <c r="D26">
        <v>0</v>
      </c>
      <c r="E26">
        <v>101</v>
      </c>
      <c r="F26">
        <v>1773.2158701729022</v>
      </c>
      <c r="G26">
        <v>-1804.6292264641847</v>
      </c>
      <c r="H26" t="s">
        <v>145</v>
      </c>
    </row>
    <row r="27" spans="1:8" x14ac:dyDescent="0.25">
      <c r="A27" t="s">
        <v>192</v>
      </c>
      <c r="B27">
        <v>87</v>
      </c>
      <c r="C27" t="s">
        <v>161</v>
      </c>
      <c r="D27">
        <v>0</v>
      </c>
      <c r="E27">
        <v>103</v>
      </c>
      <c r="F27">
        <v>1976.3112085651403</v>
      </c>
      <c r="G27">
        <v>-1721.9094140407578</v>
      </c>
      <c r="H27" t="s">
        <v>147</v>
      </c>
    </row>
    <row r="28" spans="1:8" x14ac:dyDescent="0.25">
      <c r="A28" t="s">
        <v>193</v>
      </c>
      <c r="B28">
        <v>87</v>
      </c>
      <c r="C28" t="s">
        <v>161</v>
      </c>
      <c r="D28">
        <v>1.1249999999999998</v>
      </c>
      <c r="E28">
        <v>106</v>
      </c>
      <c r="F28">
        <v>1538.5716924138403</v>
      </c>
      <c r="G28">
        <v>-945.19720789551582</v>
      </c>
      <c r="H28" t="s">
        <v>146</v>
      </c>
    </row>
    <row r="29" spans="1:8" x14ac:dyDescent="0.25">
      <c r="A29" t="s">
        <v>194</v>
      </c>
      <c r="B29">
        <v>87</v>
      </c>
      <c r="C29" t="s">
        <v>161</v>
      </c>
      <c r="D29">
        <v>1.1249999999999998</v>
      </c>
      <c r="E29">
        <v>104</v>
      </c>
      <c r="F29">
        <v>62.757606608117158</v>
      </c>
      <c r="G29">
        <v>-1651.1103264628898</v>
      </c>
      <c r="H29" t="s">
        <v>148</v>
      </c>
    </row>
    <row r="30" spans="1:8" x14ac:dyDescent="0.25">
      <c r="A30" t="s">
        <v>195</v>
      </c>
      <c r="B30">
        <v>88</v>
      </c>
      <c r="C30" t="s">
        <v>167</v>
      </c>
      <c r="D30">
        <v>0</v>
      </c>
      <c r="E30">
        <v>101</v>
      </c>
      <c r="F30">
        <v>1231.2535120563011</v>
      </c>
      <c r="G30">
        <v>-1768.6836844405352</v>
      </c>
      <c r="H30" t="s">
        <v>145</v>
      </c>
    </row>
    <row r="31" spans="1:8" x14ac:dyDescent="0.25">
      <c r="A31" t="s">
        <v>196</v>
      </c>
      <c r="B31">
        <v>88</v>
      </c>
      <c r="C31" t="s">
        <v>167</v>
      </c>
      <c r="D31">
        <v>0</v>
      </c>
      <c r="E31">
        <v>106</v>
      </c>
      <c r="F31">
        <v>1538.5422385118247</v>
      </c>
      <c r="G31">
        <v>-945.0793922874434</v>
      </c>
      <c r="H31" t="s">
        <v>147</v>
      </c>
    </row>
    <row r="32" spans="1:8" x14ac:dyDescent="0.25">
      <c r="A32" t="s">
        <v>197</v>
      </c>
      <c r="B32">
        <v>88</v>
      </c>
      <c r="C32" t="s">
        <v>167</v>
      </c>
      <c r="D32">
        <v>1.1250000000000011</v>
      </c>
      <c r="E32">
        <v>106</v>
      </c>
      <c r="F32">
        <v>719.79795980040103</v>
      </c>
      <c r="G32">
        <v>-918.5708804705929</v>
      </c>
      <c r="H32" t="s">
        <v>146</v>
      </c>
    </row>
    <row r="33" spans="1:8" x14ac:dyDescent="0.25">
      <c r="A33" t="s">
        <v>198</v>
      </c>
      <c r="B33">
        <v>88</v>
      </c>
      <c r="C33" t="s">
        <v>167</v>
      </c>
      <c r="D33">
        <v>1.1250000000000011</v>
      </c>
      <c r="E33">
        <v>112</v>
      </c>
      <c r="F33">
        <v>43.304658659302085</v>
      </c>
      <c r="G33">
        <v>-1382.7405439494896</v>
      </c>
      <c r="H33" t="s">
        <v>148</v>
      </c>
    </row>
    <row r="34" spans="1:8" x14ac:dyDescent="0.25">
      <c r="A34" t="s">
        <v>211</v>
      </c>
      <c r="B34">
        <v>89</v>
      </c>
      <c r="C34" t="s">
        <v>167</v>
      </c>
      <c r="D34">
        <v>0</v>
      </c>
      <c r="E34">
        <v>101</v>
      </c>
      <c r="F34">
        <v>236.01457877851959</v>
      </c>
      <c r="G34">
        <v>-1732.7381424168834</v>
      </c>
      <c r="H34" t="s">
        <v>145</v>
      </c>
    </row>
    <row r="35" spans="1:8" x14ac:dyDescent="0.25">
      <c r="A35" t="s">
        <v>212</v>
      </c>
      <c r="B35">
        <v>89</v>
      </c>
      <c r="C35" t="s">
        <v>167</v>
      </c>
      <c r="D35">
        <v>1.1249999999999998</v>
      </c>
      <c r="E35">
        <v>103</v>
      </c>
      <c r="F35">
        <v>-1472.6159240256648</v>
      </c>
      <c r="G35">
        <v>-1614.2318390407127</v>
      </c>
      <c r="H35" t="s">
        <v>147</v>
      </c>
    </row>
    <row r="36" spans="1:8" x14ac:dyDescent="0.25">
      <c r="A36" t="s">
        <v>213</v>
      </c>
      <c r="B36">
        <v>89</v>
      </c>
      <c r="C36" t="s">
        <v>167</v>
      </c>
      <c r="D36">
        <v>1.1249999999999998</v>
      </c>
      <c r="E36">
        <v>106</v>
      </c>
      <c r="F36">
        <v>-512.58500651901568</v>
      </c>
      <c r="G36">
        <v>-891.94455304566441</v>
      </c>
      <c r="H36" t="s">
        <v>146</v>
      </c>
    </row>
    <row r="37" spans="1:8" x14ac:dyDescent="0.25">
      <c r="A37" t="s">
        <v>214</v>
      </c>
      <c r="B37">
        <v>89</v>
      </c>
      <c r="C37" t="s">
        <v>167</v>
      </c>
      <c r="D37">
        <v>0</v>
      </c>
      <c r="E37">
        <v>112</v>
      </c>
      <c r="F37">
        <v>43.275204757281358</v>
      </c>
      <c r="G37">
        <v>-1382.6227283414139</v>
      </c>
      <c r="H37" t="s">
        <v>148</v>
      </c>
    </row>
    <row r="38" spans="1:8" x14ac:dyDescent="0.25">
      <c r="H38" t="s">
        <v>145</v>
      </c>
    </row>
    <row r="39" spans="1:8" x14ac:dyDescent="0.25">
      <c r="H39" t="s">
        <v>147</v>
      </c>
    </row>
    <row r="40" spans="1:8" x14ac:dyDescent="0.25">
      <c r="H40" t="s">
        <v>146</v>
      </c>
    </row>
    <row r="41" spans="1:8" x14ac:dyDescent="0.25">
      <c r="H41" t="s">
        <v>148</v>
      </c>
    </row>
    <row r="42" spans="1:8" x14ac:dyDescent="0.25">
      <c r="H42" t="s">
        <v>145</v>
      </c>
    </row>
    <row r="43" spans="1:8" x14ac:dyDescent="0.25">
      <c r="H43" t="s">
        <v>147</v>
      </c>
    </row>
    <row r="44" spans="1:8" x14ac:dyDescent="0.25">
      <c r="H44" t="s">
        <v>146</v>
      </c>
    </row>
    <row r="45" spans="1:8" x14ac:dyDescent="0.25">
      <c r="H45" t="s">
        <v>148</v>
      </c>
    </row>
    <row r="46" spans="1:8" x14ac:dyDescent="0.25">
      <c r="H46" t="s">
        <v>145</v>
      </c>
    </row>
    <row r="47" spans="1:8" x14ac:dyDescent="0.25">
      <c r="H47" t="s">
        <v>147</v>
      </c>
    </row>
    <row r="48" spans="1:8" x14ac:dyDescent="0.25">
      <c r="H48" t="s">
        <v>146</v>
      </c>
    </row>
    <row r="49" spans="8:8" x14ac:dyDescent="0.25">
      <c r="H49" t="s">
        <v>148</v>
      </c>
    </row>
    <row r="50" spans="8:8" x14ac:dyDescent="0.25">
      <c r="H50" t="s">
        <v>145</v>
      </c>
    </row>
    <row r="51" spans="8:8" x14ac:dyDescent="0.25">
      <c r="H51" t="s">
        <v>147</v>
      </c>
    </row>
    <row r="52" spans="8:8" x14ac:dyDescent="0.25">
      <c r="H52" t="s">
        <v>146</v>
      </c>
    </row>
    <row r="53" spans="8:8" x14ac:dyDescent="0.25">
      <c r="H53" t="s">
        <v>148</v>
      </c>
    </row>
    <row r="54" spans="8:8" x14ac:dyDescent="0.25">
      <c r="H54" t="s">
        <v>145</v>
      </c>
    </row>
    <row r="55" spans="8:8" x14ac:dyDescent="0.25">
      <c r="H55" t="s">
        <v>147</v>
      </c>
    </row>
    <row r="56" spans="8:8" x14ac:dyDescent="0.25">
      <c r="H56" t="s">
        <v>146</v>
      </c>
    </row>
    <row r="57" spans="8:8" x14ac:dyDescent="0.25">
      <c r="H57" t="s">
        <v>148</v>
      </c>
    </row>
    <row r="58" spans="8:8" x14ac:dyDescent="0.25">
      <c r="H58" t="s">
        <v>145</v>
      </c>
    </row>
    <row r="59" spans="8:8" x14ac:dyDescent="0.25">
      <c r="H59" t="s">
        <v>147</v>
      </c>
    </row>
    <row r="60" spans="8:8" x14ac:dyDescent="0.25">
      <c r="H60" t="s">
        <v>146</v>
      </c>
    </row>
    <row r="61" spans="8:8" x14ac:dyDescent="0.25">
      <c r="H61" t="s">
        <v>148</v>
      </c>
    </row>
    <row r="62" spans="8:8" x14ac:dyDescent="0.25">
      <c r="H62" t="s">
        <v>145</v>
      </c>
    </row>
    <row r="63" spans="8:8" x14ac:dyDescent="0.25">
      <c r="H63" t="s">
        <v>147</v>
      </c>
    </row>
    <row r="64" spans="8:8" x14ac:dyDescent="0.25">
      <c r="H64" t="s">
        <v>146</v>
      </c>
    </row>
    <row r="65" spans="8:8" x14ac:dyDescent="0.25">
      <c r="H65" t="s">
        <v>148</v>
      </c>
    </row>
    <row r="66" spans="8:8" x14ac:dyDescent="0.25">
      <c r="H66" t="s">
        <v>145</v>
      </c>
    </row>
    <row r="67" spans="8:8" x14ac:dyDescent="0.25">
      <c r="H67" t="s">
        <v>147</v>
      </c>
    </row>
    <row r="68" spans="8:8" x14ac:dyDescent="0.25">
      <c r="H68" t="s">
        <v>146</v>
      </c>
    </row>
    <row r="69" spans="8:8" x14ac:dyDescent="0.25">
      <c r="H69" t="s">
        <v>148</v>
      </c>
    </row>
    <row r="70" spans="8:8" x14ac:dyDescent="0.25">
      <c r="H70" t="s">
        <v>145</v>
      </c>
    </row>
    <row r="71" spans="8:8" x14ac:dyDescent="0.25">
      <c r="H71" t="s">
        <v>147</v>
      </c>
    </row>
    <row r="72" spans="8:8" x14ac:dyDescent="0.25">
      <c r="H72" t="s">
        <v>146</v>
      </c>
    </row>
    <row r="73" spans="8:8" x14ac:dyDescent="0.25">
      <c r="H73" t="s">
        <v>148</v>
      </c>
    </row>
    <row r="74" spans="8:8" x14ac:dyDescent="0.25">
      <c r="H74" t="s">
        <v>145</v>
      </c>
    </row>
    <row r="75" spans="8:8" x14ac:dyDescent="0.25">
      <c r="H75" t="s">
        <v>147</v>
      </c>
    </row>
    <row r="76" spans="8:8" x14ac:dyDescent="0.25">
      <c r="H76" t="s">
        <v>146</v>
      </c>
    </row>
    <row r="77" spans="8:8" x14ac:dyDescent="0.25">
      <c r="H77" t="s">
        <v>148</v>
      </c>
    </row>
    <row r="78" spans="8:8" x14ac:dyDescent="0.25">
      <c r="H78" t="s">
        <v>145</v>
      </c>
    </row>
    <row r="79" spans="8:8" x14ac:dyDescent="0.25">
      <c r="H79" t="s">
        <v>147</v>
      </c>
    </row>
    <row r="80" spans="8:8" x14ac:dyDescent="0.25">
      <c r="H80" t="s">
        <v>146</v>
      </c>
    </row>
    <row r="81" spans="8:8" x14ac:dyDescent="0.25">
      <c r="H81" t="s">
        <v>148</v>
      </c>
    </row>
    <row r="82" spans="8:8" x14ac:dyDescent="0.25">
      <c r="H82" t="s">
        <v>145</v>
      </c>
    </row>
    <row r="83" spans="8:8" x14ac:dyDescent="0.25">
      <c r="H83" t="s">
        <v>147</v>
      </c>
    </row>
    <row r="84" spans="8:8" x14ac:dyDescent="0.25">
      <c r="H84" t="s">
        <v>146</v>
      </c>
    </row>
    <row r="85" spans="8:8" x14ac:dyDescent="0.25">
      <c r="H85" t="s">
        <v>148</v>
      </c>
    </row>
    <row r="86" spans="8:8" x14ac:dyDescent="0.25">
      <c r="H86" t="s">
        <v>145</v>
      </c>
    </row>
    <row r="87" spans="8:8" x14ac:dyDescent="0.25">
      <c r="H87" t="s">
        <v>147</v>
      </c>
    </row>
    <row r="88" spans="8:8" x14ac:dyDescent="0.25">
      <c r="H88" t="s">
        <v>146</v>
      </c>
    </row>
    <row r="89" spans="8:8" x14ac:dyDescent="0.25">
      <c r="H89" t="s">
        <v>148</v>
      </c>
    </row>
    <row r="90" spans="8:8" x14ac:dyDescent="0.25">
      <c r="H90" t="s">
        <v>145</v>
      </c>
    </row>
    <row r="91" spans="8:8" x14ac:dyDescent="0.25">
      <c r="H91" t="s">
        <v>147</v>
      </c>
    </row>
    <row r="92" spans="8:8" x14ac:dyDescent="0.25">
      <c r="H92" t="s">
        <v>146</v>
      </c>
    </row>
    <row r="93" spans="8:8" x14ac:dyDescent="0.25">
      <c r="H93" t="s">
        <v>148</v>
      </c>
    </row>
    <row r="94" spans="8:8" x14ac:dyDescent="0.25">
      <c r="H94" t="s">
        <v>145</v>
      </c>
    </row>
    <row r="95" spans="8:8" x14ac:dyDescent="0.25">
      <c r="H95" t="s">
        <v>147</v>
      </c>
    </row>
    <row r="96" spans="8:8" x14ac:dyDescent="0.25">
      <c r="H96" t="s">
        <v>146</v>
      </c>
    </row>
    <row r="97" spans="8:8" x14ac:dyDescent="0.25">
      <c r="H97" t="s">
        <v>148</v>
      </c>
    </row>
    <row r="98" spans="8:8" x14ac:dyDescent="0.25">
      <c r="H98" t="s">
        <v>145</v>
      </c>
    </row>
    <row r="99" spans="8:8" x14ac:dyDescent="0.25">
      <c r="H99" t="s">
        <v>147</v>
      </c>
    </row>
    <row r="100" spans="8:8" x14ac:dyDescent="0.25">
      <c r="H100" t="s">
        <v>146</v>
      </c>
    </row>
    <row r="101" spans="8:8" x14ac:dyDescent="0.25">
      <c r="H101" t="s">
        <v>148</v>
      </c>
    </row>
    <row r="102" spans="8:8" x14ac:dyDescent="0.25">
      <c r="H102" t="s">
        <v>145</v>
      </c>
    </row>
    <row r="103" spans="8:8" x14ac:dyDescent="0.25">
      <c r="H103" t="s">
        <v>147</v>
      </c>
    </row>
    <row r="104" spans="8:8" x14ac:dyDescent="0.25">
      <c r="H104" t="s">
        <v>146</v>
      </c>
    </row>
    <row r="105" spans="8:8" x14ac:dyDescent="0.25">
      <c r="H105" t="s">
        <v>148</v>
      </c>
    </row>
  </sheetData>
  <phoneticPr fontId="2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A1697"/>
  <sheetViews>
    <sheetView showZeros="0" tabSelected="1" view="pageBreakPreview" zoomScale="70" zoomScaleNormal="75" zoomScaleSheetLayoutView="70" workbookViewId="0">
      <selection activeCell="G25" sqref="G25:AJ25"/>
    </sheetView>
  </sheetViews>
  <sheetFormatPr defaultColWidth="9.21875" defaultRowHeight="14.4" x14ac:dyDescent="0.3"/>
  <cols>
    <col min="1" max="1" width="0.21875" style="47" customWidth="1"/>
    <col min="2" max="2" width="10.21875" style="182" customWidth="1"/>
    <col min="3" max="3" width="3.21875" style="183" customWidth="1"/>
    <col min="4" max="4" width="7.21875" style="182" customWidth="1"/>
    <col min="5" max="5" width="2.77734375" style="183" customWidth="1"/>
    <col min="6" max="6" width="5.77734375" style="183" customWidth="1"/>
    <col min="7" max="7" width="20.77734375" style="184" customWidth="1"/>
    <col min="8" max="8" width="9.21875" style="58" customWidth="1"/>
    <col min="9" max="9" width="15.21875" style="58" customWidth="1"/>
    <col min="10" max="10" width="9.5546875" style="58" customWidth="1"/>
    <col min="11" max="11" width="7.77734375" style="58" customWidth="1"/>
    <col min="12" max="12" width="9.44140625" style="58" customWidth="1"/>
    <col min="13" max="13" width="7.77734375" style="58" customWidth="1"/>
    <col min="14" max="14" width="13.77734375" style="58" customWidth="1"/>
    <col min="15" max="16" width="10.5546875" style="58" customWidth="1"/>
    <col min="17" max="17" width="9" style="58" customWidth="1"/>
    <col min="18" max="18" width="7.77734375" style="58" customWidth="1"/>
    <col min="19" max="19" width="1.77734375" style="58" customWidth="1"/>
    <col min="20" max="20" width="5.21875" style="180" customWidth="1"/>
    <col min="21" max="22" width="1.77734375" style="58" customWidth="1"/>
    <col min="23" max="23" width="5" style="180" customWidth="1"/>
    <col min="24" max="25" width="1.77734375" style="58" customWidth="1"/>
    <col min="26" max="26" width="5.21875" style="58" customWidth="1"/>
    <col min="27" max="27" width="2" style="58" customWidth="1"/>
    <col min="28" max="28" width="2.21875" style="58" customWidth="1"/>
    <col min="29" max="29" width="6.21875" style="58" customWidth="1"/>
    <col min="30" max="30" width="1.5546875" style="58" customWidth="1"/>
    <col min="31" max="31" width="2.21875" style="58" customWidth="1"/>
    <col min="32" max="32" width="6.21875" style="58" customWidth="1"/>
    <col min="33" max="33" width="2.21875" style="58" customWidth="1"/>
    <col min="34" max="34" width="1.77734375" style="58" customWidth="1"/>
    <col min="35" max="35" width="5.21875" style="181" customWidth="1"/>
    <col min="36" max="36" width="7" style="58" customWidth="1"/>
    <col min="37" max="37" width="1.77734375" style="58" customWidth="1"/>
    <col min="38" max="38" width="7" style="58" customWidth="1"/>
    <col min="39" max="39" width="1.77734375" style="58" customWidth="1"/>
    <col min="40" max="40" width="7" style="58" customWidth="1"/>
    <col min="41" max="41" width="1.77734375" style="58" customWidth="1"/>
    <col min="42" max="42" width="7" style="58" customWidth="1"/>
    <col min="43" max="43" width="2.21875" style="58" customWidth="1"/>
    <col min="44" max="44" width="7" style="58" customWidth="1"/>
    <col min="45" max="45" width="2" style="58" customWidth="1"/>
    <col min="46" max="46" width="7" style="58" customWidth="1"/>
    <col min="47" max="47" width="1.77734375" style="58" customWidth="1"/>
    <col min="48" max="48" width="8.21875" style="58" customWidth="1"/>
    <col min="49" max="49" width="11.44140625" style="58" customWidth="1"/>
    <col min="50" max="50" width="6.5546875" style="58" customWidth="1"/>
    <col min="51" max="51" width="1.77734375" style="58" customWidth="1"/>
    <col min="52" max="52" width="5.77734375" style="58" customWidth="1"/>
    <col min="53" max="53" width="1.77734375" style="58" customWidth="1"/>
    <col min="54" max="54" width="5.77734375" style="58" customWidth="1"/>
    <col min="55" max="55" width="1.77734375" style="58" customWidth="1"/>
    <col min="56" max="56" width="9.21875" style="58" customWidth="1"/>
    <col min="57" max="57" width="6.44140625" style="58" customWidth="1"/>
    <col min="58" max="58" width="6.77734375" style="58" customWidth="1"/>
    <col min="59" max="63" width="7" style="58" customWidth="1"/>
    <col min="64" max="64" width="9" style="58" customWidth="1"/>
    <col min="65" max="65" width="10.21875" style="58" customWidth="1"/>
    <col min="66" max="66" width="7.77734375" style="58" customWidth="1"/>
    <col min="67" max="67" width="19" style="58" customWidth="1"/>
    <col min="68" max="68" width="16.44140625" style="58" customWidth="1"/>
    <col min="69" max="69" width="8.77734375" style="58" customWidth="1"/>
    <col min="70" max="70" width="7" style="58" customWidth="1"/>
    <col min="71" max="71" width="7.5546875" style="58" customWidth="1"/>
    <col min="72" max="75" width="5.77734375" style="58" customWidth="1"/>
    <col min="76" max="76" width="6.44140625" style="58" customWidth="1"/>
    <col min="77" max="77" width="10" style="58" customWidth="1"/>
    <col min="78" max="78" width="14.77734375" style="58" customWidth="1"/>
    <col min="79" max="79" width="16" style="58" customWidth="1"/>
    <col min="80" max="80" width="16.21875" style="58" customWidth="1"/>
    <col min="81" max="82" width="12.77734375" style="58" customWidth="1"/>
    <col min="83" max="83" width="13.44140625" style="58" customWidth="1"/>
    <col min="84" max="84" width="8" style="47" customWidth="1"/>
    <col min="85" max="85" width="1.21875" style="47" customWidth="1"/>
    <col min="86" max="86" width="19.77734375" style="47" customWidth="1"/>
    <col min="87" max="87" width="9.5546875" style="41" customWidth="1"/>
    <col min="88" max="88" width="6.5546875" style="42" customWidth="1"/>
    <col min="89" max="89" width="6.77734375" style="43" customWidth="1"/>
    <col min="90" max="90" width="2.77734375" style="43" customWidth="1"/>
    <col min="91" max="91" width="5.44140625" style="43" customWidth="1"/>
    <col min="92" max="92" width="22.44140625" style="44" customWidth="1"/>
    <col min="93" max="93" width="9.21875" style="45" customWidth="1"/>
    <col min="94" max="94" width="10.77734375" style="46" customWidth="1"/>
    <col min="95" max="95" width="10.44140625" style="46" customWidth="1"/>
    <col min="96" max="96" width="10.77734375" style="46" customWidth="1"/>
    <col min="97" max="97" width="11.44140625" style="46" customWidth="1"/>
    <col min="98" max="98" width="7.21875" style="47" customWidth="1"/>
    <col min="99" max="99" width="8.5546875" style="47" customWidth="1"/>
    <col min="100" max="100" width="8.21875" style="47" customWidth="1"/>
    <col min="101" max="101" width="11" style="271" customWidth="1"/>
    <col min="102" max="102" width="11" style="279" bestFit="1" customWidth="1"/>
    <col min="103" max="103" width="9.77734375" style="189" bestFit="1" customWidth="1"/>
    <col min="104" max="104" width="7.5546875" style="189" bestFit="1" customWidth="1"/>
    <col min="105" max="107" width="7.5546875" style="189" customWidth="1"/>
    <col min="108" max="108" width="7.5546875" style="189" bestFit="1" customWidth="1"/>
    <col min="109" max="109" width="2.77734375" style="189" customWidth="1"/>
    <col min="110" max="110" width="9.21875" style="189" bestFit="1" customWidth="1"/>
    <col min="111" max="111" width="7.5546875" style="189" bestFit="1" customWidth="1"/>
    <col min="112" max="113" width="7.5546875" style="189" customWidth="1"/>
    <col min="114" max="114" width="7.5546875" style="210" customWidth="1"/>
    <col min="115" max="115" width="7.5546875" style="189" bestFit="1" customWidth="1"/>
    <col min="116" max="116" width="3.5546875" style="189" customWidth="1"/>
    <col min="117" max="117" width="11" style="190" bestFit="1" customWidth="1"/>
    <col min="118" max="118" width="9.77734375" style="191" bestFit="1" customWidth="1"/>
    <col min="119" max="123" width="9.21875" style="191"/>
    <col min="124" max="124" width="4.21875" style="192" customWidth="1"/>
    <col min="125" max="125" width="9.21875" style="191" bestFit="1" customWidth="1"/>
    <col min="126" max="130" width="9.21875" style="191"/>
    <col min="131" max="131" width="9.21875" style="189"/>
    <col min="132" max="16384" width="9.21875" style="47"/>
  </cols>
  <sheetData>
    <row r="1" spans="2:131" s="7" customFormat="1" ht="15.75" customHeight="1" x14ac:dyDescent="0.3">
      <c r="B1" s="30"/>
      <c r="C1" s="31"/>
      <c r="D1" s="30"/>
      <c r="E1" s="31"/>
      <c r="F1" s="31"/>
      <c r="G1" s="32"/>
      <c r="H1" s="33"/>
      <c r="I1" s="33"/>
      <c r="J1" s="33"/>
      <c r="K1" s="33"/>
      <c r="L1" s="33"/>
      <c r="M1" s="33"/>
      <c r="N1" s="33"/>
      <c r="O1" s="33"/>
      <c r="P1" s="33"/>
      <c r="Q1" s="33"/>
      <c r="R1" s="31"/>
      <c r="S1" s="34"/>
      <c r="T1" s="35"/>
      <c r="U1" s="34"/>
      <c r="V1" s="34"/>
      <c r="W1" s="35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5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  <c r="AW1" s="34"/>
      <c r="AX1" s="34"/>
      <c r="AY1" s="34"/>
      <c r="AZ1" s="34"/>
      <c r="BA1" s="34"/>
      <c r="BB1" s="34"/>
      <c r="BC1" s="34"/>
      <c r="BD1" s="34"/>
      <c r="BE1" s="34"/>
      <c r="BF1" s="34"/>
      <c r="BG1" s="34"/>
      <c r="BH1" s="34"/>
      <c r="BI1" s="34"/>
      <c r="BJ1" s="34"/>
      <c r="BK1" s="34"/>
      <c r="BL1" s="34"/>
      <c r="BM1" s="34"/>
      <c r="BN1" s="18"/>
      <c r="BO1" s="36"/>
      <c r="BP1" s="36"/>
      <c r="BQ1" s="36"/>
      <c r="BR1" s="36"/>
      <c r="BS1" s="36"/>
      <c r="BT1" s="36"/>
      <c r="BU1" s="36"/>
      <c r="BV1" s="36"/>
      <c r="BW1" s="36"/>
      <c r="BX1" s="36"/>
      <c r="BY1" s="36"/>
      <c r="BZ1" s="36"/>
      <c r="CA1" s="36"/>
      <c r="CB1" s="36"/>
      <c r="CC1" s="36"/>
      <c r="CD1" s="36"/>
      <c r="CE1" s="36"/>
      <c r="CF1" s="18"/>
      <c r="CG1" s="18"/>
      <c r="CH1" s="18"/>
      <c r="CI1" s="6"/>
      <c r="CJ1" s="13"/>
      <c r="CK1" s="13"/>
      <c r="CL1" s="38"/>
      <c r="CM1" s="38"/>
      <c r="CN1" s="39"/>
      <c r="CO1" s="40"/>
      <c r="CP1" s="13"/>
      <c r="CQ1" s="13"/>
      <c r="CR1" s="13"/>
      <c r="CS1" s="13"/>
      <c r="CW1" s="282">
        <f>COUNTA(CW3:CW65556)</f>
        <v>18</v>
      </c>
      <c r="CX1" s="365" t="s">
        <v>152</v>
      </c>
      <c r="CY1" s="366" t="s">
        <v>153</v>
      </c>
      <c r="CZ1" s="282">
        <f>COUNTA(CZ3:CZ12)</f>
        <v>10</v>
      </c>
      <c r="DA1" s="282">
        <f>COUNTA(DA3:DA12)</f>
        <v>10</v>
      </c>
      <c r="DB1" s="272"/>
      <c r="DC1" s="185"/>
      <c r="DD1" s="185"/>
      <c r="DE1" s="185"/>
      <c r="DF1" s="185"/>
      <c r="DG1" s="185"/>
      <c r="DH1" s="185"/>
      <c r="DI1" s="185"/>
      <c r="DJ1" s="209"/>
      <c r="DK1" s="185"/>
      <c r="DL1" s="185"/>
      <c r="DM1" s="186"/>
      <c r="DN1" s="187"/>
      <c r="DO1" s="187"/>
      <c r="DP1" s="187"/>
      <c r="DQ1" s="187"/>
      <c r="DR1" s="187"/>
      <c r="DS1" s="187"/>
      <c r="DT1" s="188"/>
      <c r="DU1" s="187"/>
      <c r="DV1" s="187"/>
      <c r="DW1" s="187"/>
      <c r="DX1" s="187"/>
      <c r="DY1" s="187"/>
      <c r="DZ1" s="187"/>
      <c r="EA1" s="185"/>
    </row>
    <row r="2" spans="2:131" ht="14.25" customHeight="1" x14ac:dyDescent="0.3">
      <c r="B2" s="30"/>
      <c r="C2" s="31"/>
      <c r="D2" s="30"/>
      <c r="E2" s="31"/>
      <c r="F2" s="31"/>
      <c r="G2" s="32"/>
      <c r="H2" s="33"/>
      <c r="I2" s="33"/>
      <c r="J2" s="33"/>
      <c r="K2" s="33"/>
      <c r="L2" s="33"/>
      <c r="M2" s="33"/>
      <c r="N2" s="33"/>
      <c r="O2" s="33"/>
      <c r="P2" s="33"/>
      <c r="Q2" s="33"/>
      <c r="R2" s="31"/>
      <c r="S2" s="34"/>
      <c r="T2" s="35"/>
      <c r="U2" s="34"/>
      <c r="V2" s="34"/>
      <c r="W2" s="35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5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  <c r="AW2" s="34"/>
      <c r="AX2" s="34"/>
      <c r="AY2" s="34"/>
      <c r="AZ2" s="34"/>
      <c r="BA2" s="34"/>
      <c r="BB2" s="34"/>
      <c r="BC2" s="34"/>
      <c r="BD2" s="34"/>
      <c r="BE2" s="34"/>
      <c r="BF2" s="34"/>
      <c r="BG2" s="34"/>
      <c r="BH2" s="34"/>
      <c r="BI2" s="34"/>
      <c r="BJ2" s="34"/>
      <c r="BK2" s="34"/>
      <c r="BL2" s="34"/>
      <c r="BM2" s="34"/>
      <c r="BN2" s="18"/>
      <c r="BO2" s="36"/>
      <c r="BP2" s="36"/>
      <c r="BQ2" s="36"/>
      <c r="BR2" s="36"/>
      <c r="BS2" s="36"/>
      <c r="BT2" s="36"/>
      <c r="BU2" s="36"/>
      <c r="BV2" s="36"/>
      <c r="BW2" s="36"/>
      <c r="BX2" s="36"/>
      <c r="BY2" s="18"/>
      <c r="BZ2" s="18"/>
      <c r="CA2" s="18"/>
      <c r="CB2" s="18"/>
      <c r="CC2" s="18"/>
      <c r="CD2" s="18"/>
      <c r="CE2" s="36"/>
      <c r="CF2" s="18"/>
      <c r="CG2" s="18"/>
      <c r="CH2" s="18"/>
      <c r="CW2" s="283" t="s">
        <v>149</v>
      </c>
      <c r="CX2" s="365"/>
      <c r="CY2" s="366"/>
      <c r="CZ2" s="284" t="s">
        <v>150</v>
      </c>
      <c r="DA2" s="284" t="s">
        <v>151</v>
      </c>
      <c r="DB2" s="273"/>
    </row>
    <row r="3" spans="2:131" x14ac:dyDescent="0.3">
      <c r="B3" s="30"/>
      <c r="C3" s="31"/>
      <c r="D3" s="30"/>
      <c r="E3" s="31"/>
      <c r="F3" s="31"/>
      <c r="G3" s="32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  <c r="T3" s="35"/>
      <c r="U3" s="34"/>
      <c r="V3" s="34"/>
      <c r="W3" s="35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5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4"/>
      <c r="AZ3" s="34"/>
      <c r="BA3" s="34"/>
      <c r="BB3" s="34"/>
      <c r="BC3" s="34"/>
      <c r="BD3" s="34"/>
      <c r="BE3" s="34"/>
      <c r="BF3" s="34"/>
      <c r="BG3" s="34"/>
      <c r="BH3" s="34"/>
      <c r="BI3" s="34"/>
      <c r="BJ3" s="34"/>
      <c r="BK3" s="34"/>
      <c r="BL3" s="34"/>
      <c r="BM3" s="34"/>
      <c r="BN3" s="18"/>
      <c r="BO3" s="36"/>
      <c r="BP3" s="36"/>
      <c r="BQ3" s="36"/>
      <c r="BR3" s="36"/>
      <c r="BS3" s="36"/>
      <c r="BT3" s="36"/>
      <c r="BU3" s="36"/>
      <c r="BV3" s="36"/>
      <c r="BW3" s="36"/>
      <c r="BX3" s="36"/>
      <c r="BY3" s="18"/>
      <c r="BZ3" s="18"/>
      <c r="CA3" s="18"/>
      <c r="CB3" s="18"/>
      <c r="CC3" s="18"/>
      <c r="CD3" s="18"/>
      <c r="CE3" s="36"/>
      <c r="CF3" s="18"/>
      <c r="CG3" s="18"/>
      <c r="CH3" s="18"/>
      <c r="CJ3" s="268"/>
      <c r="CK3" s="270"/>
      <c r="CW3" s="283">
        <v>14</v>
      </c>
      <c r="CX3" s="285" t="s">
        <v>154</v>
      </c>
      <c r="CY3" s="286">
        <v>1000</v>
      </c>
      <c r="CZ3" s="284">
        <v>101</v>
      </c>
      <c r="DA3" s="284">
        <v>201</v>
      </c>
    </row>
    <row r="4" spans="2:131" ht="15.6" x14ac:dyDescent="0.3">
      <c r="B4" s="48" t="s">
        <v>68</v>
      </c>
      <c r="C4" s="49"/>
      <c r="D4" s="50"/>
      <c r="E4" s="49"/>
      <c r="F4" s="49">
        <v>101</v>
      </c>
      <c r="G4" s="51"/>
      <c r="H4" s="34"/>
      <c r="J4" s="223" t="s">
        <v>132</v>
      </c>
      <c r="K4" s="34"/>
      <c r="L4" s="34"/>
      <c r="M4" s="34"/>
      <c r="N4" s="34"/>
      <c r="O4" s="34"/>
      <c r="P4" s="34"/>
      <c r="Q4" s="34"/>
      <c r="R4" s="34"/>
      <c r="S4" s="34"/>
      <c r="T4" s="35"/>
      <c r="U4" s="34"/>
      <c r="V4" s="34"/>
      <c r="W4" s="35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5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  <c r="AW4" s="34"/>
      <c r="AX4" s="34"/>
      <c r="AY4" s="34"/>
      <c r="AZ4" s="34"/>
      <c r="BA4" s="34"/>
      <c r="BB4" s="34"/>
      <c r="BC4" s="34"/>
      <c r="BD4" s="34"/>
      <c r="BE4" s="34"/>
      <c r="BF4" s="52"/>
      <c r="BG4" s="52"/>
      <c r="BH4" s="52"/>
      <c r="BI4" s="52"/>
      <c r="BJ4" s="52"/>
      <c r="BK4" s="52"/>
      <c r="BL4" s="53" t="s">
        <v>6</v>
      </c>
      <c r="BM4" s="382">
        <f ca="1">TODAY()</f>
        <v>45183</v>
      </c>
      <c r="BN4" s="382"/>
      <c r="BO4" s="18"/>
      <c r="BP4" s="36"/>
      <c r="BQ4" s="36"/>
      <c r="BR4" s="36"/>
      <c r="BS4" s="36"/>
      <c r="BT4" s="36"/>
      <c r="BU4" s="36"/>
      <c r="BV4" s="36"/>
      <c r="BW4" s="36"/>
      <c r="BX4" s="36"/>
      <c r="BY4" s="18"/>
      <c r="BZ4" s="18"/>
      <c r="CA4" s="18"/>
      <c r="CB4" s="18"/>
      <c r="CC4" s="18"/>
      <c r="CD4" s="18"/>
      <c r="CE4" s="36"/>
      <c r="CF4" s="18"/>
      <c r="CG4" s="18"/>
      <c r="CH4" s="18"/>
      <c r="CJ4" s="268"/>
      <c r="CK4" s="270"/>
      <c r="CW4" s="283">
        <v>18</v>
      </c>
      <c r="CX4" s="285" t="s">
        <v>154</v>
      </c>
      <c r="CY4" s="286">
        <v>1000</v>
      </c>
      <c r="CZ4" s="284">
        <v>102</v>
      </c>
      <c r="DA4" s="284">
        <v>202</v>
      </c>
    </row>
    <row r="5" spans="2:131" x14ac:dyDescent="0.3">
      <c r="B5" s="54"/>
      <c r="C5" s="31"/>
      <c r="D5" s="30"/>
      <c r="E5" s="31"/>
      <c r="F5" s="31"/>
      <c r="G5" s="32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  <c r="T5" s="55"/>
      <c r="U5" s="34"/>
      <c r="V5" s="34"/>
      <c r="W5" s="35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5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  <c r="AW5" s="34"/>
      <c r="AX5" s="34"/>
      <c r="AY5" s="34"/>
      <c r="AZ5" s="34"/>
      <c r="BA5" s="34"/>
      <c r="BB5" s="34"/>
      <c r="BC5" s="34"/>
      <c r="BD5" s="34"/>
      <c r="BE5" s="34"/>
      <c r="BF5" s="52"/>
      <c r="BG5" s="52"/>
      <c r="BH5" s="52"/>
      <c r="BI5" s="52"/>
      <c r="BJ5" s="52"/>
      <c r="BK5" s="52"/>
      <c r="BL5" s="53"/>
      <c r="BM5" s="56"/>
      <c r="BN5" s="56"/>
      <c r="BO5" s="18"/>
      <c r="BP5" s="36"/>
      <c r="BQ5" s="36"/>
      <c r="BR5" s="36"/>
      <c r="BS5" s="36"/>
      <c r="BT5" s="36"/>
      <c r="BU5" s="36"/>
      <c r="BV5" s="36"/>
      <c r="BW5" s="36"/>
      <c r="BX5" s="36"/>
      <c r="BY5" s="18"/>
      <c r="BZ5" s="18"/>
      <c r="CA5" s="18"/>
      <c r="CB5" s="18"/>
      <c r="CC5" s="18"/>
      <c r="CD5" s="18"/>
      <c r="CE5" s="36"/>
      <c r="CF5" s="18"/>
      <c r="CG5" s="18"/>
      <c r="CH5" s="18"/>
      <c r="CJ5" s="268"/>
      <c r="CK5" s="270"/>
      <c r="CW5" s="283">
        <v>53</v>
      </c>
      <c r="CX5" s="285" t="s">
        <v>154</v>
      </c>
      <c r="CY5" s="286">
        <v>1000</v>
      </c>
      <c r="CZ5" s="284">
        <v>103</v>
      </c>
      <c r="DA5" s="284">
        <v>203</v>
      </c>
    </row>
    <row r="6" spans="2:131" x14ac:dyDescent="0.3">
      <c r="B6" s="54" t="s">
        <v>38</v>
      </c>
      <c r="C6" s="31"/>
      <c r="D6" s="30"/>
      <c r="E6" s="31"/>
      <c r="F6" s="31"/>
      <c r="G6" s="220" t="s">
        <v>157</v>
      </c>
      <c r="I6" s="59"/>
      <c r="J6" s="60"/>
      <c r="K6" s="60"/>
      <c r="L6" s="60"/>
      <c r="M6" s="60"/>
      <c r="N6" s="61"/>
      <c r="O6" s="34"/>
      <c r="P6" s="34"/>
      <c r="Q6" s="34"/>
      <c r="R6" s="34"/>
      <c r="S6" s="34"/>
      <c r="T6" s="35"/>
      <c r="U6" s="34"/>
      <c r="V6" s="34"/>
      <c r="W6" s="35"/>
      <c r="X6" s="34"/>
      <c r="Y6" s="34"/>
      <c r="Z6" s="34"/>
      <c r="AA6" s="34"/>
      <c r="AB6" s="34"/>
      <c r="AC6" s="34"/>
      <c r="AD6" s="34"/>
      <c r="AE6" s="34"/>
      <c r="AF6" s="34"/>
      <c r="AG6" s="34"/>
      <c r="AH6" s="34"/>
      <c r="AI6" s="35"/>
      <c r="AJ6" s="34"/>
      <c r="AK6" s="34"/>
      <c r="AL6" s="34"/>
      <c r="AM6" s="34"/>
      <c r="AN6" s="34"/>
      <c r="AO6" s="34"/>
      <c r="AP6" s="34"/>
      <c r="AQ6" s="34"/>
      <c r="AR6" s="34"/>
      <c r="AS6" s="34"/>
      <c r="AT6" s="34"/>
      <c r="AU6" s="34"/>
      <c r="AV6" s="34"/>
      <c r="AW6" s="34"/>
      <c r="AX6" s="34"/>
      <c r="AY6" s="34"/>
      <c r="AZ6" s="34"/>
      <c r="BA6" s="34"/>
      <c r="BB6" s="34"/>
      <c r="BC6" s="34"/>
      <c r="BD6" s="34"/>
      <c r="BE6" s="34"/>
      <c r="BF6" s="52"/>
      <c r="BG6" s="52"/>
      <c r="BH6" s="52"/>
      <c r="BI6" s="52"/>
      <c r="BJ6" s="52"/>
      <c r="BK6" s="52"/>
      <c r="BL6" s="53" t="s">
        <v>13</v>
      </c>
      <c r="BM6" s="383" t="s">
        <v>165</v>
      </c>
      <c r="BN6" s="383"/>
      <c r="BO6" s="18"/>
      <c r="BP6" s="36"/>
      <c r="BQ6" s="36"/>
      <c r="BR6" s="36"/>
      <c r="BS6" s="36"/>
      <c r="BT6" s="36"/>
      <c r="BU6" s="36"/>
      <c r="BV6" s="36"/>
      <c r="BW6" s="36"/>
      <c r="BX6" s="36"/>
      <c r="BY6" s="18"/>
      <c r="BZ6" s="18"/>
      <c r="CA6" s="18"/>
      <c r="CB6" s="18"/>
      <c r="CC6" s="18"/>
      <c r="CD6" s="18"/>
      <c r="CE6" s="36"/>
      <c r="CF6" s="18"/>
      <c r="CG6" s="18"/>
      <c r="CH6" s="18"/>
      <c r="CJ6" s="268"/>
      <c r="CK6" s="270"/>
      <c r="CW6" s="283">
        <v>50</v>
      </c>
      <c r="CX6" s="285" t="s">
        <v>154</v>
      </c>
      <c r="CY6" s="286">
        <v>1000</v>
      </c>
      <c r="CZ6" s="284">
        <v>104</v>
      </c>
      <c r="DA6" s="284">
        <v>204</v>
      </c>
    </row>
    <row r="7" spans="2:131" x14ac:dyDescent="0.3">
      <c r="B7" s="54" t="s">
        <v>37</v>
      </c>
      <c r="C7" s="31"/>
      <c r="D7" s="30"/>
      <c r="E7" s="31"/>
      <c r="F7" s="31"/>
      <c r="G7" s="220"/>
      <c r="I7" s="62"/>
      <c r="J7" s="63"/>
      <c r="K7" s="63"/>
      <c r="L7" s="63"/>
      <c r="M7" s="63"/>
      <c r="N7" s="61"/>
      <c r="O7" s="34"/>
      <c r="P7" s="34"/>
      <c r="Q7" s="31"/>
      <c r="R7" s="31"/>
      <c r="S7" s="57"/>
      <c r="T7" s="35"/>
      <c r="U7" s="18"/>
      <c r="V7" s="18"/>
      <c r="W7" s="35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64"/>
      <c r="AJ7" s="18"/>
      <c r="AK7" s="18"/>
      <c r="AL7" s="18"/>
      <c r="AM7" s="18"/>
      <c r="AN7" s="18"/>
      <c r="AO7" s="18"/>
      <c r="AP7" s="18"/>
      <c r="AQ7" s="18"/>
      <c r="AR7" s="18"/>
      <c r="AS7" s="18"/>
      <c r="AT7" s="18"/>
      <c r="AU7" s="18"/>
      <c r="AV7" s="18"/>
      <c r="AW7" s="18"/>
      <c r="AX7" s="18"/>
      <c r="AY7" s="18"/>
      <c r="AZ7" s="18"/>
      <c r="BA7" s="18"/>
      <c r="BB7" s="18"/>
      <c r="BC7" s="18"/>
      <c r="BD7" s="18"/>
      <c r="BE7" s="34"/>
      <c r="BF7" s="52"/>
      <c r="BG7" s="52"/>
      <c r="BH7" s="52"/>
      <c r="BI7" s="52"/>
      <c r="BJ7" s="52"/>
      <c r="BK7" s="52"/>
      <c r="BL7" s="53" t="s">
        <v>14</v>
      </c>
      <c r="BM7" s="383" t="s">
        <v>166</v>
      </c>
      <c r="BN7" s="383"/>
      <c r="BO7" s="18"/>
      <c r="BP7" s="36"/>
      <c r="BQ7" s="36"/>
      <c r="BR7" s="36"/>
      <c r="BS7" s="36"/>
      <c r="BT7" s="36"/>
      <c r="BU7" s="36"/>
      <c r="BV7" s="36"/>
      <c r="BW7" s="36"/>
      <c r="BX7" s="36"/>
      <c r="BY7" s="36"/>
      <c r="BZ7" s="36"/>
      <c r="CA7" s="36"/>
      <c r="CB7" s="36"/>
      <c r="CC7" s="36"/>
      <c r="CD7" s="36"/>
      <c r="CE7" s="36"/>
      <c r="CF7" s="18"/>
      <c r="CG7" s="18"/>
      <c r="CH7" s="18"/>
      <c r="CJ7" s="268"/>
      <c r="CK7" s="270"/>
      <c r="CW7" s="283">
        <v>85</v>
      </c>
      <c r="CX7" s="285" t="s">
        <v>154</v>
      </c>
      <c r="CY7" s="286">
        <v>1000</v>
      </c>
      <c r="CZ7" s="284">
        <v>105</v>
      </c>
      <c r="DA7" s="284">
        <v>205</v>
      </c>
    </row>
    <row r="8" spans="2:131" x14ac:dyDescent="0.3">
      <c r="B8" s="54" t="s">
        <v>66</v>
      </c>
      <c r="C8" s="31"/>
      <c r="D8" s="30"/>
      <c r="E8" s="31"/>
      <c r="F8" s="31"/>
      <c r="G8" s="220"/>
      <c r="H8" s="65"/>
      <c r="I8" s="59"/>
      <c r="J8" s="60"/>
      <c r="K8" s="60"/>
      <c r="L8" s="60"/>
      <c r="M8" s="60"/>
      <c r="N8" s="61"/>
      <c r="O8" s="34"/>
      <c r="P8" s="34"/>
      <c r="Q8" s="31"/>
      <c r="R8" s="31"/>
      <c r="S8" s="57"/>
      <c r="T8" s="35"/>
      <c r="U8" s="18"/>
      <c r="V8" s="18"/>
      <c r="W8" s="35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64"/>
      <c r="AJ8" s="18"/>
      <c r="AK8" s="18"/>
      <c r="AL8" s="18"/>
      <c r="AM8" s="18"/>
      <c r="AN8" s="18"/>
      <c r="AO8" s="18"/>
      <c r="AP8" s="18"/>
      <c r="AQ8" s="18"/>
      <c r="AR8" s="18"/>
      <c r="AS8" s="18"/>
      <c r="AT8" s="18"/>
      <c r="AU8" s="18"/>
      <c r="AV8" s="18"/>
      <c r="AW8" s="18"/>
      <c r="AX8" s="18"/>
      <c r="AY8" s="18"/>
      <c r="AZ8" s="18"/>
      <c r="BA8" s="18"/>
      <c r="BB8" s="18"/>
      <c r="BC8" s="18"/>
      <c r="BD8" s="18"/>
      <c r="BE8" s="34"/>
      <c r="BF8" s="34"/>
      <c r="BG8" s="34"/>
      <c r="BH8" s="34"/>
      <c r="BI8" s="34"/>
      <c r="BJ8" s="34"/>
      <c r="BK8" s="34"/>
      <c r="BL8" s="34"/>
      <c r="BM8" s="34"/>
      <c r="BN8" s="18"/>
      <c r="BO8" s="36"/>
      <c r="BP8" s="36"/>
      <c r="BQ8" s="36"/>
      <c r="BR8" s="36"/>
      <c r="BS8" s="36"/>
      <c r="BT8" s="36"/>
      <c r="BU8" s="36"/>
      <c r="BV8" s="36"/>
      <c r="BW8" s="36"/>
      <c r="BX8" s="36"/>
      <c r="BY8" s="36"/>
      <c r="BZ8" s="36"/>
      <c r="CA8" s="36"/>
      <c r="CB8" s="36"/>
      <c r="CC8" s="36"/>
      <c r="CD8" s="36"/>
      <c r="CE8" s="36"/>
      <c r="CF8" s="18"/>
      <c r="CG8" s="18"/>
      <c r="CH8" s="18"/>
      <c r="CJ8" s="268"/>
      <c r="CK8" s="270"/>
      <c r="CW8" s="283">
        <v>2</v>
      </c>
      <c r="CX8" s="285" t="s">
        <v>154</v>
      </c>
      <c r="CY8" s="286">
        <v>1000</v>
      </c>
      <c r="CZ8" s="284">
        <v>106</v>
      </c>
      <c r="DA8" s="284">
        <v>206</v>
      </c>
    </row>
    <row r="9" spans="2:131" x14ac:dyDescent="0.3">
      <c r="B9" s="52"/>
      <c r="C9" s="5"/>
      <c r="D9" s="5"/>
      <c r="E9" s="5"/>
      <c r="F9" s="5"/>
      <c r="G9" s="52"/>
      <c r="H9" s="52"/>
      <c r="I9" s="52"/>
      <c r="J9" s="52"/>
      <c r="K9" s="52"/>
      <c r="L9" s="52"/>
      <c r="M9" s="52"/>
      <c r="N9" s="52"/>
      <c r="O9" s="52"/>
      <c r="P9" s="52"/>
      <c r="Q9" s="40"/>
      <c r="R9" s="52"/>
      <c r="S9" s="52"/>
      <c r="T9" s="5"/>
      <c r="U9" s="52"/>
      <c r="V9" s="52"/>
      <c r="W9" s="5"/>
      <c r="X9" s="52"/>
      <c r="Y9" s="52"/>
      <c r="Z9" s="52"/>
      <c r="AA9" s="52"/>
      <c r="AB9" s="52"/>
      <c r="AC9" s="52"/>
      <c r="AD9" s="52"/>
      <c r="AE9" s="52"/>
      <c r="AF9" s="52"/>
      <c r="AG9" s="52"/>
      <c r="AH9" s="52"/>
      <c r="AI9" s="52"/>
      <c r="AJ9" s="52"/>
      <c r="AK9" s="52"/>
      <c r="AL9" s="52"/>
      <c r="AM9" s="52"/>
      <c r="AN9" s="52"/>
      <c r="AO9" s="52"/>
      <c r="AP9" s="52"/>
      <c r="AQ9" s="52"/>
      <c r="AR9" s="52"/>
      <c r="AS9" s="52"/>
      <c r="AT9" s="52"/>
      <c r="AU9" s="52"/>
      <c r="AV9" s="52"/>
      <c r="AW9" s="52"/>
      <c r="AX9" s="52"/>
      <c r="AY9" s="52"/>
      <c r="AZ9" s="52"/>
      <c r="BA9" s="52"/>
      <c r="BB9" s="52"/>
      <c r="BC9" s="52"/>
      <c r="BD9" s="52"/>
      <c r="BE9" s="52"/>
      <c r="BF9" s="52"/>
      <c r="BG9" s="52"/>
      <c r="BH9" s="52"/>
      <c r="BI9" s="52"/>
      <c r="BJ9" s="52"/>
      <c r="BK9" s="52"/>
      <c r="BL9" s="52"/>
      <c r="BM9" s="52"/>
      <c r="BN9" s="52"/>
      <c r="BO9" s="52"/>
      <c r="BP9" s="52"/>
      <c r="BQ9" s="52"/>
      <c r="BR9" s="52"/>
      <c r="BS9" s="52"/>
      <c r="BT9" s="52"/>
      <c r="BU9" s="52"/>
      <c r="BV9" s="52"/>
      <c r="BW9" s="52"/>
      <c r="BX9" s="52"/>
      <c r="BY9" s="52"/>
      <c r="BZ9" s="52"/>
      <c r="CA9" s="52"/>
      <c r="CB9" s="52"/>
      <c r="CC9" s="52"/>
      <c r="CD9" s="52"/>
      <c r="CE9" s="52"/>
      <c r="CF9" s="52"/>
      <c r="CG9" s="52"/>
      <c r="CH9" s="52"/>
      <c r="CI9" s="6"/>
      <c r="CJ9" s="74"/>
      <c r="CK9" s="74"/>
      <c r="CL9" s="5"/>
      <c r="CM9" s="5"/>
      <c r="CN9" s="5"/>
      <c r="CO9" s="6"/>
      <c r="CP9" s="5"/>
      <c r="CQ9" s="5"/>
      <c r="CR9" s="5"/>
      <c r="CS9" s="5"/>
      <c r="CT9" s="6"/>
      <c r="CU9" s="5"/>
      <c r="CV9" s="5"/>
      <c r="CW9" s="283">
        <v>7</v>
      </c>
      <c r="CX9" s="285" t="s">
        <v>154</v>
      </c>
      <c r="CY9" s="286">
        <v>1000</v>
      </c>
      <c r="CZ9" s="284">
        <v>111</v>
      </c>
      <c r="DA9" s="284">
        <v>211</v>
      </c>
    </row>
    <row r="10" spans="2:131" x14ac:dyDescent="0.3">
      <c r="B10" s="54" t="s">
        <v>87</v>
      </c>
      <c r="C10" s="31"/>
      <c r="D10" s="30"/>
      <c r="E10" s="31"/>
      <c r="F10" s="31"/>
      <c r="G10" s="32" t="s">
        <v>199</v>
      </c>
      <c r="H10" s="66"/>
      <c r="I10" s="66"/>
      <c r="J10" s="66"/>
      <c r="K10" s="66"/>
      <c r="L10" s="66"/>
      <c r="M10" s="66"/>
      <c r="N10" s="67"/>
      <c r="O10" s="31"/>
      <c r="P10" s="34"/>
      <c r="Q10" s="34"/>
      <c r="R10" s="34"/>
      <c r="S10" s="57"/>
      <c r="T10" s="35"/>
      <c r="U10" s="18"/>
      <c r="V10" s="18"/>
      <c r="W10" s="35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64"/>
      <c r="AJ10" s="18"/>
      <c r="AK10" s="18"/>
      <c r="AL10" s="18"/>
      <c r="AM10" s="18"/>
      <c r="AN10" s="18"/>
      <c r="AO10" s="18"/>
      <c r="AP10" s="18"/>
      <c r="AQ10" s="18"/>
      <c r="AR10" s="18"/>
      <c r="AS10" s="18"/>
      <c r="AT10" s="18"/>
      <c r="AU10" s="18"/>
      <c r="AV10" s="18"/>
      <c r="AW10" s="18"/>
      <c r="AX10" s="18"/>
      <c r="AY10" s="18"/>
      <c r="AZ10" s="18"/>
      <c r="BA10" s="18"/>
      <c r="BB10" s="18"/>
      <c r="BC10" s="18"/>
      <c r="BD10" s="18"/>
      <c r="BE10" s="34"/>
      <c r="BF10" s="34"/>
      <c r="BG10" s="34"/>
      <c r="BH10" s="34"/>
      <c r="BI10" s="34"/>
      <c r="BJ10" s="34"/>
      <c r="BK10" s="34"/>
      <c r="BL10" s="34"/>
      <c r="BM10" s="34"/>
      <c r="BN10" s="18"/>
      <c r="BO10" s="36"/>
      <c r="BP10" s="36"/>
      <c r="BQ10" s="36"/>
      <c r="BR10" s="36"/>
      <c r="BS10" s="36"/>
      <c r="BT10" s="36"/>
      <c r="BU10" s="36"/>
      <c r="BV10" s="36"/>
      <c r="BW10" s="36"/>
      <c r="BX10" s="36"/>
      <c r="BY10" s="36"/>
      <c r="BZ10" s="36"/>
      <c r="CA10" s="36"/>
      <c r="CB10" s="36"/>
      <c r="CC10" s="36"/>
      <c r="CD10" s="36"/>
      <c r="CE10" s="36"/>
      <c r="CF10" s="18"/>
      <c r="CG10" s="18"/>
      <c r="CH10" s="18"/>
      <c r="CJ10" s="268"/>
      <c r="CK10" s="74"/>
      <c r="CW10" s="283">
        <v>98</v>
      </c>
      <c r="CX10" s="285" t="s">
        <v>155</v>
      </c>
      <c r="CY10" s="286">
        <v>1000</v>
      </c>
      <c r="CZ10" s="284">
        <v>112</v>
      </c>
      <c r="DA10" s="284">
        <v>212</v>
      </c>
    </row>
    <row r="11" spans="2:131" x14ac:dyDescent="0.3">
      <c r="B11" s="54" t="s">
        <v>73</v>
      </c>
      <c r="C11" s="31"/>
      <c r="D11" s="30"/>
      <c r="E11" s="31"/>
      <c r="F11" s="31"/>
      <c r="G11" s="32"/>
      <c r="J11" s="59"/>
      <c r="K11" s="59"/>
      <c r="L11" s="59"/>
      <c r="M11" s="59"/>
      <c r="P11" s="57"/>
      <c r="Q11" s="57"/>
      <c r="R11" s="57"/>
      <c r="S11" s="57"/>
      <c r="T11" s="35"/>
      <c r="U11" s="18"/>
      <c r="V11" s="18"/>
      <c r="W11" s="35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64"/>
      <c r="AJ11" s="18"/>
      <c r="AK11" s="18"/>
      <c r="AL11" s="18"/>
      <c r="AM11" s="18"/>
      <c r="AN11" s="18"/>
      <c r="AO11" s="18"/>
      <c r="AP11" s="18"/>
      <c r="AQ11" s="18"/>
      <c r="AR11" s="18"/>
      <c r="AS11" s="18"/>
      <c r="AT11" s="18"/>
      <c r="AU11" s="18"/>
      <c r="AV11" s="18"/>
      <c r="AW11" s="18"/>
      <c r="AX11" s="18"/>
      <c r="AY11" s="18"/>
      <c r="AZ11" s="18"/>
      <c r="BA11" s="18"/>
      <c r="BB11" s="18"/>
      <c r="BC11" s="18"/>
      <c r="BD11" s="18"/>
      <c r="BE11" s="34"/>
      <c r="BF11" s="34"/>
      <c r="BG11" s="34"/>
      <c r="BH11" s="34"/>
      <c r="BI11" s="34"/>
      <c r="BJ11" s="34"/>
      <c r="BK11" s="34"/>
      <c r="BL11" s="34"/>
      <c r="BM11" s="34"/>
      <c r="BN11" s="18"/>
      <c r="BO11" s="36"/>
      <c r="BP11" s="36"/>
      <c r="BQ11" s="36"/>
      <c r="BR11" s="36"/>
      <c r="BS11" s="36"/>
      <c r="BT11" s="36"/>
      <c r="BU11" s="36"/>
      <c r="BV11" s="36"/>
      <c r="BW11" s="36"/>
      <c r="BX11" s="36"/>
      <c r="BY11" s="36"/>
      <c r="BZ11" s="36"/>
      <c r="CA11" s="36"/>
      <c r="CB11" s="36"/>
      <c r="CC11" s="36"/>
      <c r="CD11" s="36"/>
      <c r="CE11" s="36"/>
      <c r="CF11" s="18"/>
      <c r="CG11" s="18"/>
      <c r="CH11" s="18"/>
      <c r="CJ11" s="268"/>
      <c r="CK11" s="74"/>
      <c r="CW11" s="283">
        <v>103</v>
      </c>
      <c r="CX11" s="285" t="s">
        <v>155</v>
      </c>
      <c r="CY11" s="286">
        <v>1000</v>
      </c>
      <c r="CZ11" s="284">
        <v>113</v>
      </c>
      <c r="DA11" s="284">
        <v>213</v>
      </c>
    </row>
    <row r="12" spans="2:131" s="7" customFormat="1" x14ac:dyDescent="0.3">
      <c r="B12" s="54"/>
      <c r="C12" s="54"/>
      <c r="D12" s="54"/>
      <c r="E12" s="54"/>
      <c r="F12" s="54"/>
      <c r="G12" s="54"/>
      <c r="H12" s="54" t="s">
        <v>102</v>
      </c>
      <c r="I12" s="54"/>
      <c r="J12" s="54"/>
      <c r="K12" s="54"/>
      <c r="L12" s="54"/>
      <c r="M12" s="54"/>
      <c r="N12" s="229" t="s">
        <v>159</v>
      </c>
      <c r="O12" s="75">
        <v>1000</v>
      </c>
      <c r="P12" s="54"/>
      <c r="Q12" s="54"/>
      <c r="R12" s="54"/>
      <c r="S12" s="54"/>
      <c r="T12" s="54"/>
      <c r="U12" s="54"/>
      <c r="V12" s="54"/>
      <c r="W12" s="54"/>
      <c r="X12" s="54"/>
      <c r="Y12" s="54"/>
      <c r="Z12" s="54"/>
      <c r="AA12" s="54"/>
      <c r="AB12" s="57"/>
      <c r="AC12" s="18"/>
      <c r="AD12" s="18"/>
      <c r="AE12" s="18"/>
      <c r="AF12" s="18"/>
      <c r="AG12" s="18"/>
      <c r="AH12" s="18"/>
      <c r="AI12" s="221" t="s">
        <v>144</v>
      </c>
      <c r="AJ12" s="230">
        <v>1.7</v>
      </c>
      <c r="AK12" s="54"/>
      <c r="AL12" s="54"/>
      <c r="AM12" s="54"/>
      <c r="AN12" s="54"/>
      <c r="AO12" s="54"/>
      <c r="AP12" s="54"/>
      <c r="AQ12" s="54"/>
      <c r="AR12" s="54"/>
      <c r="AS12" s="54"/>
      <c r="AT12" s="54"/>
      <c r="AU12" s="54"/>
      <c r="AV12" s="54"/>
      <c r="AW12" s="54"/>
      <c r="AX12" s="54"/>
      <c r="AY12" s="54"/>
      <c r="AZ12" s="54"/>
      <c r="BA12" s="54"/>
      <c r="BB12" s="54"/>
      <c r="BC12" s="54"/>
      <c r="BD12" s="54"/>
      <c r="BE12" s="54"/>
      <c r="BF12" s="54"/>
      <c r="BG12" s="54"/>
      <c r="BH12" s="54"/>
      <c r="BI12" s="54"/>
      <c r="BJ12" s="54"/>
      <c r="BK12" s="54"/>
      <c r="BL12" s="54"/>
      <c r="BM12" s="54"/>
      <c r="BN12" s="54"/>
      <c r="BO12" s="54"/>
      <c r="BP12" s="54"/>
      <c r="BQ12" s="54"/>
      <c r="BR12" s="54"/>
      <c r="BS12" s="54"/>
      <c r="BT12" s="54"/>
      <c r="BU12" s="54"/>
      <c r="BV12" s="54"/>
      <c r="BW12" s="54"/>
      <c r="BX12" s="54"/>
      <c r="BY12" s="54"/>
      <c r="BZ12" s="54"/>
      <c r="CA12" s="54"/>
      <c r="CB12" s="69"/>
      <c r="CC12" s="54"/>
      <c r="CD12" s="54"/>
      <c r="CE12" s="54"/>
      <c r="CF12" s="54"/>
      <c r="CG12" s="54"/>
      <c r="CH12" s="54"/>
      <c r="CI12" s="6"/>
      <c r="CJ12" s="269"/>
      <c r="CK12" s="74"/>
      <c r="CL12" s="38"/>
      <c r="CM12" s="38"/>
      <c r="CN12" s="39"/>
      <c r="CO12" s="40"/>
      <c r="CP12" s="13"/>
      <c r="CQ12" s="13"/>
      <c r="CR12" s="13"/>
      <c r="CS12" s="13"/>
      <c r="CW12" s="283">
        <v>11</v>
      </c>
      <c r="CX12" s="287" t="s">
        <v>154</v>
      </c>
      <c r="CY12" s="288">
        <v>1000</v>
      </c>
      <c r="CZ12" s="284">
        <v>114</v>
      </c>
      <c r="DA12" s="284">
        <v>214</v>
      </c>
      <c r="DB12" s="185"/>
      <c r="DC12" s="185"/>
      <c r="DD12" s="185"/>
      <c r="DE12" s="185"/>
      <c r="DF12" s="185"/>
      <c r="DG12" s="185"/>
      <c r="DH12" s="185"/>
      <c r="DI12" s="185"/>
      <c r="DJ12" s="209"/>
      <c r="DK12" s="185"/>
      <c r="DL12" s="185"/>
      <c r="DM12" s="186"/>
      <c r="DN12" s="187"/>
      <c r="DO12" s="187"/>
      <c r="DP12" s="187"/>
      <c r="DQ12" s="187"/>
      <c r="DR12" s="187"/>
      <c r="DS12" s="187"/>
      <c r="DT12" s="188"/>
      <c r="DU12" s="187"/>
      <c r="DV12" s="187"/>
      <c r="DW12" s="187"/>
      <c r="DX12" s="187"/>
      <c r="DY12" s="187"/>
      <c r="DZ12" s="187"/>
      <c r="EA12" s="185"/>
    </row>
    <row r="13" spans="2:131" x14ac:dyDescent="0.3">
      <c r="B13" s="52"/>
      <c r="C13" s="34"/>
      <c r="D13" s="5"/>
      <c r="E13" s="34"/>
      <c r="F13" s="34"/>
      <c r="G13" s="68"/>
      <c r="I13" s="57"/>
      <c r="J13" s="57"/>
      <c r="K13" s="57"/>
      <c r="L13" s="57"/>
      <c r="M13" s="57"/>
      <c r="N13" s="34"/>
      <c r="O13" s="34"/>
      <c r="P13" s="34"/>
      <c r="Q13" s="34"/>
      <c r="R13" s="34"/>
      <c r="S13" s="18"/>
      <c r="T13" s="69" t="s">
        <v>7</v>
      </c>
      <c r="U13" s="57"/>
      <c r="V13" s="57"/>
      <c r="W13" s="55"/>
      <c r="X13" s="57"/>
      <c r="Y13" s="57"/>
      <c r="Z13" s="57"/>
      <c r="AA13" s="57"/>
      <c r="AB13" s="57"/>
      <c r="AC13" s="18"/>
      <c r="AD13" s="18"/>
      <c r="AE13" s="18"/>
      <c r="AF13" s="18"/>
      <c r="AG13" s="18"/>
      <c r="AH13" s="18"/>
      <c r="AI13" s="221" t="s">
        <v>143</v>
      </c>
      <c r="AJ13" s="231">
        <f>22*((AJ14+8)/10)^0.3</f>
        <v>33.345764463228754</v>
      </c>
      <c r="AK13" s="18"/>
      <c r="AL13" s="18"/>
      <c r="AN13" s="57" t="s">
        <v>10</v>
      </c>
      <c r="AO13" s="57"/>
      <c r="AP13" s="57"/>
      <c r="AQ13" s="57"/>
      <c r="AR13" s="57"/>
      <c r="AS13" s="57"/>
      <c r="AT13" s="57"/>
      <c r="AU13" s="18"/>
      <c r="AV13" s="18"/>
      <c r="AW13" s="5"/>
      <c r="AX13" s="5"/>
      <c r="AY13" s="18"/>
      <c r="AZ13" s="18"/>
      <c r="BA13" s="60"/>
      <c r="BB13" s="52"/>
      <c r="BC13" s="52"/>
      <c r="BD13" s="18"/>
      <c r="BE13" s="18"/>
      <c r="BF13" s="18"/>
      <c r="BG13" s="70"/>
      <c r="BH13" s="70"/>
      <c r="BI13" s="70"/>
      <c r="BJ13" s="70"/>
      <c r="BK13" s="18"/>
      <c r="BL13" s="53"/>
      <c r="BM13" s="67"/>
      <c r="BN13" s="18"/>
      <c r="BO13" s="36"/>
      <c r="BP13" s="36"/>
      <c r="BQ13" s="36"/>
      <c r="BR13" s="36"/>
      <c r="BS13" s="36"/>
      <c r="BT13" s="36"/>
      <c r="BU13" s="36"/>
      <c r="BV13" s="36"/>
      <c r="BW13" s="36"/>
      <c r="BX13" s="36"/>
      <c r="BY13" s="36"/>
      <c r="BZ13" s="36"/>
      <c r="CA13" s="36"/>
      <c r="CB13" s="36"/>
      <c r="CC13" s="36"/>
      <c r="CD13" s="36"/>
      <c r="CE13" s="36"/>
      <c r="CF13" s="18"/>
      <c r="CG13" s="18"/>
      <c r="CH13" s="18"/>
      <c r="CW13" s="289">
        <v>24</v>
      </c>
      <c r="CX13" s="285" t="s">
        <v>155</v>
      </c>
      <c r="CY13" s="286">
        <v>1000</v>
      </c>
      <c r="CZ13" s="286"/>
      <c r="DA13" s="286"/>
    </row>
    <row r="14" spans="2:131" x14ac:dyDescent="0.3">
      <c r="B14" s="52"/>
      <c r="C14" s="34"/>
      <c r="D14" s="5"/>
      <c r="E14" s="34"/>
      <c r="F14" s="34"/>
      <c r="G14" s="68"/>
      <c r="H14" s="18"/>
      <c r="I14" s="18"/>
      <c r="J14" s="18"/>
      <c r="K14" s="18"/>
      <c r="L14" s="395" t="s">
        <v>160</v>
      </c>
      <c r="M14" s="395"/>
      <c r="N14" s="395"/>
      <c r="O14" s="293" t="s">
        <v>105</v>
      </c>
      <c r="P14" s="294" t="s">
        <v>106</v>
      </c>
      <c r="Q14" s="71"/>
      <c r="R14" s="213"/>
      <c r="S14" s="18"/>
      <c r="T14" s="35"/>
      <c r="U14" s="34"/>
      <c r="V14" s="34"/>
      <c r="W14" s="35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221" t="s">
        <v>131</v>
      </c>
      <c r="AJ14" s="73">
        <v>32</v>
      </c>
      <c r="AK14" s="18"/>
      <c r="AL14" s="18"/>
      <c r="AN14" s="18" t="s">
        <v>100</v>
      </c>
      <c r="AO14" s="18"/>
      <c r="AP14" s="18"/>
      <c r="AQ14" s="18"/>
      <c r="AR14" s="18"/>
      <c r="AS14" s="18"/>
      <c r="AT14" s="18"/>
      <c r="AU14" s="18"/>
      <c r="AV14" s="18"/>
      <c r="AW14" s="74"/>
      <c r="AX14" s="73">
        <v>13</v>
      </c>
      <c r="AY14" s="18"/>
      <c r="AZ14" s="18"/>
      <c r="BA14" s="5"/>
      <c r="BB14" s="60"/>
      <c r="BC14" s="52"/>
      <c r="BD14" s="52"/>
      <c r="BE14" s="18"/>
      <c r="BF14" s="18"/>
      <c r="BG14" s="18"/>
      <c r="BH14" s="18"/>
      <c r="BI14" s="18"/>
      <c r="BJ14" s="18"/>
      <c r="BK14" s="18"/>
      <c r="BL14" s="18"/>
      <c r="BM14" s="18"/>
      <c r="BN14" s="18"/>
      <c r="BO14" s="18"/>
      <c r="BP14" s="18"/>
      <c r="BQ14" s="18"/>
      <c r="BR14" s="18"/>
      <c r="BS14" s="18"/>
      <c r="BT14" s="18"/>
      <c r="BU14" s="18"/>
      <c r="BV14" s="18"/>
      <c r="BW14" s="18"/>
      <c r="BX14" s="18"/>
      <c r="BY14" s="18"/>
      <c r="BZ14" s="18"/>
      <c r="CA14" s="18"/>
      <c r="CB14" s="18"/>
      <c r="CC14" s="18"/>
      <c r="CD14" s="18"/>
      <c r="CE14" s="18"/>
      <c r="CF14" s="18"/>
      <c r="CG14" s="18"/>
      <c r="CH14" s="18"/>
      <c r="CW14" s="289">
        <v>27</v>
      </c>
      <c r="CX14" s="285" t="s">
        <v>155</v>
      </c>
      <c r="CY14" s="286">
        <v>1000</v>
      </c>
      <c r="CZ14" s="286"/>
      <c r="DA14" s="286"/>
    </row>
    <row r="15" spans="2:131" x14ac:dyDescent="0.3">
      <c r="B15" s="52"/>
      <c r="C15" s="34"/>
      <c r="D15" s="5"/>
      <c r="E15" s="34"/>
      <c r="F15" s="34"/>
      <c r="G15" s="68"/>
      <c r="H15" s="18"/>
      <c r="I15" s="18"/>
      <c r="J15" s="18"/>
      <c r="K15" s="18"/>
      <c r="L15" s="394" t="s">
        <v>16</v>
      </c>
      <c r="M15" s="394"/>
      <c r="N15" s="394"/>
      <c r="O15" s="295">
        <v>45</v>
      </c>
      <c r="P15" s="296">
        <v>40</v>
      </c>
      <c r="Q15" s="71"/>
      <c r="R15" s="213"/>
      <c r="S15" s="18"/>
      <c r="T15" s="35"/>
      <c r="U15" s="34"/>
      <c r="V15" s="34"/>
      <c r="W15" s="35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221" t="s">
        <v>142</v>
      </c>
      <c r="AJ15" s="231">
        <f>AJ13/(1+AJ12)</f>
        <v>12.350283134529167</v>
      </c>
      <c r="AK15" s="18"/>
      <c r="AL15" s="18"/>
      <c r="AN15" s="54" t="s">
        <v>101</v>
      </c>
      <c r="AO15" s="54"/>
      <c r="AP15" s="54"/>
      <c r="AQ15" s="54"/>
      <c r="AR15" s="54"/>
      <c r="AS15" s="54"/>
      <c r="AT15" s="54"/>
      <c r="AU15" s="18"/>
      <c r="AV15" s="18"/>
      <c r="AW15" s="18"/>
      <c r="AX15" s="18"/>
      <c r="AY15" s="18"/>
      <c r="AZ15" s="18"/>
      <c r="BA15" s="5"/>
      <c r="BB15" s="60"/>
      <c r="BC15" s="52"/>
      <c r="BD15" s="52"/>
      <c r="BE15" s="18"/>
      <c r="BF15" s="18"/>
      <c r="BG15" s="18"/>
      <c r="BH15" s="18"/>
      <c r="BI15" s="18"/>
      <c r="BJ15" s="18"/>
      <c r="BK15" s="18"/>
      <c r="BL15" s="18"/>
      <c r="BM15" s="18"/>
      <c r="BN15" s="36"/>
      <c r="BO15" s="18"/>
      <c r="BP15" s="18"/>
      <c r="BQ15" s="18"/>
      <c r="BR15" s="18"/>
      <c r="BS15" s="18"/>
      <c r="BT15" s="18"/>
      <c r="BU15" s="18"/>
      <c r="BV15" s="18"/>
      <c r="BW15" s="18"/>
      <c r="BX15" s="18"/>
      <c r="BY15" s="18"/>
      <c r="BZ15" s="18"/>
      <c r="CA15" s="18"/>
      <c r="CB15" s="18"/>
      <c r="CC15" s="18"/>
      <c r="CD15" s="18"/>
      <c r="CE15" s="18"/>
      <c r="CF15" s="18"/>
      <c r="CG15" s="18"/>
      <c r="CH15" s="18"/>
      <c r="CW15" s="289">
        <v>31</v>
      </c>
      <c r="CX15" s="285" t="s">
        <v>155</v>
      </c>
      <c r="CY15" s="286">
        <v>1000</v>
      </c>
      <c r="CZ15" s="286"/>
      <c r="DA15" s="286"/>
    </row>
    <row r="16" spans="2:131" x14ac:dyDescent="0.3">
      <c r="B16" s="52"/>
      <c r="C16" s="34"/>
      <c r="D16" s="5"/>
      <c r="E16" s="34"/>
      <c r="F16" s="34"/>
      <c r="G16" s="68"/>
      <c r="H16" s="34"/>
      <c r="I16" s="34"/>
      <c r="J16" s="34"/>
      <c r="K16" s="34"/>
      <c r="L16" s="394" t="s">
        <v>15</v>
      </c>
      <c r="M16" s="394"/>
      <c r="N16" s="394"/>
      <c r="O16" s="295">
        <v>70</v>
      </c>
      <c r="P16" s="296">
        <v>70</v>
      </c>
      <c r="Q16" s="71"/>
      <c r="R16" s="213"/>
      <c r="S16" s="18"/>
      <c r="T16" s="35"/>
      <c r="U16" s="34"/>
      <c r="V16" s="34"/>
      <c r="W16" s="35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72" t="s">
        <v>8</v>
      </c>
      <c r="AJ16" s="5">
        <v>500</v>
      </c>
      <c r="AK16" s="18"/>
      <c r="AL16" s="18"/>
      <c r="AM16" s="34"/>
      <c r="AN16" s="76"/>
      <c r="AO16" s="76"/>
      <c r="AP16" s="76"/>
      <c r="AQ16" s="76"/>
      <c r="AR16" s="76"/>
      <c r="AS16" s="76"/>
      <c r="AT16" s="76"/>
      <c r="AU16" s="18"/>
      <c r="AV16" s="18"/>
      <c r="AW16" s="77" t="s">
        <v>69</v>
      </c>
      <c r="AX16" s="73">
        <v>150</v>
      </c>
      <c r="AY16" s="18"/>
      <c r="AZ16" s="18"/>
      <c r="BA16" s="5"/>
      <c r="BB16" s="71" t="s">
        <v>122</v>
      </c>
      <c r="BC16" s="34"/>
      <c r="BD16" s="5">
        <f>AX16</f>
        <v>150</v>
      </c>
      <c r="BE16" s="53"/>
      <c r="BF16" s="73"/>
      <c r="BG16" s="53"/>
      <c r="BH16" s="53" t="s">
        <v>70</v>
      </c>
      <c r="BI16" s="73">
        <v>80</v>
      </c>
      <c r="BJ16" s="73"/>
      <c r="BK16" s="74" t="s">
        <v>126</v>
      </c>
      <c r="BL16" s="5">
        <f>BI16</f>
        <v>80</v>
      </c>
      <c r="BM16" s="71"/>
      <c r="BN16" s="73"/>
      <c r="BO16" s="18"/>
      <c r="BP16" s="18"/>
      <c r="BQ16" s="18"/>
      <c r="BR16" s="18"/>
      <c r="BS16" s="18"/>
      <c r="BT16" s="18"/>
      <c r="BU16" s="18"/>
      <c r="BV16" s="18"/>
      <c r="BW16" s="18"/>
      <c r="BX16" s="18"/>
      <c r="BY16" s="18"/>
      <c r="BZ16" s="18"/>
      <c r="CA16" s="18"/>
      <c r="CB16" s="18"/>
      <c r="CC16" s="18"/>
      <c r="CD16" s="18"/>
      <c r="CE16" s="18"/>
      <c r="CF16" s="18"/>
      <c r="CG16" s="18"/>
      <c r="CH16" s="18"/>
      <c r="CW16" s="289">
        <v>57</v>
      </c>
      <c r="CX16" s="285" t="s">
        <v>155</v>
      </c>
      <c r="CY16" s="286">
        <v>1000</v>
      </c>
      <c r="CZ16" s="286"/>
      <c r="DA16" s="286"/>
    </row>
    <row r="17" spans="1:131" x14ac:dyDescent="0.3">
      <c r="B17" s="52"/>
      <c r="C17" s="34"/>
      <c r="D17" s="5"/>
      <c r="E17" s="34"/>
      <c r="F17" s="34"/>
      <c r="G17" s="68"/>
      <c r="H17" s="34"/>
      <c r="I17" s="34"/>
      <c r="J17" s="34"/>
      <c r="K17" s="34"/>
      <c r="L17" s="394" t="s">
        <v>36</v>
      </c>
      <c r="M17" s="394"/>
      <c r="N17" s="394"/>
      <c r="O17" s="394"/>
      <c r="P17" s="394"/>
      <c r="Q17" s="71"/>
      <c r="R17" s="213"/>
      <c r="S17" s="18"/>
      <c r="T17" s="35"/>
      <c r="U17" s="34"/>
      <c r="V17" s="34"/>
      <c r="W17" s="35"/>
      <c r="X17" s="18"/>
      <c r="Y17" s="18"/>
      <c r="Z17" s="18"/>
      <c r="AA17" s="18"/>
      <c r="AB17" s="18"/>
      <c r="AC17" s="18"/>
      <c r="AD17" s="18"/>
      <c r="AE17" s="18"/>
      <c r="AF17" s="18"/>
      <c r="AG17" s="18"/>
      <c r="AH17" s="18"/>
      <c r="AI17" s="72" t="s">
        <v>9</v>
      </c>
      <c r="AJ17" s="5">
        <v>200</v>
      </c>
      <c r="AK17" s="18"/>
      <c r="AL17" s="18"/>
      <c r="AM17" s="34"/>
      <c r="AN17" s="36"/>
      <c r="AO17" s="36"/>
      <c r="AP17" s="36"/>
      <c r="AQ17" s="36"/>
      <c r="AR17" s="36"/>
      <c r="AS17" s="36"/>
      <c r="AT17" s="36"/>
      <c r="AU17" s="18"/>
      <c r="AV17" s="18"/>
      <c r="AW17" s="74" t="s">
        <v>26</v>
      </c>
      <c r="AX17" s="5">
        <f>AX16</f>
        <v>150</v>
      </c>
      <c r="AY17" s="18"/>
      <c r="AZ17" s="18"/>
      <c r="BA17" s="5"/>
      <c r="BB17" s="71" t="s">
        <v>123</v>
      </c>
      <c r="BC17" s="34"/>
      <c r="BD17" s="5">
        <f>AX16</f>
        <v>150</v>
      </c>
      <c r="BE17" s="74"/>
      <c r="BF17" s="5"/>
      <c r="BG17" s="74"/>
      <c r="BH17" s="74" t="s">
        <v>27</v>
      </c>
      <c r="BI17" s="5">
        <f>BI16</f>
        <v>80</v>
      </c>
      <c r="BJ17" s="5"/>
      <c r="BK17" s="74" t="s">
        <v>127</v>
      </c>
      <c r="BL17" s="5">
        <f>BI16</f>
        <v>80</v>
      </c>
      <c r="BM17" s="18"/>
      <c r="BN17" s="36"/>
      <c r="BO17" s="18"/>
      <c r="BP17" s="18"/>
      <c r="BQ17" s="18"/>
      <c r="BR17" s="18"/>
      <c r="BS17" s="18"/>
      <c r="BT17" s="18"/>
      <c r="BU17" s="18"/>
      <c r="BV17" s="18"/>
      <c r="BW17" s="18"/>
      <c r="BX17" s="18"/>
      <c r="BY17" s="18"/>
      <c r="BZ17" s="18"/>
      <c r="CA17" s="18"/>
      <c r="CB17" s="18"/>
      <c r="CC17" s="18"/>
      <c r="CD17" s="18"/>
      <c r="CE17" s="18"/>
      <c r="CF17" s="18"/>
      <c r="CG17" s="18"/>
      <c r="CH17" s="18"/>
      <c r="CW17" s="289">
        <v>62</v>
      </c>
      <c r="CX17" s="285" t="s">
        <v>155</v>
      </c>
      <c r="CY17" s="286">
        <v>1000</v>
      </c>
      <c r="CZ17" s="286"/>
      <c r="DA17" s="286"/>
    </row>
    <row r="18" spans="1:131" x14ac:dyDescent="0.3">
      <c r="B18" s="54"/>
      <c r="C18" s="34"/>
      <c r="D18" s="78"/>
      <c r="E18" s="34"/>
      <c r="F18" s="34"/>
      <c r="G18" s="68"/>
      <c r="H18" s="18"/>
      <c r="J18" s="75"/>
      <c r="K18" s="18"/>
      <c r="L18" s="18"/>
      <c r="M18" s="18"/>
      <c r="N18" s="18"/>
      <c r="O18" s="18"/>
      <c r="P18" s="18"/>
      <c r="Q18" s="18"/>
      <c r="R18" s="18"/>
      <c r="S18" s="18"/>
      <c r="T18" s="35"/>
      <c r="U18" s="34"/>
      <c r="V18" s="34"/>
      <c r="W18" s="35"/>
      <c r="X18" s="18"/>
      <c r="Y18" s="18"/>
      <c r="Z18" s="18"/>
      <c r="AA18" s="18"/>
      <c r="AB18" s="18"/>
      <c r="AC18" s="18"/>
      <c r="AD18" s="18"/>
      <c r="AE18" s="18"/>
      <c r="AF18" s="18"/>
      <c r="AG18" s="18"/>
      <c r="AH18" s="18"/>
      <c r="AI18" s="221" t="s">
        <v>136</v>
      </c>
      <c r="AJ18" s="70">
        <f>(AJ17/AJ15)</f>
        <v>16.193960723121887</v>
      </c>
      <c r="AK18" s="18"/>
      <c r="AL18" s="18"/>
      <c r="AM18" s="34"/>
      <c r="AN18" s="36"/>
      <c r="AO18" s="36"/>
      <c r="AP18" s="36"/>
      <c r="AQ18" s="36"/>
      <c r="AR18" s="36"/>
      <c r="AS18" s="36"/>
      <c r="AT18" s="36"/>
      <c r="AU18" s="18"/>
      <c r="AV18" s="18"/>
      <c r="AW18" s="79" t="s">
        <v>28</v>
      </c>
      <c r="AX18" s="5">
        <f>AX17</f>
        <v>150</v>
      </c>
      <c r="AY18" s="18"/>
      <c r="AZ18" s="18"/>
      <c r="BA18" s="5"/>
      <c r="BB18" s="71" t="s">
        <v>124</v>
      </c>
      <c r="BC18" s="18"/>
      <c r="BD18" s="5">
        <f>AX16</f>
        <v>150</v>
      </c>
      <c r="BE18" s="52"/>
      <c r="BF18" s="52"/>
      <c r="BG18" s="52"/>
      <c r="BH18" s="74" t="s">
        <v>125</v>
      </c>
      <c r="BI18" s="5">
        <f>BI16</f>
        <v>80</v>
      </c>
      <c r="BJ18" s="52"/>
      <c r="BK18" s="52"/>
      <c r="BL18" s="52"/>
      <c r="BM18" s="18"/>
      <c r="BN18" s="36"/>
      <c r="BO18" s="18"/>
      <c r="BP18" s="18"/>
      <c r="BQ18" s="18"/>
      <c r="BR18" s="18"/>
      <c r="BS18" s="18"/>
      <c r="BT18" s="18"/>
      <c r="BU18" s="18"/>
      <c r="BV18" s="18"/>
      <c r="BW18" s="18"/>
      <c r="BX18" s="18"/>
      <c r="BY18" s="18"/>
      <c r="BZ18" s="18"/>
      <c r="CA18" s="18"/>
      <c r="CB18" s="18"/>
      <c r="CC18" s="18"/>
      <c r="CD18" s="18"/>
      <c r="CE18" s="18"/>
      <c r="CF18" s="18"/>
      <c r="CG18" s="18"/>
      <c r="CH18" s="18"/>
      <c r="CW18" s="289">
        <v>88</v>
      </c>
      <c r="CX18" s="285" t="s">
        <v>155</v>
      </c>
      <c r="CY18" s="286">
        <v>1000</v>
      </c>
      <c r="CZ18" s="286"/>
      <c r="DA18" s="286"/>
    </row>
    <row r="19" spans="1:131" ht="17.25" customHeight="1" thickBot="1" x14ac:dyDescent="0.4">
      <c r="B19" s="80" t="s">
        <v>96</v>
      </c>
      <c r="C19" s="31"/>
      <c r="D19" s="78"/>
      <c r="E19" s="31"/>
      <c r="F19" s="31"/>
      <c r="G19" s="32"/>
      <c r="J19" s="81">
        <v>1</v>
      </c>
      <c r="K19" s="82"/>
      <c r="L19" s="82"/>
      <c r="M19" s="82"/>
      <c r="N19" s="67"/>
      <c r="O19" s="31"/>
      <c r="P19" s="31"/>
      <c r="Q19" s="83"/>
      <c r="R19" s="83"/>
      <c r="S19" s="83"/>
      <c r="T19" s="55"/>
      <c r="U19" s="83"/>
      <c r="V19" s="83"/>
      <c r="W19" s="55"/>
      <c r="X19" s="83"/>
      <c r="Y19" s="83"/>
      <c r="Z19" s="83"/>
      <c r="AA19" s="83"/>
      <c r="AB19" s="83"/>
      <c r="AC19" s="83"/>
      <c r="AD19" s="83"/>
      <c r="AE19" s="83"/>
      <c r="AF19" s="83"/>
      <c r="AG19" s="83"/>
      <c r="AH19" s="83"/>
      <c r="AI19" s="84"/>
      <c r="AJ19" s="83"/>
      <c r="AK19" s="83"/>
      <c r="AL19" s="83"/>
      <c r="AM19" s="83"/>
      <c r="AN19" s="83"/>
      <c r="AO19" s="83"/>
      <c r="AP19" s="83"/>
      <c r="AQ19" s="83"/>
      <c r="AR19" s="83"/>
      <c r="AS19" s="83"/>
      <c r="AT19" s="83"/>
      <c r="AU19" s="83"/>
      <c r="AV19" s="83"/>
      <c r="AW19" s="83"/>
      <c r="AX19" s="83"/>
      <c r="AY19" s="83"/>
      <c r="AZ19" s="83"/>
      <c r="BA19" s="83"/>
      <c r="BB19" s="83"/>
      <c r="BC19" s="83"/>
      <c r="BD19" s="83"/>
      <c r="BE19" s="83"/>
      <c r="BF19" s="83"/>
      <c r="BG19" s="83"/>
      <c r="BH19" s="83"/>
      <c r="BI19" s="83"/>
      <c r="BJ19" s="83"/>
      <c r="BK19" s="83"/>
      <c r="BL19" s="83"/>
      <c r="BM19" s="83"/>
      <c r="BN19" s="83"/>
      <c r="BO19" s="83"/>
      <c r="BP19" s="83"/>
      <c r="BQ19" s="83"/>
      <c r="BR19" s="83"/>
      <c r="BS19" s="83"/>
      <c r="BT19" s="83"/>
      <c r="BU19" s="83"/>
      <c r="BV19" s="83"/>
      <c r="BW19" s="83"/>
      <c r="BX19" s="83"/>
      <c r="BY19" s="83"/>
      <c r="BZ19" s="83"/>
      <c r="CA19" s="83"/>
      <c r="CB19" s="83"/>
      <c r="CC19" s="83"/>
      <c r="CD19" s="83"/>
      <c r="CE19" s="83"/>
      <c r="CF19" s="18"/>
      <c r="CG19" s="18"/>
      <c r="CH19" s="85"/>
      <c r="CW19" s="289">
        <v>95</v>
      </c>
      <c r="CX19" s="285" t="s">
        <v>155</v>
      </c>
      <c r="CY19" s="286">
        <v>1000</v>
      </c>
      <c r="CZ19" s="286"/>
      <c r="DA19" s="286"/>
    </row>
    <row r="20" spans="1:131" ht="17.399999999999999" x14ac:dyDescent="0.3">
      <c r="B20" s="86"/>
      <c r="C20" s="87"/>
      <c r="D20" s="88"/>
      <c r="E20" s="87"/>
      <c r="F20" s="87"/>
      <c r="G20" s="89"/>
      <c r="H20" s="90"/>
      <c r="I20" s="372" t="s">
        <v>44</v>
      </c>
      <c r="J20" s="386"/>
      <c r="K20" s="386"/>
      <c r="L20" s="386"/>
      <c r="M20" s="386"/>
      <c r="N20" s="386"/>
      <c r="O20" s="386"/>
      <c r="P20" s="386"/>
      <c r="Q20" s="387"/>
      <c r="R20" s="91"/>
      <c r="S20" s="372" t="s">
        <v>19</v>
      </c>
      <c r="T20" s="373"/>
      <c r="U20" s="373"/>
      <c r="V20" s="373"/>
      <c r="W20" s="373"/>
      <c r="X20" s="373"/>
      <c r="Y20" s="373"/>
      <c r="Z20" s="373"/>
      <c r="AA20" s="373"/>
      <c r="AB20" s="373"/>
      <c r="AC20" s="373"/>
      <c r="AD20" s="373"/>
      <c r="AE20" s="373"/>
      <c r="AF20" s="373"/>
      <c r="AG20" s="373"/>
      <c r="AH20" s="373"/>
      <c r="AI20" s="373"/>
      <c r="AJ20" s="373"/>
      <c r="AK20" s="373"/>
      <c r="AL20" s="373"/>
      <c r="AM20" s="373"/>
      <c r="AN20" s="373"/>
      <c r="AO20" s="373"/>
      <c r="AP20" s="373"/>
      <c r="AQ20" s="373"/>
      <c r="AR20" s="373"/>
      <c r="AS20" s="373"/>
      <c r="AT20" s="373"/>
      <c r="AU20" s="373"/>
      <c r="AV20" s="374"/>
      <c r="AW20" s="372" t="s">
        <v>67</v>
      </c>
      <c r="AX20" s="373"/>
      <c r="AY20" s="373"/>
      <c r="AZ20" s="373"/>
      <c r="BA20" s="373"/>
      <c r="BB20" s="373"/>
      <c r="BC20" s="373"/>
      <c r="BD20" s="374"/>
      <c r="BE20" s="372" t="s">
        <v>29</v>
      </c>
      <c r="BF20" s="373"/>
      <c r="BG20" s="373"/>
      <c r="BH20" s="373"/>
      <c r="BI20" s="373"/>
      <c r="BJ20" s="373"/>
      <c r="BK20" s="373"/>
      <c r="BL20" s="373"/>
      <c r="BM20" s="373"/>
      <c r="BN20" s="373"/>
      <c r="BO20" s="374"/>
      <c r="BP20" s="372" t="s">
        <v>39</v>
      </c>
      <c r="BQ20" s="373"/>
      <c r="BR20" s="373"/>
      <c r="BS20" s="373"/>
      <c r="BT20" s="373"/>
      <c r="BU20" s="373"/>
      <c r="BV20" s="373"/>
      <c r="BW20" s="373"/>
      <c r="BX20" s="373"/>
      <c r="BY20" s="373"/>
      <c r="BZ20" s="373"/>
      <c r="CA20" s="373"/>
      <c r="CB20" s="373"/>
      <c r="CC20" s="373"/>
      <c r="CD20" s="373"/>
      <c r="CE20" s="374"/>
      <c r="CF20" s="92"/>
      <c r="CG20" s="90"/>
      <c r="CH20" s="93"/>
      <c r="CI20" s="94"/>
      <c r="CJ20" s="95"/>
      <c r="CK20" s="96"/>
      <c r="CL20" s="96"/>
      <c r="CM20" s="96"/>
      <c r="CN20" s="97"/>
      <c r="CO20" s="98"/>
      <c r="CP20" s="372" t="s">
        <v>44</v>
      </c>
      <c r="CQ20" s="373"/>
      <c r="CR20" s="373"/>
      <c r="CS20" s="374"/>
      <c r="CT20" s="214"/>
      <c r="CU20" s="400" t="s">
        <v>75</v>
      </c>
      <c r="CV20" s="401"/>
      <c r="CW20" s="289">
        <v>76</v>
      </c>
      <c r="CX20" s="290" t="s">
        <v>156</v>
      </c>
      <c r="CY20" s="291">
        <v>600</v>
      </c>
      <c r="CZ20" s="292"/>
      <c r="DA20" s="292"/>
      <c r="DB20" s="274"/>
      <c r="DC20" s="274"/>
      <c r="DD20" s="274"/>
      <c r="DE20" s="274"/>
      <c r="DF20" s="274"/>
      <c r="DG20" s="274"/>
      <c r="DH20" s="274"/>
      <c r="DI20" s="274"/>
      <c r="DJ20" s="274"/>
      <c r="DK20" s="274"/>
    </row>
    <row r="21" spans="1:131" ht="16.8" x14ac:dyDescent="0.3">
      <c r="B21" s="99" t="s">
        <v>81</v>
      </c>
      <c r="C21" s="398" t="s">
        <v>72</v>
      </c>
      <c r="D21" s="30" t="s">
        <v>76</v>
      </c>
      <c r="E21" s="398" t="s">
        <v>72</v>
      </c>
      <c r="F21" s="31" t="s">
        <v>77</v>
      </c>
      <c r="G21" s="100" t="s">
        <v>84</v>
      </c>
      <c r="H21" s="30" t="str">
        <f>CO21</f>
        <v>Re-Bar</v>
      </c>
      <c r="I21" s="101" t="s">
        <v>98</v>
      </c>
      <c r="J21" s="384" t="s">
        <v>90</v>
      </c>
      <c r="K21" s="385"/>
      <c r="L21" s="384" t="s">
        <v>91</v>
      </c>
      <c r="M21" s="385"/>
      <c r="N21" s="396" t="s">
        <v>85</v>
      </c>
      <c r="O21" s="396"/>
      <c r="P21" s="396" t="s">
        <v>86</v>
      </c>
      <c r="Q21" s="397"/>
      <c r="R21" s="102" t="s">
        <v>61</v>
      </c>
      <c r="S21" s="388" t="s">
        <v>54</v>
      </c>
      <c r="T21" s="389"/>
      <c r="U21" s="389"/>
      <c r="V21" s="389"/>
      <c r="W21" s="389"/>
      <c r="X21" s="389"/>
      <c r="Y21" s="389"/>
      <c r="Z21" s="389"/>
      <c r="AA21" s="389"/>
      <c r="AB21" s="389"/>
      <c r="AC21" s="389"/>
      <c r="AD21" s="389"/>
      <c r="AE21" s="389"/>
      <c r="AF21" s="389"/>
      <c r="AG21" s="389"/>
      <c r="AH21" s="389"/>
      <c r="AI21" s="390"/>
      <c r="AJ21" s="391"/>
      <c r="AK21" s="389"/>
      <c r="AL21" s="389"/>
      <c r="AM21" s="389"/>
      <c r="AN21" s="389"/>
      <c r="AO21" s="389"/>
      <c r="AP21" s="389"/>
      <c r="AQ21" s="389"/>
      <c r="AR21" s="389"/>
      <c r="AS21" s="389"/>
      <c r="AT21" s="389"/>
      <c r="AU21" s="389"/>
      <c r="AV21" s="392"/>
      <c r="AW21" s="104"/>
      <c r="AX21" s="377" t="s">
        <v>55</v>
      </c>
      <c r="AY21" s="393"/>
      <c r="AZ21" s="393"/>
      <c r="BA21" s="393"/>
      <c r="BB21" s="393"/>
      <c r="BC21" s="393"/>
      <c r="BD21" s="378"/>
      <c r="BE21" s="375" t="s">
        <v>18</v>
      </c>
      <c r="BF21" s="393"/>
      <c r="BG21" s="393"/>
      <c r="BH21" s="393"/>
      <c r="BI21" s="393"/>
      <c r="BJ21" s="393"/>
      <c r="BK21" s="376"/>
      <c r="BL21" s="105" t="s">
        <v>33</v>
      </c>
      <c r="BM21" s="100"/>
      <c r="BN21" s="100"/>
      <c r="BO21" s="106"/>
      <c r="BP21" s="107" t="s">
        <v>40</v>
      </c>
      <c r="BQ21" s="100" t="s">
        <v>63</v>
      </c>
      <c r="BR21" s="391" t="s">
        <v>44</v>
      </c>
      <c r="BS21" s="389"/>
      <c r="BT21" s="389"/>
      <c r="BU21" s="389"/>
      <c r="BV21" s="389"/>
      <c r="BW21" s="389"/>
      <c r="BX21" s="390"/>
      <c r="BY21" s="108" t="s">
        <v>64</v>
      </c>
      <c r="BZ21" s="226"/>
      <c r="CA21" s="226" t="s">
        <v>138</v>
      </c>
      <c r="CB21" s="226" t="s">
        <v>140</v>
      </c>
      <c r="CC21" s="226" t="s">
        <v>134</v>
      </c>
      <c r="CD21" s="225" t="s">
        <v>71</v>
      </c>
      <c r="CE21" s="106" t="s">
        <v>4</v>
      </c>
      <c r="CF21" s="379" t="s">
        <v>60</v>
      </c>
      <c r="CG21" s="380"/>
      <c r="CH21" s="381"/>
      <c r="CI21" s="218" t="s">
        <v>81</v>
      </c>
      <c r="CJ21" s="403" t="s">
        <v>72</v>
      </c>
      <c r="CK21" s="30" t="s">
        <v>76</v>
      </c>
      <c r="CL21" s="403" t="s">
        <v>72</v>
      </c>
      <c r="CM21" s="30" t="s">
        <v>77</v>
      </c>
      <c r="CN21" s="111" t="s">
        <v>84</v>
      </c>
      <c r="CO21" s="363" t="s">
        <v>83</v>
      </c>
      <c r="CP21" s="375" t="s">
        <v>88</v>
      </c>
      <c r="CQ21" s="376"/>
      <c r="CR21" s="377" t="s">
        <v>89</v>
      </c>
      <c r="CS21" s="378"/>
      <c r="CT21" s="215" t="s">
        <v>61</v>
      </c>
      <c r="CU21" s="388" t="s">
        <v>74</v>
      </c>
      <c r="CV21" s="402"/>
      <c r="CX21" s="369" t="s">
        <v>103</v>
      </c>
      <c r="CY21" s="369"/>
      <c r="CZ21" s="369"/>
      <c r="DA21" s="369"/>
      <c r="DB21" s="369"/>
      <c r="DC21" s="369"/>
      <c r="DD21" s="369"/>
      <c r="DE21" s="369"/>
      <c r="DF21" s="369"/>
      <c r="DG21" s="369"/>
      <c r="DH21" s="369"/>
      <c r="DI21" s="369"/>
      <c r="DJ21" s="369"/>
      <c r="DK21" s="369"/>
    </row>
    <row r="22" spans="1:131" ht="16.2" x14ac:dyDescent="0.35">
      <c r="B22" s="99" t="s">
        <v>80</v>
      </c>
      <c r="C22" s="399"/>
      <c r="D22" s="30" t="s">
        <v>78</v>
      </c>
      <c r="E22" s="399"/>
      <c r="F22" s="31" t="s">
        <v>78</v>
      </c>
      <c r="G22" s="113"/>
      <c r="H22" s="30" t="s">
        <v>79</v>
      </c>
      <c r="I22" s="114" t="s">
        <v>99</v>
      </c>
      <c r="J22" s="105" t="s">
        <v>11</v>
      </c>
      <c r="K22" s="105" t="s">
        <v>57</v>
      </c>
      <c r="L22" s="31" t="s">
        <v>92</v>
      </c>
      <c r="M22" s="108" t="s">
        <v>93</v>
      </c>
      <c r="N22" s="108" t="s">
        <v>97</v>
      </c>
      <c r="O22" s="219" t="s">
        <v>94</v>
      </c>
      <c r="P22" s="219" t="s">
        <v>95</v>
      </c>
      <c r="Q22" s="123" t="s">
        <v>93</v>
      </c>
      <c r="R22" s="115" t="s">
        <v>62</v>
      </c>
      <c r="S22" s="109"/>
      <c r="T22" s="55" t="s">
        <v>50</v>
      </c>
      <c r="U22" s="31" t="s">
        <v>23</v>
      </c>
      <c r="V22" s="31"/>
      <c r="W22" s="55" t="s">
        <v>20</v>
      </c>
      <c r="X22" s="31" t="s">
        <v>23</v>
      </c>
      <c r="Y22" s="31"/>
      <c r="Z22" s="31" t="s">
        <v>51</v>
      </c>
      <c r="AA22" s="31" t="s">
        <v>23</v>
      </c>
      <c r="AB22" s="31"/>
      <c r="AC22" s="31" t="s">
        <v>110</v>
      </c>
      <c r="AD22" s="31" t="s">
        <v>23</v>
      </c>
      <c r="AE22" s="31"/>
      <c r="AF22" s="31" t="s">
        <v>111</v>
      </c>
      <c r="AG22" s="31" t="s">
        <v>23</v>
      </c>
      <c r="AH22" s="31"/>
      <c r="AI22" s="116" t="s">
        <v>112</v>
      </c>
      <c r="AJ22" s="31" t="s">
        <v>21</v>
      </c>
      <c r="AK22" s="31" t="s">
        <v>23</v>
      </c>
      <c r="AL22" s="31" t="s">
        <v>52</v>
      </c>
      <c r="AM22" s="31" t="s">
        <v>23</v>
      </c>
      <c r="AN22" s="31" t="s">
        <v>53</v>
      </c>
      <c r="AO22" s="31" t="s">
        <v>23</v>
      </c>
      <c r="AP22" s="31" t="s">
        <v>113</v>
      </c>
      <c r="AQ22" s="31" t="s">
        <v>23</v>
      </c>
      <c r="AR22" s="31" t="s">
        <v>114</v>
      </c>
      <c r="AS22" s="31" t="s">
        <v>23</v>
      </c>
      <c r="AT22" s="31" t="s">
        <v>115</v>
      </c>
      <c r="AU22" s="18" t="s">
        <v>24</v>
      </c>
      <c r="AV22" s="110" t="s">
        <v>25</v>
      </c>
      <c r="AW22" s="117" t="s">
        <v>65</v>
      </c>
      <c r="AX22" s="31" t="s">
        <v>21</v>
      </c>
      <c r="AY22" s="31" t="s">
        <v>23</v>
      </c>
      <c r="AZ22" s="31" t="s">
        <v>52</v>
      </c>
      <c r="BA22" s="31" t="s">
        <v>23</v>
      </c>
      <c r="BB22" s="31" t="s">
        <v>53</v>
      </c>
      <c r="BC22" s="18" t="s">
        <v>24</v>
      </c>
      <c r="BD22" s="118" t="s">
        <v>25</v>
      </c>
      <c r="BE22" s="119" t="s">
        <v>30</v>
      </c>
      <c r="BF22" s="105" t="s">
        <v>31</v>
      </c>
      <c r="BG22" s="100" t="s">
        <v>32</v>
      </c>
      <c r="BH22" s="100" t="s">
        <v>116</v>
      </c>
      <c r="BI22" s="100" t="s">
        <v>117</v>
      </c>
      <c r="BJ22" s="100" t="s">
        <v>118</v>
      </c>
      <c r="BK22" s="108" t="s">
        <v>0</v>
      </c>
      <c r="BL22" s="105" t="s">
        <v>34</v>
      </c>
      <c r="BM22" s="100" t="s">
        <v>2</v>
      </c>
      <c r="BN22" s="100" t="s">
        <v>3</v>
      </c>
      <c r="BO22" s="106" t="s">
        <v>56</v>
      </c>
      <c r="BP22" s="107" t="s">
        <v>35</v>
      </c>
      <c r="BQ22" s="100" t="s">
        <v>42</v>
      </c>
      <c r="BR22" s="100" t="s">
        <v>45</v>
      </c>
      <c r="BS22" s="100" t="s">
        <v>46</v>
      </c>
      <c r="BT22" s="100" t="s">
        <v>47</v>
      </c>
      <c r="BU22" s="100" t="s">
        <v>48</v>
      </c>
      <c r="BV22" s="100" t="s">
        <v>119</v>
      </c>
      <c r="BW22" s="100" t="s">
        <v>120</v>
      </c>
      <c r="BX22" s="100" t="s">
        <v>121</v>
      </c>
      <c r="BY22" s="100" t="s">
        <v>1</v>
      </c>
      <c r="BZ22" s="224"/>
      <c r="CA22" s="224" t="s">
        <v>139</v>
      </c>
      <c r="CB22" s="224" t="s">
        <v>137</v>
      </c>
      <c r="CC22" s="224" t="s">
        <v>135</v>
      </c>
      <c r="CD22" s="367" t="s">
        <v>133</v>
      </c>
      <c r="CE22" s="106" t="s">
        <v>5</v>
      </c>
      <c r="CF22" s="109"/>
      <c r="CG22" s="18"/>
      <c r="CH22" s="120"/>
      <c r="CI22" s="218" t="s">
        <v>80</v>
      </c>
      <c r="CJ22" s="404"/>
      <c r="CK22" s="30" t="s">
        <v>78</v>
      </c>
      <c r="CL22" s="404"/>
      <c r="CM22" s="30" t="s">
        <v>78</v>
      </c>
      <c r="CN22" s="121">
        <v>0</v>
      </c>
      <c r="CO22" s="363" t="s">
        <v>82</v>
      </c>
      <c r="CP22" s="30" t="s">
        <v>58</v>
      </c>
      <c r="CQ22" s="122" t="s">
        <v>59</v>
      </c>
      <c r="CR22" s="30" t="s">
        <v>58</v>
      </c>
      <c r="CS22" s="122" t="s">
        <v>59</v>
      </c>
      <c r="CT22" s="115" t="s">
        <v>62</v>
      </c>
      <c r="CU22" s="119" t="s">
        <v>76</v>
      </c>
      <c r="CV22" s="123" t="s">
        <v>77</v>
      </c>
      <c r="CW22" s="41"/>
      <c r="CX22" s="275"/>
      <c r="CY22" s="281"/>
      <c r="CZ22" s="193"/>
      <c r="DA22" s="193"/>
      <c r="DB22" s="193"/>
      <c r="DC22" s="193"/>
      <c r="DD22" s="193"/>
      <c r="DE22" s="193"/>
      <c r="DF22" s="193"/>
      <c r="DG22" s="193"/>
      <c r="DH22" s="193"/>
      <c r="DI22" s="193"/>
      <c r="DJ22" s="211"/>
      <c r="DK22" s="194"/>
      <c r="DL22" s="194"/>
      <c r="DM22" s="195"/>
      <c r="DN22" s="196"/>
    </row>
    <row r="23" spans="1:131" ht="16.5" customHeight="1" x14ac:dyDescent="0.25">
      <c r="B23" s="124"/>
      <c r="C23" s="103"/>
      <c r="D23" s="125"/>
      <c r="E23" s="103"/>
      <c r="F23" s="103"/>
      <c r="G23" s="126"/>
      <c r="H23" s="127"/>
      <c r="I23" s="128" t="s">
        <v>12</v>
      </c>
      <c r="J23" s="128" t="s">
        <v>12</v>
      </c>
      <c r="K23" s="128" t="s">
        <v>41</v>
      </c>
      <c r="L23" s="128" t="s">
        <v>12</v>
      </c>
      <c r="M23" s="128" t="s">
        <v>41</v>
      </c>
      <c r="N23" s="140" t="s">
        <v>12</v>
      </c>
      <c r="O23" s="128" t="s">
        <v>41</v>
      </c>
      <c r="P23" s="128" t="s">
        <v>12</v>
      </c>
      <c r="Q23" s="143" t="s">
        <v>41</v>
      </c>
      <c r="R23" s="130" t="s">
        <v>17</v>
      </c>
      <c r="S23" s="131"/>
      <c r="T23" s="132" t="s">
        <v>17</v>
      </c>
      <c r="U23" s="133"/>
      <c r="V23" s="133"/>
      <c r="W23" s="132" t="s">
        <v>17</v>
      </c>
      <c r="X23" s="133"/>
      <c r="Y23" s="133"/>
      <c r="Z23" s="132" t="s">
        <v>17</v>
      </c>
      <c r="AA23" s="133"/>
      <c r="AB23" s="133"/>
      <c r="AC23" s="132" t="s">
        <v>17</v>
      </c>
      <c r="AD23" s="133"/>
      <c r="AE23" s="133"/>
      <c r="AF23" s="132" t="s">
        <v>17</v>
      </c>
      <c r="AG23" s="133"/>
      <c r="AH23" s="133"/>
      <c r="AI23" s="134" t="s">
        <v>17</v>
      </c>
      <c r="AJ23" s="133" t="s">
        <v>22</v>
      </c>
      <c r="AK23" s="133"/>
      <c r="AL23" s="133" t="s">
        <v>22</v>
      </c>
      <c r="AM23" s="133"/>
      <c r="AN23" s="133" t="s">
        <v>22</v>
      </c>
      <c r="AO23" s="133"/>
      <c r="AP23" s="133" t="s">
        <v>22</v>
      </c>
      <c r="AQ23" s="133"/>
      <c r="AR23" s="133" t="s">
        <v>22</v>
      </c>
      <c r="AS23" s="133"/>
      <c r="AT23" s="133" t="s">
        <v>22</v>
      </c>
      <c r="AU23" s="133"/>
      <c r="AV23" s="135" t="s">
        <v>22</v>
      </c>
      <c r="AW23" s="136"/>
      <c r="AX23" s="137" t="s">
        <v>22</v>
      </c>
      <c r="AY23" s="137"/>
      <c r="AZ23" s="137" t="s">
        <v>22</v>
      </c>
      <c r="BA23" s="137"/>
      <c r="BB23" s="137" t="s">
        <v>22</v>
      </c>
      <c r="BC23" s="103"/>
      <c r="BD23" s="138" t="s">
        <v>22</v>
      </c>
      <c r="BE23" s="139" t="s">
        <v>17</v>
      </c>
      <c r="BF23" s="128" t="s">
        <v>17</v>
      </c>
      <c r="BG23" s="140" t="s">
        <v>17</v>
      </c>
      <c r="BH23" s="140" t="s">
        <v>17</v>
      </c>
      <c r="BI23" s="140" t="s">
        <v>17</v>
      </c>
      <c r="BJ23" s="140" t="s">
        <v>17</v>
      </c>
      <c r="BK23" s="140" t="s">
        <v>17</v>
      </c>
      <c r="BL23" s="141"/>
      <c r="BM23" s="142"/>
      <c r="BN23" s="142"/>
      <c r="BO23" s="143" t="s">
        <v>22</v>
      </c>
      <c r="BP23" s="139" t="s">
        <v>17</v>
      </c>
      <c r="BQ23" s="144" t="s">
        <v>43</v>
      </c>
      <c r="BR23" s="140" t="s">
        <v>41</v>
      </c>
      <c r="BS23" s="128" t="s">
        <v>41</v>
      </c>
      <c r="BT23" s="140" t="s">
        <v>41</v>
      </c>
      <c r="BU23" s="140" t="s">
        <v>41</v>
      </c>
      <c r="BV23" s="140" t="s">
        <v>41</v>
      </c>
      <c r="BW23" s="140" t="s">
        <v>41</v>
      </c>
      <c r="BX23" s="140" t="s">
        <v>41</v>
      </c>
      <c r="BY23" s="144" t="s">
        <v>49</v>
      </c>
      <c r="BZ23" s="140"/>
      <c r="CA23" s="222" t="s">
        <v>43</v>
      </c>
      <c r="CB23" s="140"/>
      <c r="CC23" s="227" t="s">
        <v>17</v>
      </c>
      <c r="CD23" s="368"/>
      <c r="CE23" s="143" t="s">
        <v>17</v>
      </c>
      <c r="CF23" s="145"/>
      <c r="CG23" s="137"/>
      <c r="CH23" s="138"/>
      <c r="CI23" s="125"/>
      <c r="CJ23" s="103"/>
      <c r="CK23" s="146"/>
      <c r="CL23" s="146"/>
      <c r="CM23" s="146"/>
      <c r="CN23" s="147"/>
      <c r="CO23" s="148"/>
      <c r="CP23" s="149" t="s">
        <v>12</v>
      </c>
      <c r="CQ23" s="150" t="s">
        <v>41</v>
      </c>
      <c r="CR23" s="151" t="s">
        <v>12</v>
      </c>
      <c r="CS23" s="152" t="s">
        <v>41</v>
      </c>
      <c r="CT23" s="216" t="s">
        <v>17</v>
      </c>
      <c r="CU23" s="153"/>
      <c r="CV23" s="154"/>
      <c r="CW23" s="41"/>
      <c r="CX23" s="276" t="s">
        <v>104</v>
      </c>
      <c r="CY23" s="370" t="s">
        <v>105</v>
      </c>
      <c r="CZ23" s="370"/>
      <c r="DA23" s="370"/>
      <c r="DB23" s="370"/>
      <c r="DC23" s="370"/>
      <c r="DD23" s="370"/>
      <c r="DE23" s="198"/>
      <c r="DF23" s="371" t="s">
        <v>106</v>
      </c>
      <c r="DG23" s="371"/>
      <c r="DH23" s="371"/>
      <c r="DI23" s="371"/>
      <c r="DJ23" s="371"/>
      <c r="DK23" s="371"/>
      <c r="DL23" s="200"/>
      <c r="DM23" s="197" t="s">
        <v>104</v>
      </c>
      <c r="DN23" s="201" t="s">
        <v>105</v>
      </c>
      <c r="DO23" s="200"/>
      <c r="DP23" s="200"/>
      <c r="DQ23" s="200"/>
      <c r="DR23" s="200"/>
      <c r="DS23" s="200"/>
      <c r="DT23" s="198"/>
      <c r="DU23" s="199" t="s">
        <v>106</v>
      </c>
      <c r="DV23" s="200"/>
      <c r="DW23" s="200"/>
      <c r="DX23" s="200"/>
      <c r="DY23" s="200"/>
      <c r="DZ23" s="200"/>
    </row>
    <row r="24" spans="1:131" s="7" customFormat="1" ht="13.8" x14ac:dyDescent="0.25">
      <c r="B24" s="297" t="s">
        <v>161</v>
      </c>
      <c r="C24" s="5"/>
      <c r="D24" s="5"/>
      <c r="E24" s="5"/>
      <c r="F24" s="5"/>
      <c r="G24" s="155"/>
      <c r="H24" s="5"/>
      <c r="I24" s="156"/>
      <c r="J24" s="9"/>
      <c r="K24" s="10"/>
      <c r="L24" s="9"/>
      <c r="M24" s="10"/>
      <c r="N24" s="11"/>
      <c r="O24" s="11"/>
      <c r="P24" s="14"/>
      <c r="Q24" s="1"/>
      <c r="R24" s="16"/>
      <c r="S24" s="157"/>
      <c r="T24" s="12"/>
      <c r="U24" s="34"/>
      <c r="V24" s="158"/>
      <c r="W24" s="12"/>
      <c r="X24" s="34"/>
      <c r="Y24" s="158"/>
      <c r="Z24" s="158"/>
      <c r="AA24" s="158"/>
      <c r="AB24" s="158"/>
      <c r="AC24" s="158"/>
      <c r="AD24" s="158"/>
      <c r="AE24" s="158"/>
      <c r="AF24" s="158"/>
      <c r="AG24" s="158"/>
      <c r="AH24" s="158"/>
      <c r="AI24" s="29"/>
      <c r="AJ24" s="5"/>
      <c r="AK24" s="34"/>
      <c r="AL24" s="5"/>
      <c r="AM24" s="34"/>
      <c r="AN24" s="5"/>
      <c r="AO24" s="5"/>
      <c r="AP24" s="5"/>
      <c r="AQ24" s="5"/>
      <c r="AR24" s="5"/>
      <c r="AS24" s="5"/>
      <c r="AT24" s="5"/>
      <c r="AU24" s="34"/>
      <c r="AV24" s="159"/>
      <c r="AW24" s="160"/>
      <c r="AX24" s="5"/>
      <c r="AY24" s="5"/>
      <c r="AZ24" s="5"/>
      <c r="BA24" s="24"/>
      <c r="BB24" s="24"/>
      <c r="BC24" s="34"/>
      <c r="BD24" s="159"/>
      <c r="BE24" s="161"/>
      <c r="BF24" s="1"/>
      <c r="BG24" s="1"/>
      <c r="BH24" s="3"/>
      <c r="BI24" s="3"/>
      <c r="BJ24" s="3"/>
      <c r="BK24" s="5"/>
      <c r="BL24" s="162"/>
      <c r="BM24" s="162"/>
      <c r="BN24" s="17"/>
      <c r="BO24" s="159"/>
      <c r="BP24" s="4"/>
      <c r="BQ24" s="162"/>
      <c r="BR24" s="1"/>
      <c r="BS24" s="1"/>
      <c r="BT24" s="1"/>
      <c r="BU24" s="1"/>
      <c r="BV24" s="1"/>
      <c r="BW24" s="1"/>
      <c r="BX24" s="1"/>
      <c r="BY24" s="162"/>
      <c r="BZ24" s="11"/>
      <c r="CA24" s="163"/>
      <c r="CB24" s="164"/>
      <c r="CC24" s="164"/>
      <c r="CD24" s="164"/>
      <c r="CE24" s="165"/>
      <c r="CF24" s="157"/>
      <c r="CG24" s="34"/>
      <c r="CH24" s="129"/>
      <c r="CI24" s="166" t="s">
        <v>102</v>
      </c>
      <c r="CJ24" s="167"/>
      <c r="CK24" s="168"/>
      <c r="CL24" s="168"/>
      <c r="CM24" s="168"/>
      <c r="CN24" s="169"/>
      <c r="CO24" s="364"/>
      <c r="CP24" s="2"/>
      <c r="CQ24" s="6"/>
      <c r="CR24" s="171"/>
      <c r="CS24" s="15"/>
      <c r="CT24" s="217"/>
      <c r="CU24" s="172"/>
      <c r="CV24" s="173"/>
      <c r="CW24" s="6"/>
      <c r="CX24" s="277"/>
      <c r="CY24" s="206" t="s">
        <v>107</v>
      </c>
      <c r="CZ24" s="203" t="s">
        <v>108</v>
      </c>
      <c r="DA24" s="203" t="s">
        <v>109</v>
      </c>
      <c r="DB24" s="203" t="s">
        <v>128</v>
      </c>
      <c r="DC24" s="203" t="s">
        <v>129</v>
      </c>
      <c r="DD24" s="203" t="s">
        <v>130</v>
      </c>
      <c r="DE24" s="204"/>
      <c r="DF24" s="205" t="s">
        <v>107</v>
      </c>
      <c r="DG24" s="203" t="s">
        <v>108</v>
      </c>
      <c r="DH24" s="203" t="s">
        <v>109</v>
      </c>
      <c r="DI24" s="203" t="s">
        <v>128</v>
      </c>
      <c r="DJ24" s="203" t="s">
        <v>129</v>
      </c>
      <c r="DK24" s="203" t="s">
        <v>130</v>
      </c>
      <c r="DL24" s="203"/>
      <c r="DM24" s="202"/>
      <c r="DN24" s="205" t="s">
        <v>107</v>
      </c>
      <c r="DO24" s="203" t="s">
        <v>108</v>
      </c>
      <c r="DP24" s="203" t="s">
        <v>109</v>
      </c>
      <c r="DQ24" s="203" t="s">
        <v>128</v>
      </c>
      <c r="DR24" s="203" t="s">
        <v>129</v>
      </c>
      <c r="DS24" s="203" t="s">
        <v>130</v>
      </c>
      <c r="DT24" s="204"/>
      <c r="DU24" s="205" t="s">
        <v>107</v>
      </c>
      <c r="DV24" s="203" t="s">
        <v>108</v>
      </c>
      <c r="DW24" s="203" t="s">
        <v>109</v>
      </c>
      <c r="DX24" s="203" t="s">
        <v>128</v>
      </c>
      <c r="DY24" s="203" t="s">
        <v>129</v>
      </c>
      <c r="DZ24" s="203" t="s">
        <v>130</v>
      </c>
      <c r="EA24" s="185"/>
    </row>
    <row r="25" spans="1:131" s="7" customFormat="1" ht="13.8" x14ac:dyDescent="0.25">
      <c r="A25" s="7" t="s">
        <v>141</v>
      </c>
      <c r="B25" s="19">
        <f>+CI25</f>
        <v>76</v>
      </c>
      <c r="C25" s="6">
        <f t="shared" ref="C25:E28" si="0">CJ25</f>
        <v>0</v>
      </c>
      <c r="D25" s="6">
        <f t="shared" si="0"/>
        <v>103</v>
      </c>
      <c r="E25" s="6" t="str">
        <f t="shared" si="0"/>
        <v>--</v>
      </c>
      <c r="F25" s="6">
        <f>+CM25</f>
        <v>203</v>
      </c>
      <c r="G25" s="174" t="str">
        <f t="shared" ref="G25:H28" si="1">CN25</f>
        <v>Max Mz</v>
      </c>
      <c r="H25" s="6" t="str">
        <f>CO25</f>
        <v>External</v>
      </c>
      <c r="I25" s="156"/>
      <c r="J25" s="10">
        <f t="shared" ref="J25:M28" si="2">(CP25)</f>
        <v>-1175.6382584531993</v>
      </c>
      <c r="K25" s="10">
        <f t="shared" si="2"/>
        <v>-2243.7092913645042</v>
      </c>
      <c r="L25" s="10">
        <f t="shared" si="2"/>
        <v>-863.17150809225461</v>
      </c>
      <c r="M25" s="10">
        <f t="shared" si="2"/>
        <v>-1644.13268371349</v>
      </c>
      <c r="N25" s="10">
        <f>IF(I25*J25&gt;=0,J25*$J$19+I25*$J$18,J25)</f>
        <v>-1175.6382584531993</v>
      </c>
      <c r="O25" s="10">
        <f>(K25)*$J$19</f>
        <v>-2243.7092913645042</v>
      </c>
      <c r="P25" s="14">
        <f>IF(I25*L25&gt;=0,(L25)+I25,L25)</f>
        <v>-863.17150809225461</v>
      </c>
      <c r="Q25" s="3">
        <f>(M25)</f>
        <v>-1644.13268371349</v>
      </c>
      <c r="R25" s="20">
        <f>CT25</f>
        <v>1000</v>
      </c>
      <c r="S25" s="23"/>
      <c r="T25" s="12">
        <v>40</v>
      </c>
      <c r="U25" s="28"/>
      <c r="V25" s="28"/>
      <c r="W25" s="12">
        <v>40</v>
      </c>
      <c r="X25" s="28"/>
      <c r="Y25" s="28"/>
      <c r="Z25" s="12">
        <v>40</v>
      </c>
      <c r="AA25" s="28"/>
      <c r="AB25" s="28"/>
      <c r="AC25" s="158"/>
      <c r="AD25" s="28"/>
      <c r="AE25" s="28"/>
      <c r="AF25" s="158"/>
      <c r="AG25" s="28"/>
      <c r="AH25" s="28"/>
      <c r="AI25" s="29"/>
      <c r="AJ25" s="6">
        <f>PI()/4*T25^2*$O$12/$AX$16</f>
        <v>8377.5804095727817</v>
      </c>
      <c r="AK25" s="28" t="str">
        <f>IF(W25=0,"","+")</f>
        <v>+</v>
      </c>
      <c r="AL25" s="6">
        <f>PI()/4*W25^2*$O$12/$AX$16</f>
        <v>8377.5804095727817</v>
      </c>
      <c r="AM25" s="28" t="str">
        <f>IF(Z25=0,"","+")</f>
        <v>+</v>
      </c>
      <c r="AN25" s="6">
        <f>PI()/4*Z25^2*$O$12/$AX$16</f>
        <v>8377.5804095727817</v>
      </c>
      <c r="AO25" s="28" t="str">
        <f>IF(AC25=0,"","+")</f>
        <v/>
      </c>
      <c r="AP25" s="6">
        <f>PI()/4*AC25^2*$O$12/$AX$16</f>
        <v>0</v>
      </c>
      <c r="AQ25" s="28" t="str">
        <f>IF(AF25=0,"","+")</f>
        <v/>
      </c>
      <c r="AR25" s="6">
        <f>PI()/4*AF25^2*$O$12/$AX$16</f>
        <v>0</v>
      </c>
      <c r="AS25" s="28" t="str">
        <f>IF(AI25=0,"","+")</f>
        <v/>
      </c>
      <c r="AT25" s="6">
        <f>PI()/4*AI25^2*$O$12/$AX$16</f>
        <v>0</v>
      </c>
      <c r="AU25" s="28" t="s">
        <v>24</v>
      </c>
      <c r="AV25" s="15">
        <f>VALUE(AJ25)+VALUE(AL25)+VALUE(AN25)+VALUE(AP25)+VALUE(AR25)+VALUE(AT25)</f>
        <v>25132.741228718347</v>
      </c>
      <c r="AW25" s="228">
        <f>MAX(0.3*$AJ$14^(2/3)/$AJ$16*0.26*100,0.13)</f>
        <v>0.15723814702688016</v>
      </c>
      <c r="AX25" s="6">
        <f>AW25/100*$O$12*BK25</f>
        <v>1284.6356612096108</v>
      </c>
      <c r="AY25" s="6"/>
      <c r="AZ25" s="6"/>
      <c r="BA25" s="24" t="str">
        <f>IF(BB25=0,"","+")</f>
        <v/>
      </c>
      <c r="BB25" s="24"/>
      <c r="BC25" s="28" t="s">
        <v>24</v>
      </c>
      <c r="BD25" s="15">
        <f>AX25+AZ25+BB25</f>
        <v>1284.6356612096108</v>
      </c>
      <c r="BE25" s="2">
        <f>(R25-($AX$14+$O$16+T25/2))</f>
        <v>897</v>
      </c>
      <c r="BF25" s="3">
        <f>IF(W25=0,0,(R25-($AX$14+T25/2+$O$16+$BI$16)))</f>
        <v>817</v>
      </c>
      <c r="BG25" s="3">
        <f>IF(Z25=0,0,(R25-($AX$14+T25/2+$BI$16+$O$16+$BI$17)))</f>
        <v>737</v>
      </c>
      <c r="BH25" s="3">
        <f>IF(AC25=0,0,(R25-($AX$14+T25/2+$O$16+$BI$16+$BI$17+$BI$18)))</f>
        <v>0</v>
      </c>
      <c r="BI25" s="3">
        <f>IF(AF25=0,0,(R25-($AX$14+T25/2+$O$16+$BI$16+$BI$17+$BI$18+$BL$16)))</f>
        <v>0</v>
      </c>
      <c r="BJ25" s="3">
        <f>IF(AI25=0,0,(R25-($AX$14+T25/2+$O$16+$BI$16+$BI$17+$BI$18+$BL$16+$BL$17)))</f>
        <v>0</v>
      </c>
      <c r="BK25" s="6">
        <f>(BE25*AJ25+BF25*AL25+BG25*AN25+BH25*AP25+BI25*AR25+BJ25*AT25)/AV25</f>
        <v>816.99999999999989</v>
      </c>
      <c r="BL25" s="175">
        <f>ABS(N25)*1000000/$O$12/BK25^2</f>
        <v>1.7612848428261736</v>
      </c>
      <c r="BM25" s="175">
        <f>BL25/$AJ$14</f>
        <v>5.5040151338317925E-2</v>
      </c>
      <c r="BN25" s="21">
        <f>IF(BM25&lt;0.167,0.5+SQRT(0.25-(BM25/1.134)),0.82)</f>
        <v>0.94884709127036937</v>
      </c>
      <c r="BO25" s="15">
        <f>ABS(N25)/(0.87*$AJ$16*BN25*BK25)*10^6</f>
        <v>3486.3113249846947</v>
      </c>
      <c r="BP25" s="22">
        <v>322.47511313005657</v>
      </c>
      <c r="BQ25" s="175">
        <f>IF(Q25=0,2*ABS(P25*10^6)/$O$12/BP25/(BK25-BP25/3),Q25*BP25*1000/($O$12/2*BP25^2-(BE25-BP25)*AJ25*$AJ$18-(BF25-BP25)*AL25*$AJ$18-(BG25-BP25)*AN25*$AJ$18-(BH25-BP25)*AP25*$AJ$18-(BI25-BP25)*AR25*$AJ$18-(BJ25-BP25)*AT25*$AJ$18))</f>
        <v>3.5517592127058348</v>
      </c>
      <c r="BR25" s="3">
        <f>0.5*$O$12*BP25*BQ25 /1000</f>
        <v>572.6769769640174</v>
      </c>
      <c r="BS25" s="3">
        <f>($BQ25/$BP25)*(BE25-$BP25)*$AJ$18*AJ25/1000</f>
        <v>858.4753793175588</v>
      </c>
      <c r="BT25" s="3">
        <f>($BQ25/$BP25)*(BF25-$BP25)*$AJ$18*AL25/1000</f>
        <v>738.93655355916917</v>
      </c>
      <c r="BU25" s="3">
        <f>($BQ25/$BP25)*(BG25-$BP25)*$AJ$18*AN25/1000</f>
        <v>619.39772780077942</v>
      </c>
      <c r="BV25" s="3">
        <f>($BQ25/$BP25)*(BH25-$BP25)*$AJ$18*AP25/1000</f>
        <v>0</v>
      </c>
      <c r="BW25" s="3">
        <f>($BQ25/$BP25)*(BI25-$BP25)*$AJ$18*AR25/1000</f>
        <v>0</v>
      </c>
      <c r="BX25" s="3">
        <f>($BQ25/$BP25)*(BJ25-$BP25)*$AJ$18*AT25/1000</f>
        <v>0</v>
      </c>
      <c r="BY25" s="175">
        <f>IF(Q25=0,0,(0.5*$O$12*BP25*BQ25/1000*(R25/2-$BP25/3)+BS25*(BE25-R25/2)+BT25*(BF25-R25/2)+BU25*(BG25-R25/2)+BV25*(BH25-R25/2)+BW25*(BI25-R25/2)+BX25*(BJ25-R25/2))/1000-ABS(P25))</f>
        <v>83.463830634716146</v>
      </c>
      <c r="BZ25" s="10"/>
      <c r="CA25" s="176">
        <f>ABS(P25)/(BK25-BP25/3)/AV25*10^6-Q25*(R25/2-BP25/3)/(BK25-BP25/3)/AV25*1000</f>
        <v>84.5960445839589</v>
      </c>
      <c r="CB25" s="177">
        <f>(AV25/($O$12*MIN(2.5*(R25-BK25),(R25-BP25)/3,R25/2)-AV25))</f>
        <v>0.12521987199085563</v>
      </c>
      <c r="CC25" s="177">
        <f>3.4*($O$16+$AX$14)+0.425*0.8*0.5*(T25^2+W25^2+Z25^2+AC25^2+AF25^2+AI25^2)/(T25+W25+Z25+AC25+AF25+AI25)/CB25</f>
        <v>336.50447972743956</v>
      </c>
      <c r="CD25" s="177">
        <f>MAX(0.6*CA25/$AJ$17,(CA25-0.4*0.3*$AJ$14^(2/3)/CB25*(1+$AJ$17/$AJ$15*CB25))/$AJ$17)</f>
        <v>0.27674926855280491</v>
      </c>
      <c r="CE25" s="178">
        <f>CC25*CD25/1000</f>
        <v>9.3127368629311064E-2</v>
      </c>
      <c r="CF25" s="23" t="str">
        <f>IF(AND(AV25&gt;=BD25,AV25&gt;=BO25,CE25&lt;=(+IF(CO25="External",0.25,0.3))),"O.K", "Not O.K")</f>
        <v>O.K</v>
      </c>
      <c r="CG25" s="28"/>
      <c r="CH25" s="179" t="str">
        <f>IF(O25&lt;0.2*$AJ$14*R25*$O$12/1000,"N &lt; 0.2fckAc - OK!","TBA")</f>
        <v>N &lt; 0.2fckAc - OK!</v>
      </c>
      <c r="CI25" s="24">
        <v>76</v>
      </c>
      <c r="CJ25" s="25"/>
      <c r="CK25" s="6">
        <f>CU25</f>
        <v>103</v>
      </c>
      <c r="CL25" s="8" t="s">
        <v>72</v>
      </c>
      <c r="CM25" s="6">
        <f>CV25</f>
        <v>203</v>
      </c>
      <c r="CN25" s="26" t="s">
        <v>147</v>
      </c>
      <c r="CO25" s="15" t="str">
        <f>IF(VLOOKUP(CI25,'Summary-input'!A:C,3,0)="Outward",
IF(CP25&lt;0,"External","Internal"),
IF(CP25&lt;0,"Internal","External")
)</f>
        <v>External</v>
      </c>
      <c r="CP25">
        <f>VLOOKUP(CI25&amp;CN25,'Summary-output-ULS'!A:G,6,0)</f>
        <v>-1175.6382584531993</v>
      </c>
      <c r="CQ25">
        <f>VLOOKUP(CI25&amp;CN25,'Summary-output-ULS'!A:G,7,0)</f>
        <v>-2243.7092913645042</v>
      </c>
      <c r="CR25" s="3">
        <f>VLOOKUP(CI25&amp;CN25,'Summary-output-SLS'!A:G,6,0)</f>
        <v>-863.17150809225461</v>
      </c>
      <c r="CS25" s="3">
        <f>VLOOKUP(CI25&amp;CN25,'Summary-output-SLS'!A:G,7,0)</f>
        <v>-1644.13268371349</v>
      </c>
      <c r="CT25" s="20">
        <v>1000</v>
      </c>
      <c r="CU25" s="2">
        <f>VLOOKUP(CI25&amp;CN25,'Summary-output-ULS'!A:G,5,0)</f>
        <v>103</v>
      </c>
      <c r="CV25" s="15">
        <f>VLOOKUP(CI25&amp;CN25,'Summary-output-SLS'!A:G,5,0)</f>
        <v>203</v>
      </c>
      <c r="CW25" s="6"/>
      <c r="CX25" s="278">
        <f>CI25</f>
        <v>76</v>
      </c>
      <c r="CY25" s="6">
        <f t="shared" ref="CY25:DD25" si="3">MAX(DN25:DN28)</f>
        <v>40</v>
      </c>
      <c r="CZ25" s="6">
        <f t="shared" si="3"/>
        <v>40</v>
      </c>
      <c r="DA25" s="6">
        <f t="shared" si="3"/>
        <v>40</v>
      </c>
      <c r="DB25" s="6">
        <f t="shared" si="3"/>
        <v>0</v>
      </c>
      <c r="DC25" s="6">
        <f t="shared" si="3"/>
        <v>0</v>
      </c>
      <c r="DD25" s="6">
        <f t="shared" si="3"/>
        <v>0</v>
      </c>
      <c r="DE25" s="6"/>
      <c r="DF25" s="6">
        <f t="shared" ref="DF25:DK25" si="4">MAX(DU25:DU28)</f>
        <v>0</v>
      </c>
      <c r="DG25" s="6">
        <f t="shared" si="4"/>
        <v>0</v>
      </c>
      <c r="DH25" s="6">
        <f t="shared" si="4"/>
        <v>0</v>
      </c>
      <c r="DI25" s="6">
        <f t="shared" si="4"/>
        <v>0</v>
      </c>
      <c r="DJ25" s="6">
        <f t="shared" si="4"/>
        <v>0</v>
      </c>
      <c r="DK25" s="6">
        <f t="shared" si="4"/>
        <v>0</v>
      </c>
      <c r="DL25" s="13"/>
      <c r="DM25" s="202">
        <f>CI25</f>
        <v>76</v>
      </c>
      <c r="DN25" s="206">
        <f>IF(CO25="external",T25,0)</f>
        <v>40</v>
      </c>
      <c r="DO25" s="206">
        <f>IF(CO25="external",W25,0)</f>
        <v>40</v>
      </c>
      <c r="DP25" s="206">
        <f>IF(CO25="external",Z25,0)</f>
        <v>40</v>
      </c>
      <c r="DQ25" s="206">
        <f>IF(CO25="external",AC25,0)</f>
        <v>0</v>
      </c>
      <c r="DR25" s="206">
        <f>IF(CO25="external",AF25,0)</f>
        <v>0</v>
      </c>
      <c r="DS25" s="207">
        <f>IF(CO25="external",AI25,0)</f>
        <v>0</v>
      </c>
      <c r="DT25" s="208"/>
      <c r="DU25" s="207">
        <f>IF(CO25="internal",T25,0)</f>
        <v>0</v>
      </c>
      <c r="DV25" s="207">
        <f>IF(CO25="internal",W25,0)</f>
        <v>0</v>
      </c>
      <c r="DW25" s="207">
        <f>IF(CO25="internal",Z25,0)</f>
        <v>0</v>
      </c>
      <c r="DX25" s="207">
        <f>IF(CO25="internal",AC25,0)</f>
        <v>0</v>
      </c>
      <c r="DY25" s="207">
        <f>IF(CO25="internal",AF25,0)</f>
        <v>0</v>
      </c>
      <c r="DZ25" s="207">
        <f>IF(CO25="internal",AI25,0)</f>
        <v>0</v>
      </c>
    </row>
    <row r="26" spans="1:131" s="7" customFormat="1" x14ac:dyDescent="0.3">
      <c r="B26" s="19">
        <f>+CI26</f>
        <v>76</v>
      </c>
      <c r="C26" s="6">
        <f t="shared" si="0"/>
        <v>0</v>
      </c>
      <c r="D26" s="6">
        <f t="shared" si="0"/>
        <v>106</v>
      </c>
      <c r="E26" s="6" t="str">
        <f t="shared" si="0"/>
        <v>--</v>
      </c>
      <c r="F26" s="6">
        <f>+CM26</f>
        <v>206</v>
      </c>
      <c r="G26" s="174" t="str">
        <f t="shared" si="1"/>
        <v>Min Mz</v>
      </c>
      <c r="H26" s="6" t="str">
        <f t="shared" si="1"/>
        <v>External</v>
      </c>
      <c r="I26" s="156"/>
      <c r="J26" s="10">
        <f t="shared" si="2"/>
        <v>-138.20740870697787</v>
      </c>
      <c r="K26" s="10">
        <f t="shared" si="2"/>
        <v>-1214.7289081537367</v>
      </c>
      <c r="L26" s="10">
        <f t="shared" si="2"/>
        <v>-94.340196223663071</v>
      </c>
      <c r="M26" s="10">
        <f t="shared" si="2"/>
        <v>-1285.0530483491109</v>
      </c>
      <c r="N26" s="10">
        <f>IF(I26*J26&gt;=0,J26*$J$19+I26*$J$18,J26)</f>
        <v>-138.20740870697787</v>
      </c>
      <c r="O26" s="10">
        <f>(K26)*$J$19</f>
        <v>-1214.7289081537367</v>
      </c>
      <c r="P26" s="14">
        <f>IF(I26*L26&gt;=0,(L26)+I26,L26)</f>
        <v>-94.340196223663071</v>
      </c>
      <c r="Q26" s="3">
        <f>(M26)</f>
        <v>-1285.0530483491109</v>
      </c>
      <c r="R26" s="20">
        <f t="shared" ref="R26:R38" si="5">CT26</f>
        <v>1000</v>
      </c>
      <c r="S26" s="23"/>
      <c r="T26" s="12">
        <v>20</v>
      </c>
      <c r="U26" s="28"/>
      <c r="V26" s="28"/>
      <c r="W26" s="12"/>
      <c r="X26" s="28"/>
      <c r="Y26" s="28"/>
      <c r="Z26" s="12"/>
      <c r="AA26" s="28"/>
      <c r="AB26" s="28"/>
      <c r="AC26" s="158"/>
      <c r="AD26" s="28"/>
      <c r="AE26" s="28"/>
      <c r="AF26" s="158"/>
      <c r="AG26" s="28"/>
      <c r="AH26" s="28"/>
      <c r="AI26" s="29"/>
      <c r="AJ26" s="6">
        <f>PI()/4*T26^2*$O$12/$AX$16</f>
        <v>2094.3951023931954</v>
      </c>
      <c r="AK26" s="28" t="str">
        <f>IF(W26=0,"","+")</f>
        <v/>
      </c>
      <c r="AL26" s="6">
        <f>PI()/4*W26^2*$O$12/$AX$16</f>
        <v>0</v>
      </c>
      <c r="AM26" s="28" t="str">
        <f>IF(Z26=0,"","+")</f>
        <v/>
      </c>
      <c r="AN26" s="6">
        <f>PI()/4*Z26^2*$O$12/$AX$16</f>
        <v>0</v>
      </c>
      <c r="AO26" s="28" t="str">
        <f>IF(AC26=0,"","+")</f>
        <v/>
      </c>
      <c r="AP26" s="6">
        <f>PI()/4*AC26^2*$O$12/$AX$16</f>
        <v>0</v>
      </c>
      <c r="AQ26" s="28" t="str">
        <f>IF(AF26=0,"","+")</f>
        <v/>
      </c>
      <c r="AR26" s="6">
        <f>PI()/4*AF26^2*$O$12/$AX$16</f>
        <v>0</v>
      </c>
      <c r="AS26" s="28" t="str">
        <f>IF(AI26=0,"","+")</f>
        <v/>
      </c>
      <c r="AT26" s="6">
        <f>PI()/4*AI26^2*$O$12/$AX$16</f>
        <v>0</v>
      </c>
      <c r="AU26" s="28" t="s">
        <v>24</v>
      </c>
      <c r="AV26" s="15">
        <f>VALUE(AJ26)+VALUE(AL26)+VALUE(AN26)+VALUE(AP26)+VALUE(AR26)+VALUE(AT26)</f>
        <v>2094.3951023931954</v>
      </c>
      <c r="AW26" s="228">
        <f>MAX(0.3*$AJ$14^(2/3)/$AJ$16*0.26*100,0.13)</f>
        <v>0.15723814702688016</v>
      </c>
      <c r="AX26" s="6">
        <f>AW26/100*$O$12*BK26</f>
        <v>1426.1499935338031</v>
      </c>
      <c r="AY26" s="6"/>
      <c r="AZ26" s="6"/>
      <c r="BA26" s="24" t="str">
        <f>IF(BB26=0,"","+")</f>
        <v/>
      </c>
      <c r="BB26" s="24"/>
      <c r="BC26" s="28" t="s">
        <v>24</v>
      </c>
      <c r="BD26" s="15">
        <f>AX26+AZ26+BB26</f>
        <v>1426.1499935338031</v>
      </c>
      <c r="BE26" s="2">
        <f>(R26-($AX$14+$O$16+T26/2))</f>
        <v>907</v>
      </c>
      <c r="BF26" s="3">
        <f>IF(W26=0,0,(R26-($AX$14+T26/2+$O$16+$BI$16)))</f>
        <v>0</v>
      </c>
      <c r="BG26" s="3">
        <f>IF(Z26=0,0,(R26-($AX$14+T26/2+$BI$16+$O$16+$BI$17)))</f>
        <v>0</v>
      </c>
      <c r="BH26" s="3">
        <f>IF(AC26=0,0,(R26-($AX$14+T26/2+$O$16+$BI$16+$BI$17+$BI$18)))</f>
        <v>0</v>
      </c>
      <c r="BI26" s="3">
        <f>IF(AF26=0,0,(R26-($AX$14+T26/2+$O$16+$BI$16+$BI$17+$BI$18+$BL$16)))</f>
        <v>0</v>
      </c>
      <c r="BJ26" s="3">
        <f>IF(AI26=0,0,(R26-($AX$14+T26/2+$O$16+$BI$16+$BI$17+$BI$18+$BL$16+$BL$17)))</f>
        <v>0</v>
      </c>
      <c r="BK26" s="6">
        <f>(BE26*AJ26+BF26*AL26+BG26*AN26+BH26*AP26+BI26*AR26+BJ26*AT26)/AV26</f>
        <v>907</v>
      </c>
      <c r="BL26" s="175">
        <f>ABS(N26)*1000000/$O$12/BK26^2</f>
        <v>0.16800288908997382</v>
      </c>
      <c r="BM26" s="175">
        <f>BL26/$AJ$14</f>
        <v>5.250090284061682E-3</v>
      </c>
      <c r="BN26" s="21">
        <f>IF(BM26&lt;0.167,0.5+SQRT(0.25-(BM26/1.134)),0.82)</f>
        <v>0.99534865575147746</v>
      </c>
      <c r="BO26" s="15">
        <f>ABS(N26)/(0.87*$AJ$16*BN26*BK26)*10^6</f>
        <v>351.93263894708275</v>
      </c>
      <c r="BP26" s="22">
        <v>1499.9131251633723</v>
      </c>
      <c r="BQ26" s="175">
        <f>IF(Q26=0,2*ABS(P26*10^6)/$O$12/BP26/(BK26-BP26/3),Q26*BP26*1000/($O$12/2*BP26^2-(BE26-BP26)*AJ26*$AJ$18-(BF26-BP26)*AL26*$AJ$18-(BG26-BP26)*AN26*$AJ$18-(BH26-BP26)*AP26*$AJ$18-(BI26-BP26)*AR26*$AJ$18-(BJ26-BP26)*AT26*$AJ$18))</f>
        <v>-1.68340860001045</v>
      </c>
      <c r="BR26" s="3">
        <f>0.5*$O$12*BP26*BQ26 /1000</f>
        <v>-1262.4833270842857</v>
      </c>
      <c r="BS26" s="3">
        <f>($BQ26/$BP26)*(BE26-$BP26)*$AJ$18*AJ26/1000</f>
        <v>22.569721264825098</v>
      </c>
      <c r="BT26" s="3">
        <f>($BQ26/$BP26)*(BF26-$BP26)*$AJ$18*AL26/1000</f>
        <v>0</v>
      </c>
      <c r="BU26" s="3">
        <f>($BQ26/$BP26)*(BG26-$BP26)*$AJ$18*AN26/1000</f>
        <v>0</v>
      </c>
      <c r="BV26" s="3">
        <f>($BQ26/$BP26)*(BH26-$BP26)*$AJ$18*AP26/1000</f>
        <v>0</v>
      </c>
      <c r="BW26" s="3">
        <f>($BQ26/$BP26)*(BI26-$BP26)*$AJ$18*AR26/1000</f>
        <v>0</v>
      </c>
      <c r="BX26" s="3">
        <f>($BQ26/$BP26)*(BJ26-$BP26)*$AJ$18*AT26/1000</f>
        <v>0</v>
      </c>
      <c r="BY26" s="175">
        <f>IF(Q26=0,0,(0.5*$O$12*BP26*BQ26/1000*(R26/2-$BP26/3)+BS26*(BE26-R26/2)+BT26*(BF26-R26/2)+BU26*(BG26-R26/2)+BV26*(BH26-R26/2)+BW26*(BI26-R26/2)+BX26*(BJ26-R26/2))/1000-ABS(P26))</f>
        <v>-85.190879013141142</v>
      </c>
      <c r="BZ26" s="10"/>
      <c r="CA26" s="176">
        <f>ABS(P26)/(BK26-BP26/3)/AV26*10^6-Q26*(R26/2-BP26/3)/(BK26-BP26/3)/AV26*1000</f>
        <v>110.70930613137432</v>
      </c>
      <c r="CB26" s="177">
        <f>(AV26/($O$12*MIN(2.5*(R26-BK26),(R26-BP26)/3,R26/2)-AV26))</f>
        <v>-1.2412546629071316E-2</v>
      </c>
      <c r="CC26" s="177">
        <f>3.4*($O$16+$AX$14)+0.425*0.8*0.5*(T26^2+W26^2+Z26^2+AC26^2+AF26^2+AI26^2)/(T26+W26+Z26+AC26+AF26+AI26)/CB26</f>
        <v>8.2836070466885303</v>
      </c>
      <c r="CD26" s="177">
        <f>MAX(0.6*CA26/$AJ$17,(CA26-0.4*0.3*$AJ$14^(2/3)/CB26*(1+$AJ$17/$AJ$15*CB26))/$AJ$17)</f>
        <v>0.94282998751234981</v>
      </c>
      <c r="CE26" s="178">
        <f>CC26*CD26/1000</f>
        <v>7.8100331283865601E-3</v>
      </c>
      <c r="CF26" s="23" t="str">
        <f t="shared" ref="CF26:CF38" si="6">IF(AND(AV26&gt;=BD26,AV26&gt;=BO26,CE26&lt;=(+IF(CO26="External",0.25,0.3))),"O.K", "Not O.K")</f>
        <v>O.K</v>
      </c>
      <c r="CG26" s="28"/>
      <c r="CH26" s="179" t="str">
        <f>IF(O26&lt;0.2*$AJ$14*R26*$O$12/1000,"N &lt; 0.2fckAc - OK!","TBA")</f>
        <v>N &lt; 0.2fckAc - OK!</v>
      </c>
      <c r="CI26" s="24">
        <v>76</v>
      </c>
      <c r="CJ26" s="25"/>
      <c r="CK26" s="6">
        <f>CU26</f>
        <v>106</v>
      </c>
      <c r="CL26" s="8" t="s">
        <v>72</v>
      </c>
      <c r="CM26" s="6">
        <f>CV26</f>
        <v>206</v>
      </c>
      <c r="CN26" s="26" t="s">
        <v>148</v>
      </c>
      <c r="CO26" s="15" t="str">
        <f>IF(VLOOKUP(CI26,'Summary-input'!A:C,3,0)="Outward",
IF(CP26&lt;0,"External","Internal"),
IF(CP26&lt;0,"Internal","External")
)</f>
        <v>External</v>
      </c>
      <c r="CP26">
        <f>VLOOKUP(CI26&amp;CN26,'Summary-output-ULS'!A:G,6,0)</f>
        <v>-138.20740870697787</v>
      </c>
      <c r="CQ26">
        <f>VLOOKUP(CI26&amp;CN26,'Summary-output-ULS'!A:G,7,0)</f>
        <v>-1214.7289081537367</v>
      </c>
      <c r="CR26" s="3">
        <f>VLOOKUP(CI26&amp;CN26,'Summary-output-SLS'!A:G,6,0)</f>
        <v>-94.340196223663071</v>
      </c>
      <c r="CS26" s="3">
        <f>VLOOKUP(CI26&amp;CN26,'Summary-output-SLS'!A:G,7,0)</f>
        <v>-1285.0530483491109</v>
      </c>
      <c r="CT26" s="20">
        <v>1000</v>
      </c>
      <c r="CU26" s="2">
        <f>VLOOKUP(CI26&amp;CN26,'Summary-output-ULS'!A:G,5,0)</f>
        <v>106</v>
      </c>
      <c r="CV26" s="15">
        <f>VLOOKUP(CI26&amp;CN26,'Summary-output-SLS'!A:G,5,0)</f>
        <v>206</v>
      </c>
      <c r="CW26" s="6"/>
      <c r="CX26" s="278"/>
      <c r="CY26" s="6"/>
      <c r="CZ26" s="6"/>
      <c r="DA26" s="6"/>
      <c r="DB26" s="6"/>
      <c r="DC26" s="6"/>
      <c r="DD26" s="6"/>
      <c r="DE26" s="6"/>
      <c r="DF26" s="6"/>
      <c r="DG26" s="6"/>
      <c r="DH26" s="6"/>
      <c r="DI26" s="6"/>
      <c r="DJ26" s="212"/>
      <c r="DK26" s="13"/>
      <c r="DL26" s="13"/>
      <c r="DM26" s="202"/>
      <c r="DN26" s="206">
        <f>IF(CO26="external",T26,0)</f>
        <v>20</v>
      </c>
      <c r="DO26" s="206">
        <f>IF(CO26="external",W26,0)</f>
        <v>0</v>
      </c>
      <c r="DP26" s="206">
        <f>IF(CO26="external",Z26,0)</f>
        <v>0</v>
      </c>
      <c r="DQ26" s="206">
        <f>IF(CO26="external",AC26,0)</f>
        <v>0</v>
      </c>
      <c r="DR26" s="206">
        <f>IF(CO26="external",AF26,0)</f>
        <v>0</v>
      </c>
      <c r="DS26" s="207">
        <f>IF(CO26="external",AI26,0)</f>
        <v>0</v>
      </c>
      <c r="DT26" s="208"/>
      <c r="DU26" s="207">
        <f>IF(CO26="internal",T26,0)</f>
        <v>0</v>
      </c>
      <c r="DV26" s="207">
        <f>IF(CO26="internal",W26,0)</f>
        <v>0</v>
      </c>
      <c r="DW26" s="207">
        <f>IF(CO26="internal",Z26,0)</f>
        <v>0</v>
      </c>
      <c r="DX26" s="207">
        <f>IF(CO26="internal",AC26,0)</f>
        <v>0</v>
      </c>
      <c r="DY26" s="207">
        <f>IF(CO26="internal",AF26,0)</f>
        <v>0</v>
      </c>
      <c r="DZ26" s="207">
        <f>IF(CO26="internal",AI26,0)</f>
        <v>0</v>
      </c>
    </row>
    <row r="27" spans="1:131" s="7" customFormat="1" x14ac:dyDescent="0.3">
      <c r="B27" s="19">
        <f>+CI27</f>
        <v>76</v>
      </c>
      <c r="C27" s="6">
        <f t="shared" si="0"/>
        <v>0</v>
      </c>
      <c r="D27" s="6">
        <f t="shared" si="0"/>
        <v>104</v>
      </c>
      <c r="E27" s="6" t="str">
        <f t="shared" si="0"/>
        <v>--</v>
      </c>
      <c r="F27" s="6">
        <f>+CM27</f>
        <v>204</v>
      </c>
      <c r="G27" s="174" t="str">
        <f t="shared" si="1"/>
        <v>Max Fx</v>
      </c>
      <c r="H27" s="6" t="str">
        <f t="shared" si="1"/>
        <v>External</v>
      </c>
      <c r="I27" s="156"/>
      <c r="J27" s="10">
        <f t="shared" si="2"/>
        <v>-605.71464335934616</v>
      </c>
      <c r="K27" s="10">
        <f t="shared" si="2"/>
        <v>-2867.7329837835455</v>
      </c>
      <c r="L27" s="10">
        <f t="shared" si="2"/>
        <v>-447.77205337077754</v>
      </c>
      <c r="M27" s="10">
        <f t="shared" si="2"/>
        <v>-2053.6513109801394</v>
      </c>
      <c r="N27" s="10">
        <f>IF(I27*J27&gt;=0,J27*$J$19+I27*$J$18,J27)</f>
        <v>-605.71464335934616</v>
      </c>
      <c r="O27" s="10">
        <f>(K27)*$J$19</f>
        <v>-2867.7329837835455</v>
      </c>
      <c r="P27" s="14">
        <f>IF(I27*L27&gt;=0,(L27)+I27,L27)</f>
        <v>-447.77205337077754</v>
      </c>
      <c r="Q27" s="3">
        <f>(M27)</f>
        <v>-2053.6513109801394</v>
      </c>
      <c r="R27" s="20">
        <f t="shared" si="5"/>
        <v>1000</v>
      </c>
      <c r="S27" s="23"/>
      <c r="T27" s="12">
        <v>40</v>
      </c>
      <c r="U27" s="28"/>
      <c r="V27" s="28"/>
      <c r="W27" s="12">
        <v>40</v>
      </c>
      <c r="X27" s="28"/>
      <c r="Y27" s="28"/>
      <c r="Z27" s="12">
        <v>40</v>
      </c>
      <c r="AA27" s="28"/>
      <c r="AB27" s="28"/>
      <c r="AC27" s="158"/>
      <c r="AD27" s="28"/>
      <c r="AE27" s="28"/>
      <c r="AF27" s="158"/>
      <c r="AG27" s="28"/>
      <c r="AH27" s="28"/>
      <c r="AI27" s="29"/>
      <c r="AJ27" s="6">
        <f>PI()/4*T27^2*$O$12/$AX$16</f>
        <v>8377.5804095727817</v>
      </c>
      <c r="AK27" s="28" t="str">
        <f>IF(W27=0,"","+")</f>
        <v>+</v>
      </c>
      <c r="AL27" s="6">
        <f>PI()/4*W27^2*$O$12/$AX$16</f>
        <v>8377.5804095727817</v>
      </c>
      <c r="AM27" s="28" t="str">
        <f>IF(Z27=0,"","+")</f>
        <v>+</v>
      </c>
      <c r="AN27" s="6">
        <f>PI()/4*Z27^2*$O$12/$AX$16</f>
        <v>8377.5804095727817</v>
      </c>
      <c r="AO27" s="28" t="str">
        <f>IF(AC27=0,"","+")</f>
        <v/>
      </c>
      <c r="AP27" s="6">
        <f>PI()/4*AC27^2*$O$12/$AX$16</f>
        <v>0</v>
      </c>
      <c r="AQ27" s="28" t="str">
        <f>IF(AF27=0,"","+")</f>
        <v/>
      </c>
      <c r="AR27" s="6">
        <f>PI()/4*AF27^2*$O$12/$AX$16</f>
        <v>0</v>
      </c>
      <c r="AS27" s="28" t="str">
        <f>IF(AI27=0,"","+")</f>
        <v/>
      </c>
      <c r="AT27" s="6">
        <f>PI()/4*AI27^2*$O$12/$AX$16</f>
        <v>0</v>
      </c>
      <c r="AU27" s="28" t="s">
        <v>24</v>
      </c>
      <c r="AV27" s="15">
        <f>VALUE(AJ27)+VALUE(AL27)+VALUE(AN27)+VALUE(AP27)+VALUE(AR27)+VALUE(AT27)</f>
        <v>25132.741228718347</v>
      </c>
      <c r="AW27" s="228">
        <f>MAX(0.3*$AJ$14^(2/3)/$AJ$16*0.26*100,0.13)</f>
        <v>0.15723814702688016</v>
      </c>
      <c r="AX27" s="6">
        <f>AW27/100*$O$12*BK27</f>
        <v>1284.6356612096108</v>
      </c>
      <c r="AY27" s="6"/>
      <c r="AZ27" s="6"/>
      <c r="BA27" s="24" t="str">
        <f>IF(BB27=0,"","+")</f>
        <v/>
      </c>
      <c r="BB27" s="24"/>
      <c r="BC27" s="28" t="s">
        <v>24</v>
      </c>
      <c r="BD27" s="15">
        <f>AX27+AZ27+BB27</f>
        <v>1284.6356612096108</v>
      </c>
      <c r="BE27" s="2">
        <f>(R27-($AX$14+$O$16+T27/2))</f>
        <v>897</v>
      </c>
      <c r="BF27" s="3">
        <f>IF(W27=0,0,(R27-($AX$14+T27/2+$O$16+$BI$16)))</f>
        <v>817</v>
      </c>
      <c r="BG27" s="3">
        <f>IF(Z27=0,0,(R27-($AX$14+T27/2+$BI$16+$O$16+$BI$17)))</f>
        <v>737</v>
      </c>
      <c r="BH27" s="3">
        <f>IF(AC27=0,0,(R27-($AX$14+T27/2+$O$16+$BI$16+$BI$17+$BI$18)))</f>
        <v>0</v>
      </c>
      <c r="BI27" s="3">
        <f>IF(AF27=0,0,(R27-($AX$14+T27/2+$O$16+$BI$16+$BI$17+$BI$18+$BL$16)))</f>
        <v>0</v>
      </c>
      <c r="BJ27" s="3">
        <f>IF(AI27=0,0,(R27-($AX$14+T27/2+$O$16+$BI$16+$BI$17+$BI$18+$BL$16+$BL$17)))</f>
        <v>0</v>
      </c>
      <c r="BK27" s="6">
        <f>(BE27*AJ27+BF27*AL27+BG27*AN27+BH27*AP27+BI27*AR27+BJ27*AT27)/AV27</f>
        <v>816.99999999999989</v>
      </c>
      <c r="BL27" s="175">
        <f>ABS(N27)*1000000/$O$12/BK27^2</f>
        <v>0.90745262222949952</v>
      </c>
      <c r="BM27" s="175">
        <f>BL27/$AJ$14</f>
        <v>2.835789444467186E-2</v>
      </c>
      <c r="BN27" s="21">
        <f>IF(BM27&lt;0.167,0.5+SQRT(0.25-(BM27/1.134)),0.82)</f>
        <v>0.97433431080681754</v>
      </c>
      <c r="BO27" s="15">
        <f>ABS(N27)/(0.87*$AJ$16*BN27*BK27)*10^6</f>
        <v>1749.2374357569668</v>
      </c>
      <c r="BP27" s="22">
        <v>322.47511313005657</v>
      </c>
      <c r="BQ27" s="175">
        <f>IF(Q27=0,2*ABS(P27*10^6)/$O$12/BP27/(BK27-BP27/3),Q27*BP27*1000/($O$12/2*BP27^2-(BE27-BP27)*AJ27*$AJ$18-(BF27-BP27)*AL27*$AJ$18-(BG27-BP27)*AN27*$AJ$18-(BH27-BP27)*AP27*$AJ$18-(BI27-BP27)*AR27*$AJ$18-(BJ27-BP27)*AT27*$AJ$18))</f>
        <v>4.4364272030554721</v>
      </c>
      <c r="BR27" s="3">
        <f>0.5*$O$12*BP27*BQ27 /1000</f>
        <v>715.31868209928689</v>
      </c>
      <c r="BS27" s="3">
        <f>($BQ27/$BP27)*(BE27-$BP27)*$AJ$18*AJ27/1000</f>
        <v>1072.3034130053838</v>
      </c>
      <c r="BT27" s="3">
        <f>($BQ27/$BP27)*(BF27-$BP27)*$AJ$18*AL27/1000</f>
        <v>922.98999769314207</v>
      </c>
      <c r="BU27" s="3">
        <f>($BQ27/$BP27)*(BG27-$BP27)*$AJ$18*AN27/1000</f>
        <v>773.67658238089996</v>
      </c>
      <c r="BV27" s="3">
        <f>($BQ27/$BP27)*(BH27-$BP27)*$AJ$18*AP27/1000</f>
        <v>0</v>
      </c>
      <c r="BW27" s="3">
        <f>($BQ27/$BP27)*(BI27-$BP27)*$AJ$18*AR27/1000</f>
        <v>0</v>
      </c>
      <c r="BX27" s="3">
        <f>($BQ27/$BP27)*(BJ27-$BP27)*$AJ$18*AT27/1000</f>
        <v>0</v>
      </c>
      <c r="BY27" s="175">
        <f>IF(Q27=0,0,(0.5*$O$12*BP27*BQ27/1000*(R27/2-$BP27/3)+BS27*(BE27-R27/2)+BT27*(BF27-R27/2)+BU27*(BG27-R27/2)+BV27*(BH27-R27/2)+BW27*(BI27-R27/2)+BX27*(BJ27-R27/2))/1000-ABS(P27))</f>
        <v>734.65009762366594</v>
      </c>
      <c r="BZ27" s="10"/>
      <c r="CA27" s="176">
        <f>ABS(P27)/(BK27-BP27/3)/AV27*10^6-Q27*(R27/2-BP27/3)/(BK27-BP27/3)/AV27*1000</f>
        <v>70.314887665129845</v>
      </c>
      <c r="CB27" s="177">
        <f>(AV27/($O$12*MIN(2.5*(R27-BK27),(R27-BP27)/3,R27/2)-AV27))</f>
        <v>0.12521987199085563</v>
      </c>
      <c r="CC27" s="177">
        <f>3.4*($O$16+$AX$14)+0.425*0.8*0.5*(T27^2+W27^2+Z27^2+AC27^2+AF27^2+AI27^2)/(T27+W27+Z27+AC27+AF27+AI27)/CB27</f>
        <v>336.50447972743956</v>
      </c>
      <c r="CD27" s="177">
        <f>MAX(0.6*CA27/$AJ$17,(CA27-0.4*0.3*$AJ$14^(2/3)/CB27*(1+$AJ$17/$AJ$15*CB27))/$AJ$17)</f>
        <v>0.21094466299538955</v>
      </c>
      <c r="CE27" s="178">
        <f>CC27*CD27/1000</f>
        <v>7.0983824072543639E-2</v>
      </c>
      <c r="CF27" s="23" t="str">
        <f t="shared" si="6"/>
        <v>O.K</v>
      </c>
      <c r="CG27" s="28"/>
      <c r="CH27" s="179" t="str">
        <f>IF(O27&lt;0.2*$AJ$14*R27*$O$12/1000,"N &lt; 0.2fckAc - OK!","TBA")</f>
        <v>N &lt; 0.2fckAc - OK!</v>
      </c>
      <c r="CI27" s="24">
        <v>76</v>
      </c>
      <c r="CJ27" s="25"/>
      <c r="CK27" s="6">
        <f>CU27</f>
        <v>104</v>
      </c>
      <c r="CL27" s="8" t="s">
        <v>72</v>
      </c>
      <c r="CM27" s="6">
        <f>CV27</f>
        <v>204</v>
      </c>
      <c r="CN27" s="26" t="s">
        <v>145</v>
      </c>
      <c r="CO27" s="15" t="str">
        <f>IF(VLOOKUP(CI27,'Summary-input'!A:C,3,0)="Outward",
IF(CP27&lt;0,"External","Internal"),
IF(CP27&lt;0,"Internal","External")
)</f>
        <v>External</v>
      </c>
      <c r="CP27">
        <f>VLOOKUP(CI27&amp;CN27,'Summary-output-ULS'!A:G,6,0)</f>
        <v>-605.71464335934616</v>
      </c>
      <c r="CQ27">
        <f>VLOOKUP(CI27&amp;CN27,'Summary-output-ULS'!A:G,7,0)</f>
        <v>-2867.7329837835455</v>
      </c>
      <c r="CR27" s="3">
        <f>VLOOKUP(CI27&amp;CN27,'Summary-output-SLS'!A:G,6,0)</f>
        <v>-447.77205337077754</v>
      </c>
      <c r="CS27" s="3">
        <f>VLOOKUP(CI27&amp;CN27,'Summary-output-SLS'!A:G,7,0)</f>
        <v>-2053.6513109801394</v>
      </c>
      <c r="CT27" s="20">
        <v>1000</v>
      </c>
      <c r="CU27" s="2">
        <f>VLOOKUP(CI27&amp;CN27,'Summary-output-ULS'!A:G,5,0)</f>
        <v>104</v>
      </c>
      <c r="CV27" s="15">
        <f>VLOOKUP(CI27&amp;CN27,'Summary-output-SLS'!A:G,5,0)</f>
        <v>204</v>
      </c>
      <c r="CW27" s="6"/>
      <c r="CX27" s="278"/>
      <c r="CY27" s="6"/>
      <c r="CZ27" s="6"/>
      <c r="DA27" s="6"/>
      <c r="DB27" s="6"/>
      <c r="DC27" s="6"/>
      <c r="DD27" s="6"/>
      <c r="DE27" s="6"/>
      <c r="DF27" s="6"/>
      <c r="DG27" s="6"/>
      <c r="DH27" s="6"/>
      <c r="DI27" s="6"/>
      <c r="DJ27" s="212"/>
      <c r="DK27" s="13"/>
      <c r="DL27" s="13"/>
      <c r="DM27" s="202"/>
      <c r="DN27" s="206">
        <f>IF(CO27="external",T27,0)</f>
        <v>40</v>
      </c>
      <c r="DO27" s="206">
        <f>IF(CO27="external",W27,0)</f>
        <v>40</v>
      </c>
      <c r="DP27" s="206">
        <f>IF(CO27="external",Z27,0)</f>
        <v>40</v>
      </c>
      <c r="DQ27" s="206">
        <f>IF(CO27="external",AC27,0)</f>
        <v>0</v>
      </c>
      <c r="DR27" s="206">
        <f>IF(CO27="external",AF27,0)</f>
        <v>0</v>
      </c>
      <c r="DS27" s="207">
        <f>IF(CO27="external",AI27,0)</f>
        <v>0</v>
      </c>
      <c r="DT27" s="208"/>
      <c r="DU27" s="207">
        <f>IF(CO27="internal",T27,0)</f>
        <v>0</v>
      </c>
      <c r="DV27" s="207">
        <f>IF(CO27="internal",W27,0)</f>
        <v>0</v>
      </c>
      <c r="DW27" s="207">
        <f>IF(CO27="internal",Z27,0)</f>
        <v>0</v>
      </c>
      <c r="DX27" s="207">
        <f>IF(CO27="internal",AC27,0)</f>
        <v>0</v>
      </c>
      <c r="DY27" s="207">
        <f>IF(CO27="internal",AF27,0)</f>
        <v>0</v>
      </c>
      <c r="DZ27" s="207">
        <f>IF(CO27="internal",AI27,0)</f>
        <v>0</v>
      </c>
    </row>
    <row r="28" spans="1:131" s="7" customFormat="1" x14ac:dyDescent="0.3">
      <c r="B28" s="19">
        <f>+CI28</f>
        <v>76</v>
      </c>
      <c r="C28" s="6">
        <f t="shared" si="0"/>
        <v>0</v>
      </c>
      <c r="D28" s="6">
        <f t="shared" si="0"/>
        <v>106</v>
      </c>
      <c r="E28" s="6" t="str">
        <f t="shared" si="0"/>
        <v>--</v>
      </c>
      <c r="F28" s="6">
        <f>+CM28</f>
        <v>206</v>
      </c>
      <c r="G28" s="174" t="str">
        <f t="shared" si="1"/>
        <v>Min Fx</v>
      </c>
      <c r="H28" s="6" t="str">
        <f t="shared" si="1"/>
        <v>External</v>
      </c>
      <c r="I28" s="156"/>
      <c r="J28" s="10">
        <f t="shared" si="2"/>
        <v>-156.24267583829808</v>
      </c>
      <c r="K28" s="10">
        <f t="shared" si="2"/>
        <v>-1188.2203963368854</v>
      </c>
      <c r="L28" s="10">
        <f t="shared" si="2"/>
        <v>-107.80577148190422</v>
      </c>
      <c r="M28" s="10">
        <f t="shared" si="2"/>
        <v>-1258.5445365322596</v>
      </c>
      <c r="N28" s="10">
        <f>IF(I28*J28&gt;=0,J28*$J$19+I28*$J$18,J28)</f>
        <v>-156.24267583829808</v>
      </c>
      <c r="O28" s="10">
        <f>(K28)*$J$19</f>
        <v>-1188.2203963368854</v>
      </c>
      <c r="P28" s="14">
        <f>IF(I28*L28&gt;=0,(L28)+I28,L28)</f>
        <v>-107.80577148190422</v>
      </c>
      <c r="Q28" s="3">
        <f>(M28)</f>
        <v>-1258.5445365322596</v>
      </c>
      <c r="R28" s="20">
        <f t="shared" si="5"/>
        <v>1000</v>
      </c>
      <c r="S28" s="23"/>
      <c r="T28" s="12">
        <v>40</v>
      </c>
      <c r="U28" s="28"/>
      <c r="V28" s="28"/>
      <c r="W28" s="12">
        <v>40</v>
      </c>
      <c r="X28" s="28"/>
      <c r="Y28" s="28"/>
      <c r="Z28" s="12"/>
      <c r="AA28" s="28"/>
      <c r="AB28" s="28"/>
      <c r="AC28" s="158"/>
      <c r="AD28" s="28"/>
      <c r="AE28" s="28"/>
      <c r="AF28" s="158"/>
      <c r="AG28" s="28"/>
      <c r="AH28" s="28"/>
      <c r="AI28" s="29"/>
      <c r="AJ28" s="6">
        <f>PI()/4*T28^2*$O$12/$AX$16</f>
        <v>8377.5804095727817</v>
      </c>
      <c r="AK28" s="28" t="str">
        <f>IF(W28=0,"","+")</f>
        <v>+</v>
      </c>
      <c r="AL28" s="6">
        <f>PI()/4*W28^2*$O$12/$AX$16</f>
        <v>8377.5804095727817</v>
      </c>
      <c r="AM28" s="28" t="str">
        <f>IF(Z28=0,"","+")</f>
        <v/>
      </c>
      <c r="AN28" s="6">
        <f>PI()/4*Z28^2*$O$12/$AX$16</f>
        <v>0</v>
      </c>
      <c r="AO28" s="28" t="str">
        <f>IF(AC28=0,"","+")</f>
        <v/>
      </c>
      <c r="AP28" s="6">
        <f>PI()/4*AC28^2*$O$12/$AX$16</f>
        <v>0</v>
      </c>
      <c r="AQ28" s="28" t="str">
        <f>IF(AF28=0,"","+")</f>
        <v/>
      </c>
      <c r="AR28" s="6">
        <f>PI()/4*AF28^2*$O$12/$AX$16</f>
        <v>0</v>
      </c>
      <c r="AS28" s="28" t="str">
        <f>IF(AI28=0,"","+")</f>
        <v/>
      </c>
      <c r="AT28" s="6">
        <f>PI()/4*AI28^2*$O$12/$AX$16</f>
        <v>0</v>
      </c>
      <c r="AU28" s="28" t="s">
        <v>24</v>
      </c>
      <c r="AV28" s="15">
        <f>VALUE(AJ28)+VALUE(AL28)+VALUE(AN28)+VALUE(AP28)+VALUE(AR28)+VALUE(AT28)</f>
        <v>16755.160819145563</v>
      </c>
      <c r="AW28" s="228">
        <f>MAX(0.3*$AJ$14^(2/3)/$AJ$16*0.26*100,0.13)</f>
        <v>0.15723814702688016</v>
      </c>
      <c r="AX28" s="6">
        <f>AW28/100*$O$12*BK28</f>
        <v>1347.5309200203631</v>
      </c>
      <c r="AY28" s="6"/>
      <c r="AZ28" s="6"/>
      <c r="BA28" s="24" t="str">
        <f>IF(BB28=0,"","+")</f>
        <v/>
      </c>
      <c r="BB28" s="24"/>
      <c r="BC28" s="28" t="s">
        <v>24</v>
      </c>
      <c r="BD28" s="15">
        <f>AX28+AZ28+BB28</f>
        <v>1347.5309200203631</v>
      </c>
      <c r="BE28" s="2">
        <f>(R28-($AX$14+$O$16+T28/2))</f>
        <v>897</v>
      </c>
      <c r="BF28" s="3">
        <f>IF(W28=0,0,(R28-($AX$14+T28/2+$O$16+$BI$16)))</f>
        <v>817</v>
      </c>
      <c r="BG28" s="3">
        <f>IF(Z28=0,0,(R28-($AX$14+T28/2+$BI$16+$O$16+$BI$17)))</f>
        <v>0</v>
      </c>
      <c r="BH28" s="3">
        <f>IF(AC28=0,0,(R28-($AX$14+T28/2+$O$16+$BI$16+$BI$17+$BI$18)))</f>
        <v>0</v>
      </c>
      <c r="BI28" s="3">
        <f>IF(AF28=0,0,(R28-($AX$14+T28/2+$O$16+$BI$16+$BI$17+$BI$18+$BL$16)))</f>
        <v>0</v>
      </c>
      <c r="BJ28" s="3">
        <f>IF(AI28=0,0,(R28-($AX$14+T28/2+$O$16+$BI$16+$BI$17+$BI$18+$BL$16+$BL$17)))</f>
        <v>0</v>
      </c>
      <c r="BK28" s="6">
        <f>(BE28*AJ28+BF28*AL28+BG28*AN28+BH28*AP28+BI28*AR28+BJ28*AT28)/AV28</f>
        <v>857</v>
      </c>
      <c r="BL28" s="175">
        <f>ABS(N28)*1000000/$O$12/BK28^2</f>
        <v>0.21273454771985267</v>
      </c>
      <c r="BM28" s="175">
        <f>BL28/$AJ$14</f>
        <v>6.647954616245396E-3</v>
      </c>
      <c r="BN28" s="21">
        <f>IF(BM28&lt;0.167,0.5+SQRT(0.25-(BM28/1.134)),0.82)</f>
        <v>0.99410282953906848</v>
      </c>
      <c r="BO28" s="15">
        <f>ABS(N28)/(0.87*$AJ$16*BN28*BK28)*10^6</f>
        <v>421.59774502332107</v>
      </c>
      <c r="BP28" s="22">
        <v>402.40037758458243</v>
      </c>
      <c r="BQ28" s="175">
        <f>IF(Q28=0,2*ABS(P28*10^6)/$O$12/BP28/(BK28-BP28/3),Q28*BP28*1000/($O$12/2*BP28^2-(BE28-BP28)*AJ28*$AJ$18-(BF28-BP28)*AL28*$AJ$18-(BG28-BP28)*AN28*$AJ$18-(BH28-BP28)*AP28*$AJ$18-(BI28-BP28)*AR28*$AJ$18-(BJ28-BP28)*AT28*$AJ$18))</f>
        <v>11.948656152041373</v>
      </c>
      <c r="BR28" s="3">
        <f>0.5*$O$12*BP28*BQ28 /1000</f>
        <v>2404.0718736048962</v>
      </c>
      <c r="BS28" s="3">
        <f>($BQ28/$BP28)*(BE28-$BP28)*$AJ$18*AJ28/1000</f>
        <v>1992.4441246576273</v>
      </c>
      <c r="BT28" s="3">
        <f>($BQ28/$BP28)*(BF28-$BP28)*$AJ$18*AL28/1000</f>
        <v>1670.1722854795278</v>
      </c>
      <c r="BU28" s="3">
        <f>($BQ28/$BP28)*(BG28-$BP28)*$AJ$18*AN28/1000</f>
        <v>0</v>
      </c>
      <c r="BV28" s="3">
        <f>($BQ28/$BP28)*(BH28-$BP28)*$AJ$18*AP28/1000</f>
        <v>0</v>
      </c>
      <c r="BW28" s="3">
        <f>($BQ28/$BP28)*(BI28-$BP28)*$AJ$18*AR28/1000</f>
        <v>0</v>
      </c>
      <c r="BX28" s="3">
        <f>($BQ28/$BP28)*(BJ28-$BP28)*$AJ$18*AT28/1000</f>
        <v>0</v>
      </c>
      <c r="BY28" s="175">
        <f>IF(Q28=0,0,(0.5*$O$12*BP28*BQ28/1000*(R28/2-$BP28/3)+BS28*(BE28-R28/2)+BT28*(BF28-R28/2)+BU28*(BG28-R28/2)+BV28*(BH28-R28/2)+BW28*(BI28-R28/2)+BX28*(BJ28-R28/2))/1000-ABS(P28))</f>
        <v>2092.208620746937</v>
      </c>
      <c r="BZ28" s="10"/>
      <c r="CA28" s="176">
        <f>ABS(P28)/(BK28-BP28/3)/AV28*10^6-Q28*(R28/2-BP28/3)/(BK28-BP28/3)/AV28*1000</f>
        <v>46.91851594061535</v>
      </c>
      <c r="CB28" s="177">
        <f>(AV28/($O$12*MIN(2.5*(R28-BK28),(R28-BP28)/3,R28/2)-AV28))</f>
        <v>9.1836921521642328E-2</v>
      </c>
      <c r="CC28" s="177">
        <f>3.4*($O$16+$AX$14)+0.425*0.8*0.5*(T28^2+W28^2+Z28^2+AC28^2+AF28^2+AI28^2)/(T28+W28+Z28+AC28+AF28+AI28)/CB28</f>
        <v>356.2442938126743</v>
      </c>
      <c r="CD28" s="177">
        <f>MAX(0.6*CA28/$AJ$17,(CA28-0.4*0.3*$AJ$14^(2/3)/CB28*(1+$AJ$17/$AJ$15*CB28))/$AJ$17)</f>
        <v>0.14075554782184604</v>
      </c>
      <c r="CE28" s="178">
        <f>CC28*CD28/1000</f>
        <v>5.014336073400965E-2</v>
      </c>
      <c r="CF28" s="23" t="str">
        <f t="shared" si="6"/>
        <v>O.K</v>
      </c>
      <c r="CG28" s="28"/>
      <c r="CH28" s="179" t="str">
        <f>IF(O28&lt;0.2*$AJ$14*R28*$O$12/1000,"N &lt; 0.2fckAc - OK!","TBA")</f>
        <v>N &lt; 0.2fckAc - OK!</v>
      </c>
      <c r="CI28" s="24">
        <v>76</v>
      </c>
      <c r="CJ28" s="25"/>
      <c r="CK28" s="6">
        <f>CU28</f>
        <v>106</v>
      </c>
      <c r="CL28" s="8" t="s">
        <v>72</v>
      </c>
      <c r="CM28" s="6">
        <f>CV28</f>
        <v>206</v>
      </c>
      <c r="CN28" s="26" t="s">
        <v>146</v>
      </c>
      <c r="CO28" s="15" t="str">
        <f>IF(VLOOKUP(CI28,'Summary-input'!A:C,3,0)="Outward",
IF(CP28&lt;0,"External","Internal"),
IF(CP28&lt;0,"Internal","External")
)</f>
        <v>External</v>
      </c>
      <c r="CP28">
        <f>VLOOKUP(CI28&amp;CN28,'Summary-output-ULS'!A:G,6,0)</f>
        <v>-156.24267583829808</v>
      </c>
      <c r="CQ28">
        <f>VLOOKUP(CI28&amp;CN28,'Summary-output-ULS'!A:G,7,0)</f>
        <v>-1188.2203963368854</v>
      </c>
      <c r="CR28" s="3">
        <f>VLOOKUP(CI28&amp;CN28,'Summary-output-SLS'!A:G,6,0)</f>
        <v>-107.80577148190422</v>
      </c>
      <c r="CS28" s="3">
        <f>VLOOKUP(CI28&amp;CN28,'Summary-output-SLS'!A:G,7,0)</f>
        <v>-1258.5445365322596</v>
      </c>
      <c r="CT28" s="20">
        <v>1000</v>
      </c>
      <c r="CU28" s="2">
        <f>VLOOKUP(CI28&amp;CN28,'Summary-output-ULS'!A:G,5,0)</f>
        <v>106</v>
      </c>
      <c r="CV28" s="15">
        <f>VLOOKUP(CI28&amp;CN28,'Summary-output-SLS'!A:G,5,0)</f>
        <v>206</v>
      </c>
      <c r="CW28" s="6"/>
      <c r="CX28" s="278"/>
      <c r="CY28" s="6"/>
      <c r="CZ28" s="6"/>
      <c r="DA28" s="6"/>
      <c r="DB28" s="6"/>
      <c r="DC28" s="6"/>
      <c r="DD28" s="6"/>
      <c r="DE28" s="6"/>
      <c r="DF28" s="6"/>
      <c r="DG28" s="6"/>
      <c r="DH28" s="6"/>
      <c r="DI28" s="6"/>
      <c r="DJ28" s="212"/>
      <c r="DK28" s="13"/>
      <c r="DL28" s="13"/>
      <c r="DM28" s="202"/>
      <c r="DN28" s="206">
        <f>IF(CO28="external",T28,0)</f>
        <v>40</v>
      </c>
      <c r="DO28" s="206">
        <f>IF(CO28="external",W28,0)</f>
        <v>40</v>
      </c>
      <c r="DP28" s="206">
        <f>IF(CO28="external",Z28,0)</f>
        <v>0</v>
      </c>
      <c r="DQ28" s="206">
        <f>IF(CO28="external",AC28,0)</f>
        <v>0</v>
      </c>
      <c r="DR28" s="206">
        <f>IF(CO28="external",AF28,0)</f>
        <v>0</v>
      </c>
      <c r="DS28" s="207">
        <f>IF(CO28="external",AI28,0)</f>
        <v>0</v>
      </c>
      <c r="DT28" s="208"/>
      <c r="DU28" s="207">
        <f>IF(CO28="internal",T28,0)</f>
        <v>0</v>
      </c>
      <c r="DV28" s="207">
        <f>IF(CO28="internal",W28,0)</f>
        <v>0</v>
      </c>
      <c r="DW28" s="207">
        <f>IF(CO28="internal",Z28,0)</f>
        <v>0</v>
      </c>
      <c r="DX28" s="207">
        <f>IF(CO28="internal",AC28,0)</f>
        <v>0</v>
      </c>
      <c r="DY28" s="207">
        <f>IF(CO28="internal",AF28,0)</f>
        <v>0</v>
      </c>
      <c r="DZ28" s="207">
        <f>IF(CO28="internal",AI28,0)</f>
        <v>0</v>
      </c>
    </row>
    <row r="29" spans="1:131" s="7" customFormat="1" x14ac:dyDescent="0.3">
      <c r="B29" s="19"/>
      <c r="C29" s="6"/>
      <c r="D29" s="6"/>
      <c r="E29" s="6"/>
      <c r="F29" s="6"/>
      <c r="G29" s="232"/>
      <c r="H29" s="6"/>
      <c r="I29" s="24"/>
      <c r="J29" s="6"/>
      <c r="K29" s="6"/>
      <c r="L29" s="6"/>
      <c r="M29" s="6"/>
      <c r="N29" s="6"/>
      <c r="O29" s="6"/>
      <c r="P29" s="24"/>
      <c r="Q29" s="6"/>
      <c r="R29" s="6">
        <f t="shared" ref="R29:R33" si="7">CT29</f>
        <v>0</v>
      </c>
      <c r="S29" s="28"/>
      <c r="T29" s="12"/>
      <c r="U29" s="28"/>
      <c r="V29" s="28"/>
      <c r="W29" s="12"/>
      <c r="X29" s="28"/>
      <c r="Y29" s="28"/>
      <c r="Z29" s="12"/>
      <c r="AA29" s="28"/>
      <c r="AB29" s="28"/>
      <c r="AC29" s="158"/>
      <c r="AD29" s="28"/>
      <c r="AE29" s="28"/>
      <c r="AF29" s="158"/>
      <c r="AG29" s="28"/>
      <c r="AH29" s="28"/>
      <c r="AI29" s="12"/>
      <c r="AJ29" s="6"/>
      <c r="AK29" s="28"/>
      <c r="AL29" s="6"/>
      <c r="AM29" s="28"/>
      <c r="AN29" s="6"/>
      <c r="AO29" s="28"/>
      <c r="AP29" s="6"/>
      <c r="AQ29" s="28"/>
      <c r="AR29" s="6"/>
      <c r="AS29" s="28"/>
      <c r="AT29" s="6"/>
      <c r="AU29" s="28"/>
      <c r="AV29" s="6"/>
      <c r="AW29" s="233"/>
      <c r="AX29" s="6"/>
      <c r="AY29" s="6"/>
      <c r="AZ29" s="6"/>
      <c r="BA29" s="24"/>
      <c r="BB29" s="24"/>
      <c r="BC29" s="28"/>
      <c r="BD29" s="6"/>
      <c r="BE29" s="6"/>
      <c r="BF29" s="6"/>
      <c r="BG29" s="6"/>
      <c r="BH29" s="6"/>
      <c r="BI29" s="6"/>
      <c r="BJ29" s="6"/>
      <c r="BK29" s="6"/>
      <c r="BL29" s="231"/>
      <c r="BM29" s="231"/>
      <c r="BN29" s="231"/>
      <c r="BO29" s="6"/>
      <c r="BP29" s="234"/>
      <c r="BQ29" s="231"/>
      <c r="BR29" s="6"/>
      <c r="BS29" s="6"/>
      <c r="BT29" s="6"/>
      <c r="BU29" s="6"/>
      <c r="BV29" s="6"/>
      <c r="BW29" s="6"/>
      <c r="BX29" s="6"/>
      <c r="BY29" s="231"/>
      <c r="BZ29" s="6"/>
      <c r="CA29" s="234"/>
      <c r="CB29" s="235"/>
      <c r="CC29" s="235"/>
      <c r="CD29" s="235"/>
      <c r="CE29" s="235"/>
      <c r="CF29" s="28"/>
      <c r="CG29" s="28"/>
      <c r="CH29" s="173"/>
      <c r="CI29" s="24"/>
      <c r="CJ29" s="25"/>
      <c r="CK29" s="6" t="e">
        <f>CU29</f>
        <v>#N/A</v>
      </c>
      <c r="CL29" s="8" t="s">
        <v>72</v>
      </c>
      <c r="CM29" s="6" t="e">
        <f>CV29</f>
        <v>#N/A</v>
      </c>
      <c r="CN29" s="236"/>
      <c r="CO29" s="15" t="e">
        <f>IF(VLOOKUP(CI29,'Summary-input'!A:C,3,0)="Outward",
IF(CP29&lt;0,"External","Internal"),
IF(CP29&lt;0,"Internal","External")
)</f>
        <v>#N/A</v>
      </c>
      <c r="CP29" t="e">
        <f>VLOOKUP(CI29&amp;CN29,'Summary-output-ULS'!A:G,6,0)</f>
        <v>#N/A</v>
      </c>
      <c r="CQ29" t="e">
        <f>VLOOKUP(CI29&amp;CN29,'Summary-output-ULS'!A:G,7,0)</f>
        <v>#N/A</v>
      </c>
      <c r="CR29" s="3" t="e">
        <f>VLOOKUP(CI29&amp;CN29,'Summary-output-SLS'!A:G,6,0)</f>
        <v>#N/A</v>
      </c>
      <c r="CS29" s="3" t="e">
        <f>VLOOKUP(CI29&amp;CN29,'Summary-output-SLS'!A:G,7,0)</f>
        <v>#N/A</v>
      </c>
      <c r="CT29" s="6"/>
      <c r="CU29" s="2" t="e">
        <f>VLOOKUP(CI29&amp;CN29,'Summary-output-ULS'!A:G,5,0)</f>
        <v>#N/A</v>
      </c>
      <c r="CV29" s="15" t="e">
        <f>VLOOKUP(CI29&amp;CN29,'Summary-output-SLS'!A:G,5,0)</f>
        <v>#N/A</v>
      </c>
      <c r="CW29" s="6"/>
      <c r="CX29" s="278"/>
      <c r="CY29" s="6"/>
      <c r="CZ29" s="6"/>
      <c r="DA29" s="6"/>
      <c r="DB29" s="6"/>
      <c r="DC29" s="6"/>
      <c r="DD29" s="6"/>
      <c r="DE29" s="6"/>
      <c r="DF29" s="6"/>
      <c r="DG29" s="6"/>
      <c r="DH29" s="6"/>
      <c r="DI29" s="6"/>
      <c r="DJ29" s="212"/>
      <c r="DK29" s="13"/>
      <c r="DL29" s="13"/>
      <c r="DM29" s="202"/>
      <c r="DN29" s="206"/>
      <c r="DO29" s="206"/>
      <c r="DP29" s="206"/>
      <c r="DQ29" s="206"/>
      <c r="DR29" s="206"/>
      <c r="DS29" s="207"/>
      <c r="DT29" s="208"/>
      <c r="DU29" s="207"/>
      <c r="DV29" s="207"/>
      <c r="DW29" s="207"/>
      <c r="DX29" s="207"/>
      <c r="DY29" s="207"/>
      <c r="DZ29" s="207"/>
    </row>
    <row r="30" spans="1:131" s="7" customFormat="1" ht="13.8" x14ac:dyDescent="0.25">
      <c r="A30" s="7" t="s">
        <v>141</v>
      </c>
      <c r="B30" s="19">
        <f>+CI30</f>
        <v>77</v>
      </c>
      <c r="C30" s="6">
        <f t="shared" ref="C30:C33" si="8">CJ30</f>
        <v>0</v>
      </c>
      <c r="D30" s="6">
        <f t="shared" ref="D30:D33" si="9">CK30</f>
        <v>103</v>
      </c>
      <c r="E30" s="6" t="str">
        <f t="shared" ref="E30:E33" si="10">CL30</f>
        <v>--</v>
      </c>
      <c r="F30" s="6">
        <f>+CM30</f>
        <v>203</v>
      </c>
      <c r="G30" s="174" t="str">
        <f t="shared" ref="G30:G33" si="11">CN30</f>
        <v>Max Mz</v>
      </c>
      <c r="H30" s="6" t="str">
        <f t="shared" ref="H30:H33" si="12">CO30</f>
        <v>External</v>
      </c>
      <c r="I30" s="156"/>
      <c r="J30" s="10">
        <f t="shared" ref="J30:J33" si="13">(CP30)</f>
        <v>-1039.1709029151659</v>
      </c>
      <c r="K30" s="10">
        <f t="shared" ref="K30:K33" si="14">(CQ30)</f>
        <v>-2207.9228004117699</v>
      </c>
      <c r="L30" s="10">
        <f t="shared" ref="L30:L33" si="15">(CR30)</f>
        <v>-763.00756697009592</v>
      </c>
      <c r="M30" s="10">
        <f t="shared" ref="M30:M33" si="16">(CS30)</f>
        <v>-1617.6241718966603</v>
      </c>
      <c r="N30" s="10">
        <f>IF(I30*J30&gt;=0,J30*$J$19+I30*$J$18,J30)</f>
        <v>-1039.1709029151659</v>
      </c>
      <c r="O30" s="10">
        <f>(K30)*$J$19</f>
        <v>-2207.9228004117699</v>
      </c>
      <c r="P30" s="14">
        <f>IF(I30*L30&gt;=0,(L30)+I30,L30)</f>
        <v>-763.00756697009592</v>
      </c>
      <c r="Q30" s="3">
        <f>(M30)</f>
        <v>-1617.6241718966603</v>
      </c>
      <c r="R30" s="20">
        <f t="shared" si="7"/>
        <v>1000</v>
      </c>
      <c r="S30" s="23"/>
      <c r="T30" s="12">
        <v>25</v>
      </c>
      <c r="U30" s="28"/>
      <c r="V30" s="28"/>
      <c r="W30" s="12"/>
      <c r="X30" s="28"/>
      <c r="Y30" s="28"/>
      <c r="Z30" s="12"/>
      <c r="AA30" s="28"/>
      <c r="AB30" s="28"/>
      <c r="AC30" s="158"/>
      <c r="AD30" s="28"/>
      <c r="AE30" s="28"/>
      <c r="AF30" s="158"/>
      <c r="AG30" s="28"/>
      <c r="AH30" s="28"/>
      <c r="AI30" s="29"/>
      <c r="AJ30" s="6">
        <f>PI()/4*T30^2*$O$12/$AX$16</f>
        <v>3272.4923474893681</v>
      </c>
      <c r="AK30" s="28" t="str">
        <f>IF(W30=0,"","+")</f>
        <v/>
      </c>
      <c r="AL30" s="6">
        <f>PI()/4*W30^2*$O$12/$AX$16</f>
        <v>0</v>
      </c>
      <c r="AM30" s="28" t="str">
        <f>IF(Z30=0,"","+")</f>
        <v/>
      </c>
      <c r="AN30" s="6">
        <f>PI()/4*Z30^2*$O$12/$AX$16</f>
        <v>0</v>
      </c>
      <c r="AO30" s="28" t="str">
        <f>IF(AC30=0,"","+")</f>
        <v/>
      </c>
      <c r="AP30" s="6">
        <f>PI()/4*AC30^2*$O$12/$AX$16</f>
        <v>0</v>
      </c>
      <c r="AQ30" s="28" t="str">
        <f>IF(AF30=0,"","+")</f>
        <v/>
      </c>
      <c r="AR30" s="6">
        <f>PI()/4*AF30^2*$O$12/$AX$16</f>
        <v>0</v>
      </c>
      <c r="AS30" s="28" t="str">
        <f>IF(AI30=0,"","+")</f>
        <v/>
      </c>
      <c r="AT30" s="6">
        <f>PI()/4*AI30^2*$O$12/$AX$16</f>
        <v>0</v>
      </c>
      <c r="AU30" s="28" t="s">
        <v>24</v>
      </c>
      <c r="AV30" s="15">
        <f>VALUE(AJ30)+VALUE(AL30)+VALUE(AN30)+VALUE(AP30)+VALUE(AR30)+VALUE(AT30)</f>
        <v>3272.4923474893681</v>
      </c>
      <c r="AW30" s="228">
        <f>MAX(0.3*$AJ$14^(2/3)/$AJ$16*0.26*100,0.13)</f>
        <v>0.15723814702688016</v>
      </c>
      <c r="AX30" s="6">
        <f>AW30/100*$O$12*BK30</f>
        <v>1422.2190398581311</v>
      </c>
      <c r="AY30" s="6"/>
      <c r="AZ30" s="6"/>
      <c r="BA30" s="24" t="str">
        <f>IF(BB30=0,"","+")</f>
        <v/>
      </c>
      <c r="BB30" s="24"/>
      <c r="BC30" s="28" t="s">
        <v>24</v>
      </c>
      <c r="BD30" s="15">
        <f>AX30+AZ30+BB30</f>
        <v>1422.2190398581311</v>
      </c>
      <c r="BE30" s="2">
        <f>(R30-($AX$14+$O$16+T30/2))</f>
        <v>904.5</v>
      </c>
      <c r="BF30" s="3">
        <f>IF(W30=0,0,(R30-($AX$14+T30/2+$O$16+$BI$16)))</f>
        <v>0</v>
      </c>
      <c r="BG30" s="3">
        <f>IF(Z30=0,0,(R30-($AX$14+T30/2+$BI$16+$O$16+$BI$17)))</f>
        <v>0</v>
      </c>
      <c r="BH30" s="3">
        <f>IF(AC30=0,0,(R30-($AX$14+T30/2+$O$16+$BI$16+$BI$17+$BI$18)))</f>
        <v>0</v>
      </c>
      <c r="BI30" s="3">
        <f>IF(AF30=0,0,(R30-($AX$14+T30/2+$O$16+$BI$16+$BI$17+$BI$18+$BL$16)))</f>
        <v>0</v>
      </c>
      <c r="BJ30" s="3">
        <f>IF(AI30=0,0,(R30-($AX$14+T30/2+$O$16+$BI$16+$BI$17+$BI$18+$BL$16+$BL$17)))</f>
        <v>0</v>
      </c>
      <c r="BK30" s="6">
        <f>(BE30*AJ30+BF30*AL30+BG30*AN30+BH30*AP30+BI30*AR30+BJ30*AT30)/AV30</f>
        <v>904.5</v>
      </c>
      <c r="BL30" s="175">
        <f>ABS(N30)*1000000/$O$12/BK30^2</f>
        <v>1.2701933522794062</v>
      </c>
      <c r="BM30" s="175">
        <f>BL30/$AJ$14</f>
        <v>3.9693542258731444E-2</v>
      </c>
      <c r="BN30" s="21">
        <f>IF(BM30&lt;0.167,0.5+SQRT(0.25-(BM30/1.134)),0.82)</f>
        <v>0.96367755640644459</v>
      </c>
      <c r="BO30" s="15">
        <f>ABS(N30)/(0.87*$AJ$16*BN30*BK30)*10^6</f>
        <v>2740.6741599073493</v>
      </c>
      <c r="BP30" s="22">
        <v>3790.7201512219235</v>
      </c>
      <c r="BQ30" s="175">
        <f>IF(Q30=0,2*ABS(P30*10^6)/$O$12/BP30/(BK30-BP30/3),Q30*BP30*1000/($O$12/2*BP30^2-(BE30-BP30)*AJ30*$AJ$18-(BF30-BP30)*AL30*$AJ$18-(BG30-BP30)*AN30*$AJ$18-(BH30-BP30)*AP30*$AJ$18-(BI30-BP30)*AR30*$AJ$18-(BJ30-BP30)*AT30*$AJ$18))</f>
        <v>-0.83567498543028118</v>
      </c>
      <c r="BR30" s="3">
        <f>0.5*$O$12*BP30*BQ30 /1000</f>
        <v>-1583.9050035713271</v>
      </c>
      <c r="BS30" s="3">
        <f>($BQ30/$BP30)*(BE30-$BP30)*$AJ$18*AJ30/1000</f>
        <v>33.719168325332845</v>
      </c>
      <c r="BT30" s="3">
        <f>($BQ30/$BP30)*(BF30-$BP30)*$AJ$18*AL30/1000</f>
        <v>0</v>
      </c>
      <c r="BU30" s="3">
        <f>($BQ30/$BP30)*(BG30-$BP30)*$AJ$18*AN30/1000</f>
        <v>0</v>
      </c>
      <c r="BV30" s="3">
        <f>($BQ30/$BP30)*(BH30-$BP30)*$AJ$18*AP30/1000</f>
        <v>0</v>
      </c>
      <c r="BW30" s="3">
        <f>($BQ30/$BP30)*(BI30-$BP30)*$AJ$18*AR30/1000</f>
        <v>0</v>
      </c>
      <c r="BX30" s="3">
        <f>($BQ30/$BP30)*(BJ30-$BP30)*$AJ$18*AT30/1000</f>
        <v>0</v>
      </c>
      <c r="BY30" s="175">
        <f>IF(Q30=0,0,(0.5*$O$12*BP30*BQ30/1000*(R30/2-$BP30/3)+BS30*(BE30-R30/2)+BT30*(BF30-R30/2)+BU30*(BG30-R30/2)+BV30*(BH30-R30/2)+BW30*(BI30-R30/2)+BX30*(BJ30-R30/2))/1000-ABS(P30))</f>
        <v>460.0595397181919</v>
      </c>
      <c r="BZ30" s="10"/>
      <c r="CA30" s="176">
        <f>ABS(P30)/(BK30-BP30/3)/AV30*10^6-Q30*(R30/2-BP30/3)/(BK30-BP30/3)/AV30*1000</f>
        <v>401.82222734546269</v>
      </c>
      <c r="CB30" s="177">
        <f>(AV30/($O$12*MIN(2.5*(R30-BK30),(R30-BP30)/3,R30/2)-AV30))</f>
        <v>-3.5055686963050728E-3</v>
      </c>
      <c r="CC30" s="177">
        <f>3.4*($O$16+$AX$14)+0.425*0.8*0.5*(T30^2+W30^2+Z30^2+AC30^2+AF30^2+AI30^2)/(T30+W30+Z30+AC30+AF30+AI30)/CB30</f>
        <v>-930.15678664051597</v>
      </c>
      <c r="CD30" s="177">
        <f>MAX(0.6*CA30/$AJ$17,(CA30-0.4*0.3*$AJ$14^(2/3)/CB30*(1+$AJ$17/$AJ$15*CB30))/$AJ$17)</f>
        <v>3.6363231192070953</v>
      </c>
      <c r="CE30" s="178">
        <f>CC30*CD30/1000</f>
        <v>-3.3823506277482895</v>
      </c>
      <c r="CF30" s="23" t="str">
        <f>IF(AND(AV30&gt;=BD30,AV30&gt;=BO30,CE30&lt;=(+IF(CO30="External",0.25,0.3))),"O.K", "Not O.K")</f>
        <v>O.K</v>
      </c>
      <c r="CG30" s="28"/>
      <c r="CH30" s="179" t="str">
        <f>IF(O30&lt;0.2*$AJ$14*R30*$O$12/1000,"N &lt; 0.2fckAc - OK!","TBA")</f>
        <v>N &lt; 0.2fckAc - OK!</v>
      </c>
      <c r="CI30" s="24">
        <v>77</v>
      </c>
      <c r="CJ30" s="25"/>
      <c r="CK30" s="6">
        <f t="shared" ref="CK30:CK33" si="17">CU30</f>
        <v>103</v>
      </c>
      <c r="CL30" s="8" t="s">
        <v>72</v>
      </c>
      <c r="CM30" s="6">
        <f t="shared" ref="CM30:CM33" si="18">CV30</f>
        <v>203</v>
      </c>
      <c r="CN30" s="26" t="s">
        <v>147</v>
      </c>
      <c r="CO30" s="15" t="str">
        <f>IF(VLOOKUP(CI30,'Summary-input'!A:C,3,0)="Outward",
IF(CP30&lt;0,"External","Internal"),
IF(CP30&lt;0,"Internal","External")
)</f>
        <v>External</v>
      </c>
      <c r="CP30">
        <f>VLOOKUP(CI30&amp;CN30,'Summary-output-ULS'!A:G,6,0)</f>
        <v>-1039.1709029151659</v>
      </c>
      <c r="CQ30">
        <f>VLOOKUP(CI30&amp;CN30,'Summary-output-ULS'!A:G,7,0)</f>
        <v>-2207.9228004117699</v>
      </c>
      <c r="CR30" s="3">
        <f>VLOOKUP(CI30&amp;CN30,'Summary-output-SLS'!A:G,6,0)</f>
        <v>-763.00756697009592</v>
      </c>
      <c r="CS30" s="3">
        <f>VLOOKUP(CI30&amp;CN30,'Summary-output-SLS'!A:G,7,0)</f>
        <v>-1617.6241718966603</v>
      </c>
      <c r="CT30" s="20">
        <v>1000</v>
      </c>
      <c r="CU30" s="2">
        <f>VLOOKUP(CI30&amp;CN30,'Summary-output-ULS'!A:G,5,0)</f>
        <v>103</v>
      </c>
      <c r="CV30" s="15">
        <f>VLOOKUP(CI30&amp;CN30,'Summary-output-SLS'!A:G,5,0)</f>
        <v>203</v>
      </c>
      <c r="CW30" s="6"/>
      <c r="CX30" s="278">
        <f>CI30</f>
        <v>77</v>
      </c>
      <c r="CY30" s="6">
        <f t="shared" ref="CY30" si="19">MAX(DN30:DN33)</f>
        <v>25</v>
      </c>
      <c r="CZ30" s="6">
        <f t="shared" ref="CZ30" si="20">MAX(DO30:DO33)</f>
        <v>0</v>
      </c>
      <c r="DA30" s="6">
        <f t="shared" ref="DA30" si="21">MAX(DP30:DP33)</f>
        <v>0</v>
      </c>
      <c r="DB30" s="6">
        <f t="shared" ref="DB30" si="22">MAX(DQ30:DQ33)</f>
        <v>0</v>
      </c>
      <c r="DC30" s="6">
        <f t="shared" ref="DC30" si="23">MAX(DR30:DR33)</f>
        <v>0</v>
      </c>
      <c r="DD30" s="6">
        <f t="shared" ref="DD30" si="24">MAX(DS30:DS33)</f>
        <v>0</v>
      </c>
      <c r="DE30" s="6"/>
      <c r="DF30" s="6">
        <f t="shared" ref="DF30" si="25">MAX(DU30:DU33)</f>
        <v>0</v>
      </c>
      <c r="DG30" s="6">
        <f t="shared" ref="DG30" si="26">MAX(DV30:DV33)</f>
        <v>0</v>
      </c>
      <c r="DH30" s="6">
        <f t="shared" ref="DH30" si="27">MAX(DW30:DW33)</f>
        <v>0</v>
      </c>
      <c r="DI30" s="6">
        <f t="shared" ref="DI30" si="28">MAX(DX30:DX33)</f>
        <v>0</v>
      </c>
      <c r="DJ30" s="6">
        <f t="shared" ref="DJ30" si="29">MAX(DY30:DY33)</f>
        <v>0</v>
      </c>
      <c r="DK30" s="6">
        <f t="shared" ref="DK30" si="30">MAX(DZ30:DZ33)</f>
        <v>0</v>
      </c>
      <c r="DL30" s="13"/>
      <c r="DM30" s="202">
        <f>CI30</f>
        <v>77</v>
      </c>
      <c r="DN30" s="206">
        <f>IF(CO30="external",T30,0)</f>
        <v>25</v>
      </c>
      <c r="DO30" s="206">
        <f>IF(CO30="external",W30,0)</f>
        <v>0</v>
      </c>
      <c r="DP30" s="206">
        <f>IF(CO30="external",Z30,0)</f>
        <v>0</v>
      </c>
      <c r="DQ30" s="206">
        <f>IF(CO30="external",AC30,0)</f>
        <v>0</v>
      </c>
      <c r="DR30" s="206">
        <f>IF(CO30="external",AF30,0)</f>
        <v>0</v>
      </c>
      <c r="DS30" s="207">
        <f>IF(CO30="external",AI30,0)</f>
        <v>0</v>
      </c>
      <c r="DT30" s="208"/>
      <c r="DU30" s="207">
        <f>IF(CO30="internal",T30,0)</f>
        <v>0</v>
      </c>
      <c r="DV30" s="207">
        <f>IF(CO30="internal",W30,0)</f>
        <v>0</v>
      </c>
      <c r="DW30" s="207">
        <f>IF(CO30="internal",Z30,0)</f>
        <v>0</v>
      </c>
      <c r="DX30" s="207">
        <f>IF(CO30="internal",AC30,0)</f>
        <v>0</v>
      </c>
      <c r="DY30" s="207">
        <f>IF(CO30="internal",AF30,0)</f>
        <v>0</v>
      </c>
      <c r="DZ30" s="207">
        <f>IF(CO30="internal",AI30,0)</f>
        <v>0</v>
      </c>
    </row>
    <row r="31" spans="1:131" s="7" customFormat="1" x14ac:dyDescent="0.3">
      <c r="B31" s="19">
        <f>+CI31</f>
        <v>77</v>
      </c>
      <c r="C31" s="6">
        <f t="shared" si="8"/>
        <v>0</v>
      </c>
      <c r="D31" s="6">
        <f t="shared" si="9"/>
        <v>106</v>
      </c>
      <c r="E31" s="6" t="str">
        <f t="shared" si="10"/>
        <v>--</v>
      </c>
      <c r="F31" s="6">
        <f>+CM31</f>
        <v>206</v>
      </c>
      <c r="G31" s="174" t="str">
        <f t="shared" si="11"/>
        <v>Min Mz</v>
      </c>
      <c r="H31" s="6" t="str">
        <f t="shared" si="12"/>
        <v>External</v>
      </c>
      <c r="I31" s="156"/>
      <c r="J31" s="10">
        <f t="shared" si="13"/>
        <v>-156.24267583829956</v>
      </c>
      <c r="K31" s="10">
        <f t="shared" si="14"/>
        <v>-1188.22039633688</v>
      </c>
      <c r="L31" s="10">
        <f t="shared" si="15"/>
        <v>-107.80577148190244</v>
      </c>
      <c r="M31" s="10">
        <f t="shared" si="16"/>
        <v>-1258.5445365322541</v>
      </c>
      <c r="N31" s="10">
        <f>IF(I31*J31&gt;=0,J31*$J$19+I31*$J$18,J31)</f>
        <v>-156.24267583829956</v>
      </c>
      <c r="O31" s="10">
        <f>(K31)*$J$19</f>
        <v>-1188.22039633688</v>
      </c>
      <c r="P31" s="14">
        <f>IF(I31*L31&gt;=0,(L31)+I31,L31)</f>
        <v>-107.80577148190244</v>
      </c>
      <c r="Q31" s="3">
        <f>(M31)</f>
        <v>-1258.5445365322541</v>
      </c>
      <c r="R31" s="20">
        <f t="shared" si="7"/>
        <v>1000</v>
      </c>
      <c r="S31" s="23"/>
      <c r="T31" s="12">
        <v>20</v>
      </c>
      <c r="U31" s="28"/>
      <c r="V31" s="28"/>
      <c r="W31" s="12"/>
      <c r="X31" s="28"/>
      <c r="Y31" s="28"/>
      <c r="Z31" s="12"/>
      <c r="AA31" s="28"/>
      <c r="AB31" s="28"/>
      <c r="AC31" s="158"/>
      <c r="AD31" s="28"/>
      <c r="AE31" s="28"/>
      <c r="AF31" s="158"/>
      <c r="AG31" s="28"/>
      <c r="AH31" s="28"/>
      <c r="AI31" s="29"/>
      <c r="AJ31" s="6">
        <f>PI()/4*T31^2*$O$12/$AX$16</f>
        <v>2094.3951023931954</v>
      </c>
      <c r="AK31" s="28" t="str">
        <f>IF(W31=0,"","+")</f>
        <v/>
      </c>
      <c r="AL31" s="6">
        <f>PI()/4*W31^2*$O$12/$AX$16</f>
        <v>0</v>
      </c>
      <c r="AM31" s="28" t="str">
        <f>IF(Z31=0,"","+")</f>
        <v/>
      </c>
      <c r="AN31" s="6">
        <f>PI()/4*Z31^2*$O$12/$AX$16</f>
        <v>0</v>
      </c>
      <c r="AO31" s="28" t="str">
        <f>IF(AC31=0,"","+")</f>
        <v/>
      </c>
      <c r="AP31" s="6">
        <f>PI()/4*AC31^2*$O$12/$AX$16</f>
        <v>0</v>
      </c>
      <c r="AQ31" s="28" t="str">
        <f>IF(AF31=0,"","+")</f>
        <v/>
      </c>
      <c r="AR31" s="6">
        <f>PI()/4*AF31^2*$O$12/$AX$16</f>
        <v>0</v>
      </c>
      <c r="AS31" s="28" t="str">
        <f>IF(AI31=0,"","+")</f>
        <v/>
      </c>
      <c r="AT31" s="6">
        <f>PI()/4*AI31^2*$O$12/$AX$16</f>
        <v>0</v>
      </c>
      <c r="AU31" s="28" t="s">
        <v>24</v>
      </c>
      <c r="AV31" s="15">
        <f>VALUE(AJ31)+VALUE(AL31)+VALUE(AN31)+VALUE(AP31)+VALUE(AR31)+VALUE(AT31)</f>
        <v>2094.3951023931954</v>
      </c>
      <c r="AW31" s="228">
        <f>MAX(0.3*$AJ$14^(2/3)/$AJ$16*0.26*100,0.13)</f>
        <v>0.15723814702688016</v>
      </c>
      <c r="AX31" s="6">
        <f>AW31/100*$O$12*BK31</f>
        <v>1426.1499935338031</v>
      </c>
      <c r="AY31" s="6"/>
      <c r="AZ31" s="6"/>
      <c r="BA31" s="24" t="str">
        <f>IF(BB31=0,"","+")</f>
        <v/>
      </c>
      <c r="BB31" s="24"/>
      <c r="BC31" s="28" t="s">
        <v>24</v>
      </c>
      <c r="BD31" s="15">
        <f>AX31+AZ31+BB31</f>
        <v>1426.1499935338031</v>
      </c>
      <c r="BE31" s="2">
        <f>(R31-($AX$14+$O$16+T31/2))</f>
        <v>907</v>
      </c>
      <c r="BF31" s="3">
        <f>IF(W31=0,0,(R31-($AX$14+T31/2+$O$16+$BI$16)))</f>
        <v>0</v>
      </c>
      <c r="BG31" s="3">
        <f>IF(Z31=0,0,(R31-($AX$14+T31/2+$BI$16+$O$16+$BI$17)))</f>
        <v>0</v>
      </c>
      <c r="BH31" s="3">
        <f>IF(AC31=0,0,(R31-($AX$14+T31/2+$O$16+$BI$16+$BI$17+$BI$18)))</f>
        <v>0</v>
      </c>
      <c r="BI31" s="3">
        <f>IF(AF31=0,0,(R31-($AX$14+T31/2+$O$16+$BI$16+$BI$17+$BI$18+$BL$16)))</f>
        <v>0</v>
      </c>
      <c r="BJ31" s="3">
        <f>IF(AI31=0,0,(R31-($AX$14+T31/2+$O$16+$BI$16+$BI$17+$BI$18+$BL$16+$BL$17)))</f>
        <v>0</v>
      </c>
      <c r="BK31" s="6">
        <f>(BE31*AJ31+BF31*AL31+BG31*AN31+BH31*AP31+BI31*AR31+BJ31*AT31)/AV31</f>
        <v>907</v>
      </c>
      <c r="BL31" s="175">
        <f>ABS(N31)*1000000/$O$12/BK31^2</f>
        <v>0.1899262940066779</v>
      </c>
      <c r="BM31" s="175">
        <f>BL31/$AJ$14</f>
        <v>5.9351966877086845E-3</v>
      </c>
      <c r="BN31" s="21">
        <f>IF(BM31&lt;0.167,0.5+SQRT(0.25-(BM31/1.134)),0.82)</f>
        <v>0.99473845664859062</v>
      </c>
      <c r="BO31" s="15">
        <f>ABS(N31)/(0.87*$AJ$16*BN31*BK31)*10^6</f>
        <v>398.10186854781813</v>
      </c>
      <c r="BP31" s="22">
        <v>1512.9515827588064</v>
      </c>
      <c r="BQ31" s="175">
        <f>IF(Q31=0,2*ABS(P31*10^6)/$O$12/BP31/(BK31-BP31/3),Q31*BP31*1000/($O$12/2*BP31^2-(BE31-BP31)*AJ31*$AJ$18-(BF31-BP31)*AL31*$AJ$18-(BG31-BP31)*AN31*$AJ$18-(BH31-BP31)*AP31*$AJ$18-(BI31-BP31)*AR31*$AJ$18-(BJ31-BP31)*AT31*$AJ$18))</f>
        <v>-1.6343467198874024</v>
      </c>
      <c r="BR31" s="3">
        <f>0.5*$O$12*BP31*BQ31 /1000</f>
        <v>-1236.3437283151545</v>
      </c>
      <c r="BS31" s="3">
        <f>($BQ31/$BP31)*(BE31-$BP31)*$AJ$18*AJ31/1000</f>
        <v>22.200808217099382</v>
      </c>
      <c r="BT31" s="3">
        <f>($BQ31/$BP31)*(BF31-$BP31)*$AJ$18*AL31/1000</f>
        <v>0</v>
      </c>
      <c r="BU31" s="3">
        <f>($BQ31/$BP31)*(BG31-$BP31)*$AJ$18*AN31/1000</f>
        <v>0</v>
      </c>
      <c r="BV31" s="3">
        <f>($BQ31/$BP31)*(BH31-$BP31)*$AJ$18*AP31/1000</f>
        <v>0</v>
      </c>
      <c r="BW31" s="3">
        <f>($BQ31/$BP31)*(BI31-$BP31)*$AJ$18*AR31/1000</f>
        <v>0</v>
      </c>
      <c r="BX31" s="3">
        <f>($BQ31/$BP31)*(BJ31-$BP31)*$AJ$18*AT31/1000</f>
        <v>0</v>
      </c>
      <c r="BY31" s="175">
        <f>IF(Q31=0,0,(0.5*$O$12*BP31*BQ31/1000*(R31/2-$BP31/3)+BS31*(BE31-R31/2)+BT31*(BF31-R31/2)+BU31*(BG31-R31/2)+BV31*(BH31-R31/2)+BW31*(BI31-R31/2)+BX31*(BJ31-R31/2))/1000-ABS(P31))</f>
        <v>-93.432506499008014</v>
      </c>
      <c r="BZ31" s="10"/>
      <c r="CA31" s="176">
        <f>ABS(P31)/(BK31-BP31/3)/AV31*10^6-Q31*(R31/2-BP31/3)/(BK31-BP31/3)/AV31*1000</f>
        <v>121.38391590528956</v>
      </c>
      <c r="CB31" s="177">
        <f>(AV31/($O$12*MIN(2.5*(R31-BK31),(R31-BP31)/3,R31/2)-AV31))</f>
        <v>-1.2100856286228314E-2</v>
      </c>
      <c r="CC31" s="177">
        <f>3.4*($O$16+$AX$14)+0.425*0.8*0.5*(T31^2+W31^2+Z31^2+AC31^2+AF31^2+AI31^2)/(T31+W31+Z31+AC31+AF31+AI31)/CB31</f>
        <v>1.2281481262234024</v>
      </c>
      <c r="CD31" s="177">
        <f>MAX(0.6*CA31/$AJ$17,(CA31-0.4*0.3*$AJ$14^(2/3)/CB31*(1+$AJ$17/$AJ$15*CB31))/$AJ$17)</f>
        <v>1.0087526663262496</v>
      </c>
      <c r="CE31" s="178">
        <f>CC31*CD31/1000</f>
        <v>1.2388976969714444E-3</v>
      </c>
      <c r="CF31" s="23" t="str">
        <f t="shared" ref="CF31:CF33" si="31">IF(AND(AV31&gt;=BD31,AV31&gt;=BO31,CE31&lt;=(+IF(CO31="External",0.25,0.3))),"O.K", "Not O.K")</f>
        <v>O.K</v>
      </c>
      <c r="CG31" s="28"/>
      <c r="CH31" s="179" t="str">
        <f>IF(O31&lt;0.2*$AJ$14*R31*$O$12/1000,"N &lt; 0.2fckAc - OK!","TBA")</f>
        <v>N &lt; 0.2fckAc - OK!</v>
      </c>
      <c r="CI31" s="24">
        <v>77</v>
      </c>
      <c r="CJ31" s="25"/>
      <c r="CK31" s="6">
        <f t="shared" si="17"/>
        <v>106</v>
      </c>
      <c r="CL31" s="8" t="s">
        <v>72</v>
      </c>
      <c r="CM31" s="6">
        <f t="shared" si="18"/>
        <v>206</v>
      </c>
      <c r="CN31" s="26" t="s">
        <v>148</v>
      </c>
      <c r="CO31" s="15" t="str">
        <f>IF(VLOOKUP(CI31,'Summary-input'!A:C,3,0)="Outward",
IF(CP31&lt;0,"External","Internal"),
IF(CP31&lt;0,"Internal","External")
)</f>
        <v>External</v>
      </c>
      <c r="CP31">
        <f>VLOOKUP(CI31&amp;CN31,'Summary-output-ULS'!A:G,6,0)</f>
        <v>-156.24267583829956</v>
      </c>
      <c r="CQ31">
        <f>VLOOKUP(CI31&amp;CN31,'Summary-output-ULS'!A:G,7,0)</f>
        <v>-1188.22039633688</v>
      </c>
      <c r="CR31" s="3">
        <f>VLOOKUP(CI31&amp;CN31,'Summary-output-SLS'!A:G,6,0)</f>
        <v>-107.80577148190244</v>
      </c>
      <c r="CS31" s="3">
        <f>VLOOKUP(CI31&amp;CN31,'Summary-output-SLS'!A:G,7,0)</f>
        <v>-1258.5445365322541</v>
      </c>
      <c r="CT31" s="20">
        <v>1000</v>
      </c>
      <c r="CU31" s="2">
        <f>VLOOKUP(CI31&amp;CN31,'Summary-output-ULS'!A:G,5,0)</f>
        <v>106</v>
      </c>
      <c r="CV31" s="15">
        <f>VLOOKUP(CI31&amp;CN31,'Summary-output-SLS'!A:G,5,0)</f>
        <v>206</v>
      </c>
      <c r="CW31" s="6"/>
      <c r="CX31" s="278"/>
      <c r="CY31" s="6"/>
      <c r="CZ31" s="6"/>
      <c r="DA31" s="6"/>
      <c r="DB31" s="6"/>
      <c r="DC31" s="6"/>
      <c r="DD31" s="6"/>
      <c r="DE31" s="6"/>
      <c r="DF31" s="6"/>
      <c r="DG31" s="6"/>
      <c r="DH31" s="6"/>
      <c r="DI31" s="6"/>
      <c r="DJ31" s="212"/>
      <c r="DK31" s="13"/>
      <c r="DL31" s="13"/>
      <c r="DM31" s="202"/>
      <c r="DN31" s="206">
        <f>IF(CO31="external",T31,0)</f>
        <v>20</v>
      </c>
      <c r="DO31" s="206">
        <f>IF(CO31="external",W31,0)</f>
        <v>0</v>
      </c>
      <c r="DP31" s="206">
        <f>IF(CO31="external",Z31,0)</f>
        <v>0</v>
      </c>
      <c r="DQ31" s="206">
        <f>IF(CO31="external",AC31,0)</f>
        <v>0</v>
      </c>
      <c r="DR31" s="206">
        <f>IF(CO31="external",AF31,0)</f>
        <v>0</v>
      </c>
      <c r="DS31" s="207">
        <f>IF(CO31="external",AI31,0)</f>
        <v>0</v>
      </c>
      <c r="DT31" s="208"/>
      <c r="DU31" s="207">
        <f>IF(CO31="internal",T31,0)</f>
        <v>0</v>
      </c>
      <c r="DV31" s="207">
        <f>IF(CO31="internal",W31,0)</f>
        <v>0</v>
      </c>
      <c r="DW31" s="207">
        <f>IF(CO31="internal",Z31,0)</f>
        <v>0</v>
      </c>
      <c r="DX31" s="207">
        <f>IF(CO31="internal",AC31,0)</f>
        <v>0</v>
      </c>
      <c r="DY31" s="207">
        <f>IF(CO31="internal",AF31,0)</f>
        <v>0</v>
      </c>
      <c r="DZ31" s="207">
        <f>IF(CO31="internal",AI31,0)</f>
        <v>0</v>
      </c>
    </row>
    <row r="32" spans="1:131" s="7" customFormat="1" x14ac:dyDescent="0.3">
      <c r="B32" s="19">
        <f>+CI32</f>
        <v>77</v>
      </c>
      <c r="C32" s="6">
        <f t="shared" si="8"/>
        <v>0</v>
      </c>
      <c r="D32" s="6">
        <f t="shared" si="9"/>
        <v>104</v>
      </c>
      <c r="E32" s="6" t="str">
        <f t="shared" si="10"/>
        <v>--</v>
      </c>
      <c r="F32" s="6">
        <f>+CM32</f>
        <v>204</v>
      </c>
      <c r="G32" s="174" t="str">
        <f t="shared" si="11"/>
        <v>Max Fx</v>
      </c>
      <c r="H32" s="6" t="str">
        <f t="shared" si="12"/>
        <v>External</v>
      </c>
      <c r="I32" s="156"/>
      <c r="J32" s="10">
        <f t="shared" si="13"/>
        <v>-529.99193438562213</v>
      </c>
      <c r="K32" s="10">
        <f t="shared" si="14"/>
        <v>-2831.9464928307789</v>
      </c>
      <c r="L32" s="10">
        <f t="shared" si="15"/>
        <v>-395.43285197589012</v>
      </c>
      <c r="M32" s="10">
        <f t="shared" si="16"/>
        <v>-2027.1427991632827</v>
      </c>
      <c r="N32" s="10">
        <f>IF(I32*J32&gt;=0,J32*$J$19+I32*$J$18,J32)</f>
        <v>-529.99193438562213</v>
      </c>
      <c r="O32" s="10">
        <f>(K32)*$J$19</f>
        <v>-2831.9464928307789</v>
      </c>
      <c r="P32" s="14">
        <f>IF(I32*L32&gt;=0,(L32)+I32,L32)</f>
        <v>-395.43285197589012</v>
      </c>
      <c r="Q32" s="3">
        <f>(M32)</f>
        <v>-2027.1427991632827</v>
      </c>
      <c r="R32" s="20">
        <f t="shared" si="7"/>
        <v>1000</v>
      </c>
      <c r="S32" s="23"/>
      <c r="T32" s="12">
        <v>25</v>
      </c>
      <c r="U32" s="28"/>
      <c r="V32" s="28"/>
      <c r="W32" s="12"/>
      <c r="X32" s="28"/>
      <c r="Y32" s="28"/>
      <c r="Z32" s="12"/>
      <c r="AA32" s="28"/>
      <c r="AB32" s="28"/>
      <c r="AC32" s="158"/>
      <c r="AD32" s="28"/>
      <c r="AE32" s="28"/>
      <c r="AF32" s="158"/>
      <c r="AG32" s="28"/>
      <c r="AH32" s="28"/>
      <c r="AI32" s="29"/>
      <c r="AJ32" s="6">
        <f>PI()/4*T32^2*$O$12/$AX$16</f>
        <v>3272.4923474893681</v>
      </c>
      <c r="AK32" s="28" t="str">
        <f>IF(W32=0,"","+")</f>
        <v/>
      </c>
      <c r="AL32" s="6">
        <f>PI()/4*W32^2*$O$12/$AX$16</f>
        <v>0</v>
      </c>
      <c r="AM32" s="28" t="str">
        <f>IF(Z32=0,"","+")</f>
        <v/>
      </c>
      <c r="AN32" s="6">
        <f>PI()/4*Z32^2*$O$12/$AX$16</f>
        <v>0</v>
      </c>
      <c r="AO32" s="28" t="str">
        <f>IF(AC32=0,"","+")</f>
        <v/>
      </c>
      <c r="AP32" s="6">
        <f>PI()/4*AC32^2*$O$12/$AX$16</f>
        <v>0</v>
      </c>
      <c r="AQ32" s="28" t="str">
        <f>IF(AF32=0,"","+")</f>
        <v/>
      </c>
      <c r="AR32" s="6">
        <f>PI()/4*AF32^2*$O$12/$AX$16</f>
        <v>0</v>
      </c>
      <c r="AS32" s="28" t="str">
        <f>IF(AI32=0,"","+")</f>
        <v/>
      </c>
      <c r="AT32" s="6">
        <f>PI()/4*AI32^2*$O$12/$AX$16</f>
        <v>0</v>
      </c>
      <c r="AU32" s="28" t="s">
        <v>24</v>
      </c>
      <c r="AV32" s="15">
        <f>VALUE(AJ32)+VALUE(AL32)+VALUE(AN32)+VALUE(AP32)+VALUE(AR32)+VALUE(AT32)</f>
        <v>3272.4923474893681</v>
      </c>
      <c r="AW32" s="228">
        <f>MAX(0.3*$AJ$14^(2/3)/$AJ$16*0.26*100,0.13)</f>
        <v>0.15723814702688016</v>
      </c>
      <c r="AX32" s="6">
        <f>AW32/100*$O$12*BK32</f>
        <v>1422.2190398581311</v>
      </c>
      <c r="AY32" s="6"/>
      <c r="AZ32" s="6"/>
      <c r="BA32" s="24" t="str">
        <f>IF(BB32=0,"","+")</f>
        <v/>
      </c>
      <c r="BB32" s="24"/>
      <c r="BC32" s="28" t="s">
        <v>24</v>
      </c>
      <c r="BD32" s="15">
        <f>AX32+AZ32+BB32</f>
        <v>1422.2190398581311</v>
      </c>
      <c r="BE32" s="2">
        <f>(R32-($AX$14+$O$16+T32/2))</f>
        <v>904.5</v>
      </c>
      <c r="BF32" s="3">
        <f>IF(W32=0,0,(R32-($AX$14+T32/2+$O$16+$BI$16)))</f>
        <v>0</v>
      </c>
      <c r="BG32" s="3">
        <f>IF(Z32=0,0,(R32-($AX$14+T32/2+$BI$16+$O$16+$BI$17)))</f>
        <v>0</v>
      </c>
      <c r="BH32" s="3">
        <f>IF(AC32=0,0,(R32-($AX$14+T32/2+$O$16+$BI$16+$BI$17+$BI$18)))</f>
        <v>0</v>
      </c>
      <c r="BI32" s="3">
        <f>IF(AF32=0,0,(R32-($AX$14+T32/2+$O$16+$BI$16+$BI$17+$BI$18+$BL$16)))</f>
        <v>0</v>
      </c>
      <c r="BJ32" s="3">
        <f>IF(AI32=0,0,(R32-($AX$14+T32/2+$O$16+$BI$16+$BI$17+$BI$18+$BL$16+$BL$17)))</f>
        <v>0</v>
      </c>
      <c r="BK32" s="6">
        <f>(BE32*AJ32+BF32*AL32+BG32*AN32+BH32*AP32+BI32*AR32+BJ32*AT32)/AV32</f>
        <v>904.5</v>
      </c>
      <c r="BL32" s="175">
        <f>ABS(N32)*1000000/$O$12/BK32^2</f>
        <v>0.64781666800891702</v>
      </c>
      <c r="BM32" s="175">
        <f>BL32/$AJ$14</f>
        <v>2.0244270875278657E-2</v>
      </c>
      <c r="BN32" s="21">
        <f>IF(BM32&lt;0.167,0.5+SQRT(0.25-(BM32/1.134)),0.82)</f>
        <v>0.98181729865277712</v>
      </c>
      <c r="BO32" s="15">
        <f>ABS(N32)/(0.87*$AJ$16*BN32*BK32)*10^6</f>
        <v>1371.9577982492383</v>
      </c>
      <c r="BP32" s="22">
        <v>2939.2401271322478</v>
      </c>
      <c r="BQ32" s="175">
        <f>IF(Q32=0,2*ABS(P32*10^6)/$O$12/BP32/(BK32-BP32/3),Q32*BP32*1000/($O$12/2*BP32^2-(BE32-BP32)*AJ32*$AJ$18-(BF32-BP32)*AL32*$AJ$18-(BG32-BP32)*AN32*$AJ$18-(BH32-BP32)*AP32*$AJ$18-(BI32-BP32)*AR32*$AJ$18-(BJ32-BP32)*AT32*$AJ$18))</f>
        <v>-1.3457704595043425</v>
      </c>
      <c r="BR32" s="3">
        <f>0.5*$O$12*BP32*BQ32 /1000</f>
        <v>-1977.7712682421834</v>
      </c>
      <c r="BS32" s="3">
        <f>($BQ32/$BP32)*(BE32-$BP32)*$AJ$18*AJ32/1000</f>
        <v>49.371530921098575</v>
      </c>
      <c r="BT32" s="3">
        <f>($BQ32/$BP32)*(BF32-$BP32)*$AJ$18*AL32/1000</f>
        <v>0</v>
      </c>
      <c r="BU32" s="3">
        <f>($BQ32/$BP32)*(BG32-$BP32)*$AJ$18*AN32/1000</f>
        <v>0</v>
      </c>
      <c r="BV32" s="3">
        <f>($BQ32/$BP32)*(BH32-$BP32)*$AJ$18*AP32/1000</f>
        <v>0</v>
      </c>
      <c r="BW32" s="3">
        <f>($BQ32/$BP32)*(BI32-$BP32)*$AJ$18*AR32/1000</f>
        <v>0</v>
      </c>
      <c r="BX32" s="3">
        <f>($BQ32/$BP32)*(BJ32-$BP32)*$AJ$18*AT32/1000</f>
        <v>0</v>
      </c>
      <c r="BY32" s="175">
        <f>IF(Q32=0,0,(0.5*$O$12*BP32*BQ32/1000*(R32/2-$BP32/3)+BS32*(BE32-R32/2)+BT32*(BF32-R32/2)+BU32*(BG32-R32/2)+BV32*(BH32-R32/2)+BW32*(BI32-R32/2)+BX32*(BJ32-R32/2))/1000-ABS(P32))</f>
        <v>573.36718946282338</v>
      </c>
      <c r="BZ32" s="10"/>
      <c r="CA32" s="176">
        <f>ABS(P32)/(BK32-BP32/3)/AV32*10^6-Q32*(R32/2-BP32/3)/(BK32-BP32/3)/AV32*1000</f>
        <v>2343.5355972889365</v>
      </c>
      <c r="CB32" s="177">
        <f>(AV32/($O$12*MIN(2.5*(R32-BK32),(R32-BP32)/3,R32/2)-AV32))</f>
        <v>-5.0370379107523046E-3</v>
      </c>
      <c r="CC32" s="177">
        <f>3.4*($O$16+$AX$14)+0.425*0.8*0.5*(T32^2+W32^2+Z32^2+AC32^2+AF32^2+AI32^2)/(T32+W32+Z32+AC32+AF32+AI32)/CB32</f>
        <v>-561.5498536446878</v>
      </c>
      <c r="CD32" s="177">
        <f>MAX(0.6*CA32/$AJ$17,(CA32-0.4*0.3*$AJ$14^(2/3)/CB32*(1+$AJ$17/$AJ$15*CB32))/$AJ$17)</f>
        <v>12.820373488150478</v>
      </c>
      <c r="CE32" s="178">
        <f>CC32*CD32/1000</f>
        <v>-7.1992788559411363</v>
      </c>
      <c r="CF32" s="23" t="str">
        <f t="shared" si="31"/>
        <v>O.K</v>
      </c>
      <c r="CG32" s="28"/>
      <c r="CH32" s="179" t="str">
        <f>IF(O32&lt;0.2*$AJ$14*R32*$O$12/1000,"N &lt; 0.2fckAc - OK!","TBA")</f>
        <v>N &lt; 0.2fckAc - OK!</v>
      </c>
      <c r="CI32" s="24">
        <v>77</v>
      </c>
      <c r="CJ32" s="25"/>
      <c r="CK32" s="6">
        <f t="shared" si="17"/>
        <v>104</v>
      </c>
      <c r="CL32" s="8" t="s">
        <v>72</v>
      </c>
      <c r="CM32" s="6">
        <f t="shared" si="18"/>
        <v>204</v>
      </c>
      <c r="CN32" s="26" t="s">
        <v>145</v>
      </c>
      <c r="CO32" s="15" t="str">
        <f>IF(VLOOKUP(CI32,'Summary-input'!A:C,3,0)="Outward",
IF(CP32&lt;0,"External","Internal"),
IF(CP32&lt;0,"Internal","External")
)</f>
        <v>External</v>
      </c>
      <c r="CP32">
        <f>VLOOKUP(CI32&amp;CN32,'Summary-output-ULS'!A:G,6,0)</f>
        <v>-529.99193438562213</v>
      </c>
      <c r="CQ32">
        <f>VLOOKUP(CI32&amp;CN32,'Summary-output-ULS'!A:G,7,0)</f>
        <v>-2831.9464928307789</v>
      </c>
      <c r="CR32" s="3">
        <f>VLOOKUP(CI32&amp;CN32,'Summary-output-SLS'!A:G,6,0)</f>
        <v>-395.43285197589012</v>
      </c>
      <c r="CS32" s="3">
        <f>VLOOKUP(CI32&amp;CN32,'Summary-output-SLS'!A:G,7,0)</f>
        <v>-2027.1427991632827</v>
      </c>
      <c r="CT32" s="20">
        <v>1000</v>
      </c>
      <c r="CU32" s="2">
        <f>VLOOKUP(CI32&amp;CN32,'Summary-output-ULS'!A:G,5,0)</f>
        <v>104</v>
      </c>
      <c r="CV32" s="15">
        <f>VLOOKUP(CI32&amp;CN32,'Summary-output-SLS'!A:G,5,0)</f>
        <v>204</v>
      </c>
      <c r="CW32" s="6"/>
      <c r="CX32" s="278"/>
      <c r="CY32" s="6"/>
      <c r="CZ32" s="6"/>
      <c r="DA32" s="6"/>
      <c r="DB32" s="6"/>
      <c r="DC32" s="6"/>
      <c r="DD32" s="6"/>
      <c r="DE32" s="6"/>
      <c r="DF32" s="6"/>
      <c r="DG32" s="6"/>
      <c r="DH32" s="6"/>
      <c r="DI32" s="6"/>
      <c r="DJ32" s="212"/>
      <c r="DK32" s="13"/>
      <c r="DL32" s="13"/>
      <c r="DM32" s="202"/>
      <c r="DN32" s="206">
        <f>IF(CO32="external",T32,0)</f>
        <v>25</v>
      </c>
      <c r="DO32" s="206">
        <f>IF(CO32="external",W32,0)</f>
        <v>0</v>
      </c>
      <c r="DP32" s="206">
        <f>IF(CO32="external",Z32,0)</f>
        <v>0</v>
      </c>
      <c r="DQ32" s="206">
        <f>IF(CO32="external",AC32,0)</f>
        <v>0</v>
      </c>
      <c r="DR32" s="206">
        <f>IF(CO32="external",AF32,0)</f>
        <v>0</v>
      </c>
      <c r="DS32" s="207">
        <f>IF(CO32="external",AI32,0)</f>
        <v>0</v>
      </c>
      <c r="DT32" s="208"/>
      <c r="DU32" s="207">
        <f>IF(CO32="internal",T32,0)</f>
        <v>0</v>
      </c>
      <c r="DV32" s="207">
        <f>IF(CO32="internal",W32,0)</f>
        <v>0</v>
      </c>
      <c r="DW32" s="207">
        <f>IF(CO32="internal",Z32,0)</f>
        <v>0</v>
      </c>
      <c r="DX32" s="207">
        <f>IF(CO32="internal",AC32,0)</f>
        <v>0</v>
      </c>
      <c r="DY32" s="207">
        <f>IF(CO32="internal",AF32,0)</f>
        <v>0</v>
      </c>
      <c r="DZ32" s="207">
        <f>IF(CO32="internal",AI32,0)</f>
        <v>0</v>
      </c>
    </row>
    <row r="33" spans="1:130" s="7" customFormat="1" x14ac:dyDescent="0.3">
      <c r="B33" s="19">
        <f>+CI33</f>
        <v>77</v>
      </c>
      <c r="C33" s="6">
        <f t="shared" si="8"/>
        <v>0</v>
      </c>
      <c r="D33" s="6">
        <f t="shared" si="9"/>
        <v>106</v>
      </c>
      <c r="E33" s="6" t="str">
        <f t="shared" si="10"/>
        <v>--</v>
      </c>
      <c r="F33" s="6">
        <f>+CM33</f>
        <v>206</v>
      </c>
      <c r="G33" s="174" t="str">
        <f t="shared" si="11"/>
        <v>Min Fx</v>
      </c>
      <c r="H33" s="6" t="str">
        <f t="shared" si="12"/>
        <v>External</v>
      </c>
      <c r="I33" s="156"/>
      <c r="J33" s="10">
        <f t="shared" si="13"/>
        <v>-174.27794296962318</v>
      </c>
      <c r="K33" s="10">
        <f t="shared" si="14"/>
        <v>-1161.7118845200287</v>
      </c>
      <c r="L33" s="10">
        <f t="shared" si="15"/>
        <v>-121.27134674014275</v>
      </c>
      <c r="M33" s="10">
        <f t="shared" si="16"/>
        <v>-1232.0360247154028</v>
      </c>
      <c r="N33" s="10">
        <f>IF(I33*J33&gt;=0,J33*$J$19+I33*$J$18,J33)</f>
        <v>-174.27794296962318</v>
      </c>
      <c r="O33" s="10">
        <f>(K33)*$J$19</f>
        <v>-1161.7118845200287</v>
      </c>
      <c r="P33" s="14">
        <f>IF(I33*L33&gt;=0,(L33)+I33,L33)</f>
        <v>-121.27134674014275</v>
      </c>
      <c r="Q33" s="3">
        <f>(M33)</f>
        <v>-1232.0360247154028</v>
      </c>
      <c r="R33" s="20">
        <f t="shared" si="7"/>
        <v>1000</v>
      </c>
      <c r="S33" s="23"/>
      <c r="T33" s="12">
        <v>25</v>
      </c>
      <c r="U33" s="28"/>
      <c r="V33" s="28"/>
      <c r="W33" s="12"/>
      <c r="X33" s="28"/>
      <c r="Y33" s="28"/>
      <c r="Z33" s="12"/>
      <c r="AA33" s="28"/>
      <c r="AB33" s="28"/>
      <c r="AC33" s="158"/>
      <c r="AD33" s="28"/>
      <c r="AE33" s="28"/>
      <c r="AF33" s="158"/>
      <c r="AG33" s="28"/>
      <c r="AH33" s="28"/>
      <c r="AI33" s="29"/>
      <c r="AJ33" s="6">
        <f>PI()/4*T33^2*$O$12/$AX$16</f>
        <v>3272.4923474893681</v>
      </c>
      <c r="AK33" s="28" t="str">
        <f>IF(W33=0,"","+")</f>
        <v/>
      </c>
      <c r="AL33" s="6">
        <f>PI()/4*W33^2*$O$12/$AX$16</f>
        <v>0</v>
      </c>
      <c r="AM33" s="28" t="str">
        <f>IF(Z33=0,"","+")</f>
        <v/>
      </c>
      <c r="AN33" s="6">
        <f>PI()/4*Z33^2*$O$12/$AX$16</f>
        <v>0</v>
      </c>
      <c r="AO33" s="28" t="str">
        <f>IF(AC33=0,"","+")</f>
        <v/>
      </c>
      <c r="AP33" s="6">
        <f>PI()/4*AC33^2*$O$12/$AX$16</f>
        <v>0</v>
      </c>
      <c r="AQ33" s="28" t="str">
        <f>IF(AF33=0,"","+")</f>
        <v/>
      </c>
      <c r="AR33" s="6">
        <f>PI()/4*AF33^2*$O$12/$AX$16</f>
        <v>0</v>
      </c>
      <c r="AS33" s="28" t="str">
        <f>IF(AI33=0,"","+")</f>
        <v/>
      </c>
      <c r="AT33" s="6">
        <f>PI()/4*AI33^2*$O$12/$AX$16</f>
        <v>0</v>
      </c>
      <c r="AU33" s="28" t="s">
        <v>24</v>
      </c>
      <c r="AV33" s="15">
        <f>VALUE(AJ33)+VALUE(AL33)+VALUE(AN33)+VALUE(AP33)+VALUE(AR33)+VALUE(AT33)</f>
        <v>3272.4923474893681</v>
      </c>
      <c r="AW33" s="228">
        <f>MAX(0.3*$AJ$14^(2/3)/$AJ$16*0.26*100,0.13)</f>
        <v>0.15723814702688016</v>
      </c>
      <c r="AX33" s="6">
        <f>AW33/100*$O$12*BK33</f>
        <v>1422.2190398581311</v>
      </c>
      <c r="AY33" s="6"/>
      <c r="AZ33" s="6"/>
      <c r="BA33" s="24" t="str">
        <f>IF(BB33=0,"","+")</f>
        <v/>
      </c>
      <c r="BB33" s="24"/>
      <c r="BC33" s="28" t="s">
        <v>24</v>
      </c>
      <c r="BD33" s="15">
        <f>AX33+AZ33+BB33</f>
        <v>1422.2190398581311</v>
      </c>
      <c r="BE33" s="2">
        <f>(R33-($AX$14+$O$16+T33/2))</f>
        <v>904.5</v>
      </c>
      <c r="BF33" s="3">
        <f>IF(W33=0,0,(R33-($AX$14+T33/2+$O$16+$BI$16)))</f>
        <v>0</v>
      </c>
      <c r="BG33" s="3">
        <f>IF(Z33=0,0,(R33-($AX$14+T33/2+$BI$16+$O$16+$BI$17)))</f>
        <v>0</v>
      </c>
      <c r="BH33" s="3">
        <f>IF(AC33=0,0,(R33-($AX$14+T33/2+$O$16+$BI$16+$BI$17+$BI$18)))</f>
        <v>0</v>
      </c>
      <c r="BI33" s="3">
        <f>IF(AF33=0,0,(R33-($AX$14+T33/2+$O$16+$BI$16+$BI$17+$BI$18+$BL$16)))</f>
        <v>0</v>
      </c>
      <c r="BJ33" s="3">
        <f>IF(AI33=0,0,(R33-($AX$14+T33/2+$O$16+$BI$16+$BI$17+$BI$18+$BL$16+$BL$17)))</f>
        <v>0</v>
      </c>
      <c r="BK33" s="6">
        <f>(BE33*AJ33+BF33*AL33+BG33*AN33+BH33*AP33+BI33*AR33+BJ33*AT33)/AV33</f>
        <v>904.5</v>
      </c>
      <c r="BL33" s="175">
        <f>ABS(N33)*1000000/$O$12/BK33^2</f>
        <v>0.21302240467660244</v>
      </c>
      <c r="BM33" s="175">
        <f>BL33/$AJ$14</f>
        <v>6.6569501461438262E-3</v>
      </c>
      <c r="BN33" s="21">
        <f>IF(BM33&lt;0.167,0.5+SQRT(0.25-(BM33/1.134)),0.82)</f>
        <v>0.99409480223178404</v>
      </c>
      <c r="BO33" s="15">
        <f>ABS(N33)/(0.87*$AJ$16*BN33*BK33)*10^6</f>
        <v>445.57087385397244</v>
      </c>
      <c r="BP33" s="22">
        <v>3790.7201512219235</v>
      </c>
      <c r="BQ33" s="175">
        <f>IF(Q33=0,2*ABS(P33*10^6)/$O$12/BP33/(BK33-BP33/3),Q33*BP33*1000/($O$12/2*BP33^2-(BE33-BP33)*AJ33*$AJ$18-(BF33-BP33)*AL33*$AJ$18-(BG33-BP33)*AN33*$AJ$18-(BH33-BP33)*AP33*$AJ$18-(BI33-BP33)*AR33*$AJ$18-(BJ33-BP33)*AT33*$AJ$18))</f>
        <v>-0.63647768430441054</v>
      </c>
      <c r="BR33" s="3">
        <f>0.5*$O$12*BP33*BQ33 /1000</f>
        <v>-1206.3543918478974</v>
      </c>
      <c r="BS33" s="3">
        <f>($BQ33/$BP33)*(BE33-$BP33)*$AJ$18*AJ33/1000</f>
        <v>25.681632867505481</v>
      </c>
      <c r="BT33" s="3">
        <f>($BQ33/$BP33)*(BF33-$BP33)*$AJ$18*AL33/1000</f>
        <v>0</v>
      </c>
      <c r="BU33" s="3">
        <f>($BQ33/$BP33)*(BG33-$BP33)*$AJ$18*AN33/1000</f>
        <v>0</v>
      </c>
      <c r="BV33" s="3">
        <f>($BQ33/$BP33)*(BH33-$BP33)*$AJ$18*AP33/1000</f>
        <v>0</v>
      </c>
      <c r="BW33" s="3">
        <f>($BQ33/$BP33)*(BI33-$BP33)*$AJ$18*AR33/1000</f>
        <v>0</v>
      </c>
      <c r="BX33" s="3">
        <f>($BQ33/$BP33)*(BJ33-$BP33)*$AJ$18*AT33/1000</f>
        <v>0</v>
      </c>
      <c r="BY33" s="175">
        <f>IF(Q33=0,0,(0.5*$O$12*BP33*BQ33/1000*(R33/2-$BP33/3)+BS33*(BE33-R33/2)+BT33*(BF33-R33/2)+BU33*(BG33-R33/2)+BV33*(BH33-R33/2)+BW33*(BI33-R33/2)+BX33*(BJ33-R33/2))/1000-ABS(P33))</f>
        <v>810.25697872844557</v>
      </c>
      <c r="BZ33" s="10"/>
      <c r="CA33" s="176">
        <f>ABS(P33)/(BK33-BP33/3)/AV33*10^6-Q33*(R33/2-BP33/3)/(BK33-BP33/3)/AV33*1000</f>
        <v>697.39004986751024</v>
      </c>
      <c r="CB33" s="177">
        <f>(AV33/($O$12*MIN(2.5*(R33-BK33),(R33-BP33)/3,R33/2)-AV33))</f>
        <v>-3.5055686963050728E-3</v>
      </c>
      <c r="CC33" s="177">
        <f>3.4*($O$16+$AX$14)+0.425*0.8*0.5*(T33^2+W33^2+Z33^2+AC33^2+AF33^2+AI33^2)/(T33+W33+Z33+AC33+AF33+AI33)/CB33</f>
        <v>-930.15678664051597</v>
      </c>
      <c r="CD33" s="177">
        <f>MAX(0.6*CA33/$AJ$17,(CA33-0.4*0.3*$AJ$14^(2/3)/CB33*(1+$AJ$17/$AJ$15*CB33))/$AJ$17)</f>
        <v>5.1141622318173328</v>
      </c>
      <c r="CE33" s="178">
        <f>CC33*CD33/1000</f>
        <v>-4.7569727079054998</v>
      </c>
      <c r="CF33" s="23" t="str">
        <f t="shared" si="31"/>
        <v>O.K</v>
      </c>
      <c r="CG33" s="28"/>
      <c r="CH33" s="179" t="str">
        <f>IF(O33&lt;0.2*$AJ$14*R33*$O$12/1000,"N &lt; 0.2fckAc - OK!","TBA")</f>
        <v>N &lt; 0.2fckAc - OK!</v>
      </c>
      <c r="CI33" s="24">
        <v>77</v>
      </c>
      <c r="CJ33" s="25"/>
      <c r="CK33" s="6">
        <f t="shared" si="17"/>
        <v>106</v>
      </c>
      <c r="CL33" s="8" t="s">
        <v>72</v>
      </c>
      <c r="CM33" s="6">
        <f t="shared" si="18"/>
        <v>206</v>
      </c>
      <c r="CN33" s="26" t="s">
        <v>146</v>
      </c>
      <c r="CO33" s="15" t="str">
        <f>IF(VLOOKUP(CI33,'Summary-input'!A:C,3,0)="Outward",
IF(CP33&lt;0,"External","Internal"),
IF(CP33&lt;0,"Internal","External")
)</f>
        <v>External</v>
      </c>
      <c r="CP33">
        <f>VLOOKUP(CI33&amp;CN33,'Summary-output-ULS'!A:G,6,0)</f>
        <v>-174.27794296962318</v>
      </c>
      <c r="CQ33">
        <f>VLOOKUP(CI33&amp;CN33,'Summary-output-ULS'!A:G,7,0)</f>
        <v>-1161.7118845200287</v>
      </c>
      <c r="CR33" s="3">
        <f>VLOOKUP(CI33&amp;CN33,'Summary-output-SLS'!A:G,6,0)</f>
        <v>-121.27134674014275</v>
      </c>
      <c r="CS33" s="3">
        <f>VLOOKUP(CI33&amp;CN33,'Summary-output-SLS'!A:G,7,0)</f>
        <v>-1232.0360247154028</v>
      </c>
      <c r="CT33" s="20">
        <v>1000</v>
      </c>
      <c r="CU33" s="2">
        <f>VLOOKUP(CI33&amp;CN33,'Summary-output-ULS'!A:G,5,0)</f>
        <v>106</v>
      </c>
      <c r="CV33" s="15">
        <f>VLOOKUP(CI33&amp;CN33,'Summary-output-SLS'!A:G,5,0)</f>
        <v>206</v>
      </c>
      <c r="CW33" s="6"/>
      <c r="CX33" s="278"/>
      <c r="CY33" s="6"/>
      <c r="CZ33" s="6"/>
      <c r="DA33" s="6"/>
      <c r="DB33" s="6"/>
      <c r="DC33" s="6"/>
      <c r="DD33" s="6"/>
      <c r="DE33" s="6"/>
      <c r="DF33" s="6"/>
      <c r="DG33" s="6"/>
      <c r="DH33" s="6"/>
      <c r="DI33" s="6"/>
      <c r="DJ33" s="212"/>
      <c r="DK33" s="13"/>
      <c r="DL33" s="13"/>
      <c r="DM33" s="202"/>
      <c r="DN33" s="206">
        <f>IF(CO33="external",T33,0)</f>
        <v>25</v>
      </c>
      <c r="DO33" s="206">
        <f>IF(CO33="external",W33,0)</f>
        <v>0</v>
      </c>
      <c r="DP33" s="206">
        <f>IF(CO33="external",Z33,0)</f>
        <v>0</v>
      </c>
      <c r="DQ33" s="206">
        <f>IF(CO33="external",AC33,0)</f>
        <v>0</v>
      </c>
      <c r="DR33" s="206">
        <f>IF(CO33="external",AF33,0)</f>
        <v>0</v>
      </c>
      <c r="DS33" s="207">
        <f>IF(CO33="external",AI33,0)</f>
        <v>0</v>
      </c>
      <c r="DT33" s="208"/>
      <c r="DU33" s="207">
        <f>IF(CO33="internal",T33,0)</f>
        <v>0</v>
      </c>
      <c r="DV33" s="207">
        <f>IF(CO33="internal",W33,0)</f>
        <v>0</v>
      </c>
      <c r="DW33" s="207">
        <f>IF(CO33="internal",Z33,0)</f>
        <v>0</v>
      </c>
      <c r="DX33" s="207">
        <f>IF(CO33="internal",AC33,0)</f>
        <v>0</v>
      </c>
      <c r="DY33" s="207">
        <f>IF(CO33="internal",AF33,0)</f>
        <v>0</v>
      </c>
      <c r="DZ33" s="207">
        <f>IF(CO33="internal",AI33,0)</f>
        <v>0</v>
      </c>
    </row>
    <row r="34" spans="1:130" s="7" customFormat="1" x14ac:dyDescent="0.3">
      <c r="B34" s="19"/>
      <c r="C34" s="6"/>
      <c r="D34" s="6"/>
      <c r="E34" s="6"/>
      <c r="F34" s="6"/>
      <c r="G34" s="232"/>
      <c r="H34" s="6"/>
      <c r="I34" s="24"/>
      <c r="J34" s="6"/>
      <c r="K34" s="6"/>
      <c r="L34" s="6"/>
      <c r="M34" s="6"/>
      <c r="N34" s="6"/>
      <c r="O34" s="6"/>
      <c r="P34" s="24"/>
      <c r="Q34" s="6"/>
      <c r="R34" s="6">
        <f t="shared" si="5"/>
        <v>0</v>
      </c>
      <c r="S34" s="28"/>
      <c r="T34" s="12"/>
      <c r="U34" s="28"/>
      <c r="V34" s="28"/>
      <c r="W34" s="12"/>
      <c r="X34" s="28"/>
      <c r="Y34" s="28"/>
      <c r="Z34" s="12"/>
      <c r="AA34" s="28"/>
      <c r="AB34" s="28"/>
      <c r="AC34" s="158"/>
      <c r="AD34" s="28"/>
      <c r="AE34" s="28"/>
      <c r="AF34" s="158"/>
      <c r="AG34" s="28"/>
      <c r="AH34" s="28"/>
      <c r="AI34" s="12"/>
      <c r="AJ34" s="6"/>
      <c r="AK34" s="28"/>
      <c r="AL34" s="6"/>
      <c r="AM34" s="28"/>
      <c r="AN34" s="6"/>
      <c r="AO34" s="28"/>
      <c r="AP34" s="6"/>
      <c r="AQ34" s="28"/>
      <c r="AR34" s="6"/>
      <c r="AS34" s="28"/>
      <c r="AT34" s="6"/>
      <c r="AU34" s="28"/>
      <c r="AV34" s="6"/>
      <c r="AW34" s="233"/>
      <c r="AX34" s="6"/>
      <c r="AY34" s="6"/>
      <c r="AZ34" s="6"/>
      <c r="BA34" s="24"/>
      <c r="BB34" s="24"/>
      <c r="BC34" s="28"/>
      <c r="BD34" s="6"/>
      <c r="BE34" s="6"/>
      <c r="BF34" s="6"/>
      <c r="BG34" s="6"/>
      <c r="BH34" s="6"/>
      <c r="BI34" s="6"/>
      <c r="BJ34" s="6"/>
      <c r="BK34" s="6"/>
      <c r="BL34" s="231"/>
      <c r="BM34" s="231"/>
      <c r="BN34" s="231"/>
      <c r="BO34" s="6"/>
      <c r="BP34" s="234"/>
      <c r="BQ34" s="231"/>
      <c r="BR34" s="6"/>
      <c r="BS34" s="6"/>
      <c r="BT34" s="6"/>
      <c r="BU34" s="6"/>
      <c r="BV34" s="6"/>
      <c r="BW34" s="6"/>
      <c r="BX34" s="6"/>
      <c r="BY34" s="231"/>
      <c r="BZ34" s="6"/>
      <c r="CA34" s="234"/>
      <c r="CB34" s="235"/>
      <c r="CC34" s="235"/>
      <c r="CD34" s="235"/>
      <c r="CE34" s="235"/>
      <c r="CF34" s="28"/>
      <c r="CG34" s="28"/>
      <c r="CH34" s="173"/>
      <c r="CI34" s="24"/>
      <c r="CJ34" s="25"/>
      <c r="CK34" s="6" t="e">
        <f>CU34</f>
        <v>#N/A</v>
      </c>
      <c r="CL34" s="8" t="s">
        <v>72</v>
      </c>
      <c r="CM34" s="6" t="e">
        <f>CV34</f>
        <v>#N/A</v>
      </c>
      <c r="CN34" s="236"/>
      <c r="CO34" s="15" t="e">
        <f>IF(VLOOKUP(CI34,'Summary-input'!A:C,3,0)="Outward",
IF(CP34&lt;0,"External","Internal"),
IF(CP34&lt;0,"Internal","External")
)</f>
        <v>#N/A</v>
      </c>
      <c r="CP34" t="e">
        <f>VLOOKUP(CI34&amp;CN34,'Summary-output-ULS'!A:G,6,0)</f>
        <v>#N/A</v>
      </c>
      <c r="CQ34" t="e">
        <f>VLOOKUP(CI34&amp;CN34,'Summary-output-ULS'!A:G,7,0)</f>
        <v>#N/A</v>
      </c>
      <c r="CR34" s="3" t="e">
        <f>VLOOKUP(CI34&amp;CN34,'Summary-output-SLS'!A:G,6,0)</f>
        <v>#N/A</v>
      </c>
      <c r="CS34" s="3" t="e">
        <f>VLOOKUP(CI34&amp;CN34,'Summary-output-SLS'!A:G,7,0)</f>
        <v>#N/A</v>
      </c>
      <c r="CT34" s="6"/>
      <c r="CU34" s="2" t="e">
        <f>VLOOKUP(CI34&amp;CN34,'Summary-output-ULS'!A:G,5,0)</f>
        <v>#N/A</v>
      </c>
      <c r="CV34" s="15" t="e">
        <f>VLOOKUP(CI34&amp;CN34,'Summary-output-SLS'!A:G,5,0)</f>
        <v>#N/A</v>
      </c>
      <c r="CW34" s="6"/>
      <c r="CX34" s="278"/>
      <c r="CY34" s="6"/>
      <c r="CZ34" s="6"/>
      <c r="DA34" s="6"/>
      <c r="DB34" s="6"/>
      <c r="DC34" s="6"/>
      <c r="DD34" s="6"/>
      <c r="DE34" s="6"/>
      <c r="DF34" s="6"/>
      <c r="DG34" s="6"/>
      <c r="DH34" s="6"/>
      <c r="DI34" s="6"/>
      <c r="DJ34" s="212"/>
      <c r="DK34" s="13"/>
      <c r="DL34" s="13"/>
      <c r="DM34" s="202"/>
      <c r="DN34" s="206"/>
      <c r="DO34" s="206"/>
      <c r="DP34" s="206"/>
      <c r="DQ34" s="206"/>
      <c r="DR34" s="206"/>
      <c r="DS34" s="207"/>
      <c r="DT34" s="208"/>
      <c r="DU34" s="207"/>
      <c r="DV34" s="207"/>
      <c r="DW34" s="207"/>
      <c r="DX34" s="207"/>
      <c r="DY34" s="207"/>
      <c r="DZ34" s="207"/>
    </row>
    <row r="35" spans="1:130" s="7" customFormat="1" ht="13.8" x14ac:dyDescent="0.25">
      <c r="A35" s="7" t="s">
        <v>141</v>
      </c>
      <c r="B35" s="19">
        <f>+CI35</f>
        <v>79</v>
      </c>
      <c r="C35" s="6">
        <f t="shared" ref="C35:E38" si="32">CJ35</f>
        <v>0</v>
      </c>
      <c r="D35" s="6">
        <f t="shared" si="32"/>
        <v>103</v>
      </c>
      <c r="E35" s="6" t="str">
        <f t="shared" si="32"/>
        <v>--</v>
      </c>
      <c r="F35" s="6">
        <f>+CM35</f>
        <v>203</v>
      </c>
      <c r="G35" s="174" t="str">
        <f t="shared" ref="G35:H38" si="33">CN35</f>
        <v>Max Mz</v>
      </c>
      <c r="H35" s="6" t="str">
        <f t="shared" si="33"/>
        <v>External</v>
      </c>
      <c r="I35" s="156"/>
      <c r="J35" s="10">
        <f t="shared" ref="J35:M38" si="34">(CP35)</f>
        <v>-766.23619183909898</v>
      </c>
      <c r="K35" s="10">
        <f t="shared" si="34"/>
        <v>-2136.3498185063008</v>
      </c>
      <c r="L35" s="10">
        <f t="shared" si="34"/>
        <v>-562.67968472577627</v>
      </c>
      <c r="M35" s="10">
        <f t="shared" si="34"/>
        <v>-1564.607148262904</v>
      </c>
      <c r="N35" s="10">
        <f>IF(I35*J35&gt;=0,J35*$J$19+I35*$J$18,J35)</f>
        <v>-766.23619183909898</v>
      </c>
      <c r="O35" s="10">
        <f>(K35)*$J$19</f>
        <v>-2136.3498185063008</v>
      </c>
      <c r="P35" s="14">
        <f>IF(I35*L35&gt;=0,(L35)+I35,L35)</f>
        <v>-562.67968472577627</v>
      </c>
      <c r="Q35" s="3">
        <f>(M35)</f>
        <v>-1564.607148262904</v>
      </c>
      <c r="R35" s="20">
        <f t="shared" si="5"/>
        <v>1000</v>
      </c>
      <c r="S35" s="23"/>
      <c r="T35" s="12">
        <v>25</v>
      </c>
      <c r="U35" s="28"/>
      <c r="V35" s="28"/>
      <c r="W35" s="12"/>
      <c r="X35" s="28"/>
      <c r="Y35" s="28"/>
      <c r="Z35" s="12"/>
      <c r="AA35" s="28"/>
      <c r="AB35" s="28"/>
      <c r="AC35" s="158"/>
      <c r="AD35" s="28"/>
      <c r="AE35" s="28"/>
      <c r="AF35" s="158"/>
      <c r="AG35" s="28"/>
      <c r="AH35" s="28"/>
      <c r="AI35" s="29"/>
      <c r="AJ35" s="6">
        <f>PI()/4*T35^2*$O$12/$AX$16</f>
        <v>3272.4923474893681</v>
      </c>
      <c r="AK35" s="28" t="str">
        <f>IF(W35=0,"","+")</f>
        <v/>
      </c>
      <c r="AL35" s="6">
        <f>PI()/4*W35^2*$O$12/$AX$16</f>
        <v>0</v>
      </c>
      <c r="AM35" s="28" t="str">
        <f>IF(Z35=0,"","+")</f>
        <v/>
      </c>
      <c r="AN35" s="6">
        <f>PI()/4*Z35^2*$O$12/$AX$16</f>
        <v>0</v>
      </c>
      <c r="AO35" s="28" t="str">
        <f>IF(AC35=0,"","+")</f>
        <v/>
      </c>
      <c r="AP35" s="6">
        <f>PI()/4*AC35^2*$O$12/$AX$16</f>
        <v>0</v>
      </c>
      <c r="AQ35" s="28" t="str">
        <f>IF(AF35=0,"","+")</f>
        <v/>
      </c>
      <c r="AR35" s="6">
        <f>PI()/4*AF35^2*$O$12/$AX$16</f>
        <v>0</v>
      </c>
      <c r="AS35" s="28" t="str">
        <f>IF(AI35=0,"","+")</f>
        <v/>
      </c>
      <c r="AT35" s="6">
        <f>PI()/4*AI35^2*$O$12/$AX$16</f>
        <v>0</v>
      </c>
      <c r="AU35" s="28" t="s">
        <v>24</v>
      </c>
      <c r="AV35" s="15">
        <f>VALUE(AJ35)+VALUE(AL35)+VALUE(AN35)+VALUE(AP35)+VALUE(AR35)+VALUE(AT35)</f>
        <v>3272.4923474893681</v>
      </c>
      <c r="AW35" s="228">
        <f>MAX(0.3*$AJ$14^(2/3)/$AJ$16*0.26*100,0.13)</f>
        <v>0.15723814702688016</v>
      </c>
      <c r="AX35" s="6">
        <f>AW35/100*$O$12*BK35</f>
        <v>1422.2190398581311</v>
      </c>
      <c r="AY35" s="6"/>
      <c r="AZ35" s="6"/>
      <c r="BA35" s="24" t="str">
        <f>IF(BB35=0,"","+")</f>
        <v/>
      </c>
      <c r="BB35" s="24"/>
      <c r="BC35" s="28" t="s">
        <v>24</v>
      </c>
      <c r="BD35" s="15">
        <f>AX35+AZ35+BB35</f>
        <v>1422.2190398581311</v>
      </c>
      <c r="BE35" s="2">
        <f>(R35-($AX$14+$O$16+T35/2))</f>
        <v>904.5</v>
      </c>
      <c r="BF35" s="3">
        <f>IF(W35=0,0,(R35-($AX$14+T35/2+$O$16+$BI$16)))</f>
        <v>0</v>
      </c>
      <c r="BG35" s="3">
        <f>IF(Z35=0,0,(R35-($AX$14+T35/2+$BI$16+$O$16+$BI$17)))</f>
        <v>0</v>
      </c>
      <c r="BH35" s="3">
        <f>IF(AC35=0,0,(R35-($AX$14+T35/2+$O$16+$BI$16+$BI$17+$BI$18)))</f>
        <v>0</v>
      </c>
      <c r="BI35" s="3">
        <f>IF(AF35=0,0,(R35-($AX$14+T35/2+$O$16+$BI$16+$BI$17+$BI$18+$BL$16)))</f>
        <v>0</v>
      </c>
      <c r="BJ35" s="3">
        <f>IF(AI35=0,0,(R35-($AX$14+T35/2+$O$16+$BI$16+$BI$17+$BI$18+$BL$16+$BL$17)))</f>
        <v>0</v>
      </c>
      <c r="BK35" s="6">
        <f>(BE35*AJ35+BF35*AL35+BG35*AN35+BH35*AP35+BI35*AR35+BJ35*AT35)/AV35</f>
        <v>904.5</v>
      </c>
      <c r="BL35" s="175">
        <f>ABS(N35)*1000000/$O$12/BK35^2</f>
        <v>0.93658137888543758</v>
      </c>
      <c r="BM35" s="175">
        <f>BL35/$AJ$14</f>
        <v>2.9268168090169924E-2</v>
      </c>
      <c r="BN35" s="21">
        <f>IF(BM35&lt;0.167,0.5+SQRT(0.25-(BM35/1.134)),0.82)</f>
        <v>0.97348741056422305</v>
      </c>
      <c r="BO35" s="15">
        <f>ABS(N35)/(0.87*$AJ$16*BN35*BK35)*10^6</f>
        <v>2000.481288978003</v>
      </c>
      <c r="BP35" s="22">
        <v>3938.5686643960789</v>
      </c>
      <c r="BQ35" s="175">
        <f>IF(Q35=0,2*ABS(P35*10^6)/$O$12/BP35/(BK35-BP35/3),Q35*BP35*1000/($O$12/2*BP35^2-(BE35-BP35)*AJ35*$AJ$18-(BF35-BP35)*AL35*$AJ$18-(BG35-BP35)*AN35*$AJ$18-(BH35-BP35)*AP35*$AJ$18-(BI35-BP35)*AR35*$AJ$18-(BJ35-BP35)*AT35*$AJ$18))</f>
        <v>-0.77836945041199823</v>
      </c>
      <c r="BR35" s="3">
        <f>0.5*$O$12*BP35*BQ35 /1000</f>
        <v>-1532.8307633579468</v>
      </c>
      <c r="BS35" s="3">
        <f>($BQ35/$BP35)*(BE35-$BP35)*$AJ$18*AJ35/1000</f>
        <v>31.776384904956931</v>
      </c>
      <c r="BT35" s="3">
        <f>($BQ35/$BP35)*(BF35-$BP35)*$AJ$18*AL35/1000</f>
        <v>0</v>
      </c>
      <c r="BU35" s="3">
        <f>($BQ35/$BP35)*(BG35-$BP35)*$AJ$18*AN35/1000</f>
        <v>0</v>
      </c>
      <c r="BV35" s="3">
        <f>($BQ35/$BP35)*(BH35-$BP35)*$AJ$18*AP35/1000</f>
        <v>0</v>
      </c>
      <c r="BW35" s="3">
        <f>($BQ35/$BP35)*(BI35-$BP35)*$AJ$18*AR35/1000</f>
        <v>0</v>
      </c>
      <c r="BX35" s="3">
        <f>($BQ35/$BP35)*(BJ35-$BP35)*$AJ$18*AT35/1000</f>
        <v>0</v>
      </c>
      <c r="BY35" s="175">
        <f>IF(Q35=0,0,(0.5*$O$12*BP35*BQ35/1000*(R35/2-$BP35/3)+BS35*(BE35-R35/2)+BT35*(BF35-R35/2)+BU35*(BG35-R35/2)+BV35*(BH35-R35/2)+BW35*(BI35-R35/2)+BX35*(BJ35-R35/2))/1000-ABS(P35))</f>
        <v>696.14488541728224</v>
      </c>
      <c r="BZ35" s="10"/>
      <c r="CA35" s="176">
        <f>ABS(P35)/(BK35-BP35/3)/AV35*10^6-Q35*(R35/2-BP35/3)/(BK35-BP35/3)/AV35*1000</f>
        <v>530.64308859959806</v>
      </c>
      <c r="CB35" s="177">
        <f>(AV35/($O$12*MIN(2.5*(R35-BK35),(R35-BP35)/3,R35/2)-AV35))</f>
        <v>-3.3297799445218051E-3</v>
      </c>
      <c r="CC35" s="177">
        <f>3.4*($O$16+$AX$14)+0.425*0.8*0.5*(T35^2+W35^2+Z35^2+AC35^2+AF35^2+AI35^2)/(T35+W35+Z35+AC35+AF35+AI35)/CB35</f>
        <v>-994.1606216657508</v>
      </c>
      <c r="CD35" s="177">
        <f>MAX(0.6*CA35/$AJ$17,(CA35-0.4*0.3*$AJ$14^(2/3)/CB35*(1+$AJ$17/$AJ$15*CB35))/$AJ$17)</f>
        <v>4.3715029406088322</v>
      </c>
      <c r="CE35" s="178">
        <f>CC35*CD35/1000</f>
        <v>-4.3459760810493346</v>
      </c>
      <c r="CF35" s="23" t="str">
        <f>IF(AND(AV35&gt;=BD35,AV35&gt;=BO35,CE35&lt;=(+IF(CO35="External",0.25,0.3))),"O.K", "Not O.K")</f>
        <v>O.K</v>
      </c>
      <c r="CG35" s="28"/>
      <c r="CH35" s="179" t="str">
        <f>IF(O35&lt;0.2*$AJ$14*R35*$O$12/1000,"N &lt; 0.2fckAc - OK!","TBA")</f>
        <v>N &lt; 0.2fckAc - OK!</v>
      </c>
      <c r="CI35" s="24">
        <v>79</v>
      </c>
      <c r="CJ35" s="25"/>
      <c r="CK35" s="6">
        <f t="shared" ref="CK35:CK113" si="35">CU35</f>
        <v>103</v>
      </c>
      <c r="CL35" s="8" t="s">
        <v>72</v>
      </c>
      <c r="CM35" s="6">
        <f t="shared" ref="CM35:CM113" si="36">CV35</f>
        <v>203</v>
      </c>
      <c r="CN35" s="26" t="s">
        <v>147</v>
      </c>
      <c r="CO35" s="15" t="str">
        <f>IF(VLOOKUP(CI35,'Summary-input'!A:C,3,0)="Outward",
IF(CP35&lt;0,"External","Internal"),
IF(CP35&lt;0,"Internal","External")
)</f>
        <v>External</v>
      </c>
      <c r="CP35">
        <f>VLOOKUP(CI35&amp;CN35,'Summary-output-ULS'!A:G,6,0)</f>
        <v>-766.23619183909898</v>
      </c>
      <c r="CQ35">
        <f>VLOOKUP(CI35&amp;CN35,'Summary-output-ULS'!A:G,7,0)</f>
        <v>-2136.3498185063008</v>
      </c>
      <c r="CR35" s="3">
        <f>VLOOKUP(CI35&amp;CN35,'Summary-output-SLS'!A:G,6,0)</f>
        <v>-562.67968472577627</v>
      </c>
      <c r="CS35" s="3">
        <f>VLOOKUP(CI35&amp;CN35,'Summary-output-SLS'!A:G,7,0)</f>
        <v>-1564.607148262904</v>
      </c>
      <c r="CT35" s="20">
        <v>1000</v>
      </c>
      <c r="CU35" s="2">
        <f>VLOOKUP(CI35&amp;CN35,'Summary-output-ULS'!A:G,5,0)</f>
        <v>103</v>
      </c>
      <c r="CV35" s="15">
        <f>VLOOKUP(CI35&amp;CN35,'Summary-output-SLS'!A:G,5,0)</f>
        <v>203</v>
      </c>
      <c r="CW35" s="6"/>
      <c r="CX35" s="278">
        <f>CI35</f>
        <v>79</v>
      </c>
      <c r="CY35" s="6">
        <f t="shared" ref="CY35:DD35" si="37">MAX(DN35:DN38)</f>
        <v>25</v>
      </c>
      <c r="CZ35" s="6">
        <f t="shared" si="37"/>
        <v>0</v>
      </c>
      <c r="DA35" s="6">
        <f t="shared" si="37"/>
        <v>0</v>
      </c>
      <c r="DB35" s="6">
        <f t="shared" si="37"/>
        <v>0</v>
      </c>
      <c r="DC35" s="6">
        <f t="shared" si="37"/>
        <v>0</v>
      </c>
      <c r="DD35" s="6">
        <f t="shared" si="37"/>
        <v>0</v>
      </c>
      <c r="DE35" s="6"/>
      <c r="DF35" s="6">
        <f t="shared" ref="DF35:DK35" si="38">MAX(DU35:DU38)</f>
        <v>0</v>
      </c>
      <c r="DG35" s="6">
        <f t="shared" si="38"/>
        <v>0</v>
      </c>
      <c r="DH35" s="6">
        <f t="shared" si="38"/>
        <v>0</v>
      </c>
      <c r="DI35" s="6">
        <f t="shared" si="38"/>
        <v>0</v>
      </c>
      <c r="DJ35" s="6">
        <f t="shared" si="38"/>
        <v>0</v>
      </c>
      <c r="DK35" s="6">
        <f t="shared" si="38"/>
        <v>0</v>
      </c>
      <c r="DL35" s="13"/>
      <c r="DM35" s="202">
        <f>CI35</f>
        <v>79</v>
      </c>
      <c r="DN35" s="206">
        <f>IF(CO35="external",T35,0)</f>
        <v>25</v>
      </c>
      <c r="DO35" s="206">
        <f>IF(CO35="external",W35,0)</f>
        <v>0</v>
      </c>
      <c r="DP35" s="206">
        <f>IF(CO35="external",Z35,0)</f>
        <v>0</v>
      </c>
      <c r="DQ35" s="206">
        <f>IF(CO35="external",AC35,0)</f>
        <v>0</v>
      </c>
      <c r="DR35" s="206">
        <f>IF(CO35="external",AF35,0)</f>
        <v>0</v>
      </c>
      <c r="DS35" s="207">
        <f>IF(CO35="external",AI35,0)</f>
        <v>0</v>
      </c>
      <c r="DT35" s="208"/>
      <c r="DU35" s="207">
        <f>IF(CO35="internal",T35,0)</f>
        <v>0</v>
      </c>
      <c r="DV35" s="207">
        <f>IF(CO35="internal",W35,0)</f>
        <v>0</v>
      </c>
      <c r="DW35" s="207">
        <f>IF(CO35="internal",Z35,0)</f>
        <v>0</v>
      </c>
      <c r="DX35" s="207">
        <f>IF(CO35="internal",AC35,0)</f>
        <v>0</v>
      </c>
      <c r="DY35" s="207">
        <f>IF(CO35="internal",AF35,0)</f>
        <v>0</v>
      </c>
      <c r="DZ35" s="207">
        <f>IF(CO35="internal",AI35,0)</f>
        <v>0</v>
      </c>
    </row>
    <row r="36" spans="1:130" s="7" customFormat="1" x14ac:dyDescent="0.3">
      <c r="B36" s="19">
        <f>+CI36</f>
        <v>79</v>
      </c>
      <c r="C36" s="6">
        <f t="shared" si="32"/>
        <v>0</v>
      </c>
      <c r="D36" s="6">
        <f t="shared" si="32"/>
        <v>106</v>
      </c>
      <c r="E36" s="6" t="str">
        <f t="shared" si="32"/>
        <v>--</v>
      </c>
      <c r="F36" s="6">
        <f>+CM36</f>
        <v>206</v>
      </c>
      <c r="G36" s="174" t="str">
        <f t="shared" si="33"/>
        <v>Min Mz</v>
      </c>
      <c r="H36" s="6" t="str">
        <f t="shared" si="33"/>
        <v>External</v>
      </c>
      <c r="I36" s="156"/>
      <c r="J36" s="10">
        <f t="shared" si="34"/>
        <v>-192.31321010094641</v>
      </c>
      <c r="K36" s="10">
        <f t="shared" si="34"/>
        <v>-1135.2033727031992</v>
      </c>
      <c r="L36" s="10">
        <f t="shared" si="34"/>
        <v>-134.73692199838376</v>
      </c>
      <c r="M36" s="10">
        <f t="shared" si="34"/>
        <v>-1205.527512898549</v>
      </c>
      <c r="N36" s="10">
        <f>IF(I36*J36&gt;=0,J36*$J$19+I36*$J$18,J36)</f>
        <v>-192.31321010094641</v>
      </c>
      <c r="O36" s="10">
        <f>(K36)*$J$19</f>
        <v>-1135.2033727031992</v>
      </c>
      <c r="P36" s="14">
        <f>IF(I36*L36&gt;=0,(L36)+I36,L36)</f>
        <v>-134.73692199838376</v>
      </c>
      <c r="Q36" s="3">
        <f>(M36)</f>
        <v>-1205.527512898549</v>
      </c>
      <c r="R36" s="20">
        <f t="shared" si="5"/>
        <v>1000</v>
      </c>
      <c r="S36" s="23"/>
      <c r="T36" s="12">
        <v>20</v>
      </c>
      <c r="U36" s="28"/>
      <c r="V36" s="28"/>
      <c r="W36" s="12"/>
      <c r="X36" s="28"/>
      <c r="Y36" s="28"/>
      <c r="Z36" s="12"/>
      <c r="AA36" s="28"/>
      <c r="AB36" s="28"/>
      <c r="AC36" s="158"/>
      <c r="AD36" s="28"/>
      <c r="AE36" s="28"/>
      <c r="AF36" s="158"/>
      <c r="AG36" s="28"/>
      <c r="AH36" s="28"/>
      <c r="AI36" s="29"/>
      <c r="AJ36" s="6">
        <f>PI()/4*T36^2*$O$12/$AX$16</f>
        <v>2094.3951023931954</v>
      </c>
      <c r="AK36" s="28" t="str">
        <f>IF(W36=0,"","+")</f>
        <v/>
      </c>
      <c r="AL36" s="6">
        <f>PI()/4*W36^2*$O$12/$AX$16</f>
        <v>0</v>
      </c>
      <c r="AM36" s="28" t="str">
        <f>IF(Z36=0,"","+")</f>
        <v/>
      </c>
      <c r="AN36" s="6">
        <f>PI()/4*Z36^2*$O$12/$AX$16</f>
        <v>0</v>
      </c>
      <c r="AO36" s="28" t="str">
        <f>IF(AC36=0,"","+")</f>
        <v/>
      </c>
      <c r="AP36" s="6">
        <f>PI()/4*AC36^2*$O$12/$AX$16</f>
        <v>0</v>
      </c>
      <c r="AQ36" s="28" t="str">
        <f>IF(AF36=0,"","+")</f>
        <v/>
      </c>
      <c r="AR36" s="6">
        <f>PI()/4*AF36^2*$O$12/$AX$16</f>
        <v>0</v>
      </c>
      <c r="AS36" s="28" t="str">
        <f>IF(AI36=0,"","+")</f>
        <v/>
      </c>
      <c r="AT36" s="6">
        <f>PI()/4*AI36^2*$O$12/$AX$16</f>
        <v>0</v>
      </c>
      <c r="AU36" s="28" t="s">
        <v>24</v>
      </c>
      <c r="AV36" s="15">
        <f>VALUE(AJ36)+VALUE(AL36)+VALUE(AN36)+VALUE(AP36)+VALUE(AR36)+VALUE(AT36)</f>
        <v>2094.3951023931954</v>
      </c>
      <c r="AW36" s="228">
        <f>MAX(0.3*$AJ$14^(2/3)/$AJ$16*0.26*100,0.13)</f>
        <v>0.15723814702688016</v>
      </c>
      <c r="AX36" s="6">
        <f>AW36/100*$O$12*BK36</f>
        <v>1426.1499935338031</v>
      </c>
      <c r="AY36" s="6"/>
      <c r="AZ36" s="6"/>
      <c r="BA36" s="24" t="str">
        <f>IF(BB36=0,"","+")</f>
        <v/>
      </c>
      <c r="BB36" s="24"/>
      <c r="BC36" s="28" t="s">
        <v>24</v>
      </c>
      <c r="BD36" s="15">
        <f>AX36+AZ36+BB36</f>
        <v>1426.1499935338031</v>
      </c>
      <c r="BE36" s="2">
        <f>(R36-($AX$14+$O$16+T36/2))</f>
        <v>907</v>
      </c>
      <c r="BF36" s="3">
        <f>IF(W36=0,0,(R36-($AX$14+T36/2+$O$16+$BI$16)))</f>
        <v>0</v>
      </c>
      <c r="BG36" s="3">
        <f>IF(Z36=0,0,(R36-($AX$14+T36/2+$BI$16+$O$16+$BI$17)))</f>
        <v>0</v>
      </c>
      <c r="BH36" s="3">
        <f>IF(AC36=0,0,(R36-($AX$14+T36/2+$O$16+$BI$16+$BI$17+$BI$18)))</f>
        <v>0</v>
      </c>
      <c r="BI36" s="3">
        <f>IF(AF36=0,0,(R36-($AX$14+T36/2+$O$16+$BI$16+$BI$17+$BI$18+$BL$16)))</f>
        <v>0</v>
      </c>
      <c r="BJ36" s="3">
        <f>IF(AI36=0,0,(R36-($AX$14+T36/2+$O$16+$BI$16+$BI$17+$BI$18+$BL$16+$BL$17)))</f>
        <v>0</v>
      </c>
      <c r="BK36" s="6">
        <f>(BE36*AJ36+BF36*AL36+BG36*AN36+BH36*AP36+BI36*AR36+BJ36*AT36)/AV36</f>
        <v>907</v>
      </c>
      <c r="BL36" s="175">
        <f>ABS(N36)*1000000/$O$12/BK36^2</f>
        <v>0.23377310384009023</v>
      </c>
      <c r="BM36" s="175">
        <f>BL36/$AJ$14</f>
        <v>7.3054094950028197E-3</v>
      </c>
      <c r="BN36" s="21">
        <f>IF(BM36&lt;0.167,0.5+SQRT(0.25-(BM36/1.134)),0.82)</f>
        <v>0.99351579503750087</v>
      </c>
      <c r="BO36" s="15">
        <f>ABS(N36)/(0.87*$AJ$16*BN36*BK36)*10^6</f>
        <v>490.61158280230734</v>
      </c>
      <c r="BP36" s="22">
        <v>1511.3321448801828</v>
      </c>
      <c r="BQ36" s="175">
        <f>IF(Q36=0,2*ABS(P36*10^6)/$O$12/BP36/(BK36-BP36/3),Q36*BP36*1000/($O$12/2*BP36^2-(BE36-BP36)*AJ36*$AJ$18-(BF36-BP36)*AL36*$AJ$18-(BG36-BP36)*AN36*$AJ$18-(BH36-BP36)*AP36*$AJ$18-(BI36-BP36)*AR36*$AJ$18-(BJ36-BP36)*AT36*$AJ$18))</f>
        <v>-1.5671910236997837</v>
      </c>
      <c r="BR36" s="3">
        <f>0.5*$O$12*BP36*BQ36 /1000</f>
        <v>-1184.2730856425819</v>
      </c>
      <c r="BS36" s="3">
        <f>($BQ36/$BP36)*(BE36-$BP36)*$AJ$18*AJ36/1000</f>
        <v>21.25442725596734</v>
      </c>
      <c r="BT36" s="3">
        <f>($BQ36/$BP36)*(BF36-$BP36)*$AJ$18*AL36/1000</f>
        <v>0</v>
      </c>
      <c r="BU36" s="3">
        <f>($BQ36/$BP36)*(BG36-$BP36)*$AJ$18*AN36/1000</f>
        <v>0</v>
      </c>
      <c r="BV36" s="3">
        <f>($BQ36/$BP36)*(BH36-$BP36)*$AJ$18*AP36/1000</f>
        <v>0</v>
      </c>
      <c r="BW36" s="3">
        <f>($BQ36/$BP36)*(BI36-$BP36)*$AJ$18*AR36/1000</f>
        <v>0</v>
      </c>
      <c r="BX36" s="3">
        <f>($BQ36/$BP36)*(BJ36-$BP36)*$AJ$18*AT36/1000</f>
        <v>0</v>
      </c>
      <c r="BY36" s="175">
        <f>IF(Q36=0,0,(0.5*$O$12*BP36*BQ36/1000*(R36/2-$BP36/3)+BS36*(BE36-R36/2)+BT36*(BF36-R36/2)+BU36*(BG36-R36/2)+BV36*(BH36-R36/2)+BW36*(BI36-R36/2)+BX36*(BJ36-R36/2))/1000-ABS(P36))</f>
        <v>-121.61291871047075</v>
      </c>
      <c r="BZ36" s="10"/>
      <c r="CA36" s="176">
        <f>ABS(P36)/(BK36-BP36/3)/AV36*10^6-Q36*(R36/2-BP36/3)/(BK36-BP36/3)/AV36*1000</f>
        <v>154.1527908887652</v>
      </c>
      <c r="CB36" s="177">
        <f>(AV36/($O$12*MIN(2.5*(R36-BK36),(R36-BP36)/3,R36/2)-AV36))</f>
        <v>-1.2138715646047901E-2</v>
      </c>
      <c r="CC36" s="177">
        <f>3.4*($O$16+$AX$14)+0.425*0.8*0.5*(T36^2+W36^2+Z36^2+AC36^2+AF36^2+AI36^2)/(T36+W36+Z36+AC36+AF36+AI36)/CB36</f>
        <v>2.1044693738282376</v>
      </c>
      <c r="CD36" s="177">
        <f>MAX(0.6*CA36/$AJ$17,(CA36-0.4*0.3*$AJ$14^(2/3)/CB36*(1+$AJ$17/$AJ$15*CB36))/$AJ$17)</f>
        <v>1.1710383180629302</v>
      </c>
      <c r="CE36" s="178">
        <f>CC36*CD36/1000</f>
        <v>2.4644142759427676E-3</v>
      </c>
      <c r="CF36" s="23" t="str">
        <f t="shared" si="6"/>
        <v>O.K</v>
      </c>
      <c r="CG36" s="28"/>
      <c r="CH36" s="179" t="str">
        <f>IF(O36&lt;0.2*$AJ$14*R36*$O$12/1000,"N &lt; 0.2fckAc - OK!","TBA")</f>
        <v>N &lt; 0.2fckAc - OK!</v>
      </c>
      <c r="CI36" s="24">
        <v>79</v>
      </c>
      <c r="CJ36" s="25"/>
      <c r="CK36" s="6">
        <f t="shared" si="35"/>
        <v>106</v>
      </c>
      <c r="CL36" s="8" t="s">
        <v>72</v>
      </c>
      <c r="CM36" s="6">
        <f t="shared" si="36"/>
        <v>206</v>
      </c>
      <c r="CN36" s="26" t="s">
        <v>148</v>
      </c>
      <c r="CO36" s="15" t="str">
        <f>IF(VLOOKUP(CI36,'Summary-input'!A:C,3,0)="Outward",
IF(CP36&lt;0,"External","Internal"),
IF(CP36&lt;0,"Internal","External")
)</f>
        <v>External</v>
      </c>
      <c r="CP36">
        <f>VLOOKUP(CI36&amp;CN36,'Summary-output-ULS'!A:G,6,0)</f>
        <v>-192.31321010094641</v>
      </c>
      <c r="CQ36">
        <f>VLOOKUP(CI36&amp;CN36,'Summary-output-ULS'!A:G,7,0)</f>
        <v>-1135.2033727031992</v>
      </c>
      <c r="CR36" s="3">
        <f>VLOOKUP(CI36&amp;CN36,'Summary-output-SLS'!A:G,6,0)</f>
        <v>-134.73692199838376</v>
      </c>
      <c r="CS36" s="3">
        <f>VLOOKUP(CI36&amp;CN36,'Summary-output-SLS'!A:G,7,0)</f>
        <v>-1205.527512898549</v>
      </c>
      <c r="CT36" s="20">
        <v>1000</v>
      </c>
      <c r="CU36" s="2">
        <f>VLOOKUP(CI36&amp;CN36,'Summary-output-ULS'!A:G,5,0)</f>
        <v>106</v>
      </c>
      <c r="CV36" s="15">
        <f>VLOOKUP(CI36&amp;CN36,'Summary-output-SLS'!A:G,5,0)</f>
        <v>206</v>
      </c>
      <c r="CW36" s="6"/>
      <c r="CX36" s="278"/>
      <c r="CY36" s="6"/>
      <c r="CZ36" s="6"/>
      <c r="DA36" s="6"/>
      <c r="DB36" s="6"/>
      <c r="DC36" s="6"/>
      <c r="DD36" s="6"/>
      <c r="DE36" s="6"/>
      <c r="DF36" s="6"/>
      <c r="DG36" s="6"/>
      <c r="DH36" s="6"/>
      <c r="DI36" s="6"/>
      <c r="DJ36" s="212"/>
      <c r="DK36" s="13"/>
      <c r="DL36" s="13"/>
      <c r="DM36" s="202"/>
      <c r="DN36" s="206">
        <f>IF(CO36="external",T36,0)</f>
        <v>20</v>
      </c>
      <c r="DO36" s="206">
        <f>IF(CO36="external",W36,0)</f>
        <v>0</v>
      </c>
      <c r="DP36" s="206">
        <f>IF(CO36="external",Z36,0)</f>
        <v>0</v>
      </c>
      <c r="DQ36" s="206">
        <f>IF(CO36="external",AC36,0)</f>
        <v>0</v>
      </c>
      <c r="DR36" s="206">
        <f>IF(CO36="external",AF36,0)</f>
        <v>0</v>
      </c>
      <c r="DS36" s="207">
        <f>IF(CO36="external",AI36,0)</f>
        <v>0</v>
      </c>
      <c r="DT36" s="208"/>
      <c r="DU36" s="207">
        <f>IF(CO36="internal",T36,0)</f>
        <v>0</v>
      </c>
      <c r="DV36" s="207">
        <f>IF(CO36="internal",W36,0)</f>
        <v>0</v>
      </c>
      <c r="DW36" s="207">
        <f>IF(CO36="internal",Z36,0)</f>
        <v>0</v>
      </c>
      <c r="DX36" s="207">
        <f>IF(CO36="internal",AC36,0)</f>
        <v>0</v>
      </c>
      <c r="DY36" s="207">
        <f>IF(CO36="internal",AF36,0)</f>
        <v>0</v>
      </c>
      <c r="DZ36" s="207">
        <f>IF(CO36="internal",AI36,0)</f>
        <v>0</v>
      </c>
    </row>
    <row r="37" spans="1:130" s="7" customFormat="1" x14ac:dyDescent="0.3">
      <c r="B37" s="19">
        <f>+CI37</f>
        <v>79</v>
      </c>
      <c r="C37" s="6">
        <f t="shared" si="32"/>
        <v>0</v>
      </c>
      <c r="D37" s="6">
        <f t="shared" si="32"/>
        <v>104</v>
      </c>
      <c r="E37" s="6" t="str">
        <f t="shared" si="32"/>
        <v>--</v>
      </c>
      <c r="F37" s="6">
        <f>+CM37</f>
        <v>204</v>
      </c>
      <c r="G37" s="174" t="str">
        <f t="shared" si="33"/>
        <v>Max Fx</v>
      </c>
      <c r="H37" s="6" t="str">
        <f t="shared" si="33"/>
        <v>External</v>
      </c>
      <c r="I37" s="156"/>
      <c r="J37" s="10">
        <f t="shared" si="34"/>
        <v>-378.54651643817698</v>
      </c>
      <c r="K37" s="10">
        <f t="shared" si="34"/>
        <v>-2760.373510925278</v>
      </c>
      <c r="L37" s="10">
        <f t="shared" si="34"/>
        <v>-290.75444918611532</v>
      </c>
      <c r="M37" s="10">
        <f t="shared" si="34"/>
        <v>-1974.1257755295858</v>
      </c>
      <c r="N37" s="10">
        <f>IF(I37*J37&gt;=0,J37*$J$19+I37*$J$18,J37)</f>
        <v>-378.54651643817698</v>
      </c>
      <c r="O37" s="10">
        <f>(K37)*$J$19</f>
        <v>-2760.373510925278</v>
      </c>
      <c r="P37" s="14">
        <f>IF(I37*L37&gt;=0,(L37)+I37,L37)</f>
        <v>-290.75444918611532</v>
      </c>
      <c r="Q37" s="3">
        <f>(M37)</f>
        <v>-1974.1257755295858</v>
      </c>
      <c r="R37" s="20">
        <f t="shared" si="5"/>
        <v>1000</v>
      </c>
      <c r="S37" s="23"/>
      <c r="T37" s="12">
        <v>20</v>
      </c>
      <c r="U37" s="28"/>
      <c r="V37" s="28"/>
      <c r="W37" s="12"/>
      <c r="X37" s="28"/>
      <c r="Y37" s="28"/>
      <c r="Z37" s="12"/>
      <c r="AA37" s="28"/>
      <c r="AB37" s="28"/>
      <c r="AC37" s="158"/>
      <c r="AD37" s="28"/>
      <c r="AE37" s="28"/>
      <c r="AF37" s="158"/>
      <c r="AG37" s="28"/>
      <c r="AH37" s="28"/>
      <c r="AI37" s="29"/>
      <c r="AJ37" s="6">
        <f>PI()/4*T37^2*$O$12/$AX$16</f>
        <v>2094.3951023931954</v>
      </c>
      <c r="AK37" s="28" t="str">
        <f>IF(W37=0,"","+")</f>
        <v/>
      </c>
      <c r="AL37" s="6">
        <f>PI()/4*W37^2*$O$12/$AX$16</f>
        <v>0</v>
      </c>
      <c r="AM37" s="28" t="str">
        <f>IF(Z37=0,"","+")</f>
        <v/>
      </c>
      <c r="AN37" s="6">
        <f>PI()/4*Z37^2*$O$12/$AX$16</f>
        <v>0</v>
      </c>
      <c r="AO37" s="28" t="str">
        <f>IF(AC37=0,"","+")</f>
        <v/>
      </c>
      <c r="AP37" s="6">
        <f>PI()/4*AC37^2*$O$12/$AX$16</f>
        <v>0</v>
      </c>
      <c r="AQ37" s="28" t="str">
        <f>IF(AF37=0,"","+")</f>
        <v/>
      </c>
      <c r="AR37" s="6">
        <f>PI()/4*AF37^2*$O$12/$AX$16</f>
        <v>0</v>
      </c>
      <c r="AS37" s="28" t="str">
        <f>IF(AI37=0,"","+")</f>
        <v/>
      </c>
      <c r="AT37" s="6">
        <f>PI()/4*AI37^2*$O$12/$AX$16</f>
        <v>0</v>
      </c>
      <c r="AU37" s="28" t="s">
        <v>24</v>
      </c>
      <c r="AV37" s="15">
        <f>VALUE(AJ37)+VALUE(AL37)+VALUE(AN37)+VALUE(AP37)+VALUE(AR37)+VALUE(AT37)</f>
        <v>2094.3951023931954</v>
      </c>
      <c r="AW37" s="228">
        <f>MAX(0.3*$AJ$14^(2/3)/$AJ$16*0.26*100,0.13)</f>
        <v>0.15723814702688016</v>
      </c>
      <c r="AX37" s="6">
        <f>AW37/100*$O$12*BK37</f>
        <v>1426.1499935338031</v>
      </c>
      <c r="AY37" s="6"/>
      <c r="AZ37" s="6"/>
      <c r="BA37" s="24" t="str">
        <f>IF(BB37=0,"","+")</f>
        <v/>
      </c>
      <c r="BB37" s="24"/>
      <c r="BC37" s="28" t="s">
        <v>24</v>
      </c>
      <c r="BD37" s="15">
        <f>AX37+AZ37+BB37</f>
        <v>1426.1499935338031</v>
      </c>
      <c r="BE37" s="2">
        <f>(R37-($AX$14+$O$16+T37/2))</f>
        <v>907</v>
      </c>
      <c r="BF37" s="3">
        <f>IF(W37=0,0,(R37-($AX$14+T37/2+$O$16+$BI$16)))</f>
        <v>0</v>
      </c>
      <c r="BG37" s="3">
        <f>IF(Z37=0,0,(R37-($AX$14+T37/2+$BI$16+$O$16+$BI$17)))</f>
        <v>0</v>
      </c>
      <c r="BH37" s="3">
        <f>IF(AC37=0,0,(R37-($AX$14+T37/2+$O$16+$BI$16+$BI$17+$BI$18)))</f>
        <v>0</v>
      </c>
      <c r="BI37" s="3">
        <f>IF(AF37=0,0,(R37-($AX$14+T37/2+$O$16+$BI$16+$BI$17+$BI$18+$BL$16)))</f>
        <v>0</v>
      </c>
      <c r="BJ37" s="3">
        <f>IF(AI37=0,0,(R37-($AX$14+T37/2+$O$16+$BI$16+$BI$17+$BI$18+$BL$16+$BL$17)))</f>
        <v>0</v>
      </c>
      <c r="BK37" s="6">
        <f>(BE37*AJ37+BF37*AL37+BG37*AN37+BH37*AP37+BI37*AR37+BJ37*AT37)/AV37</f>
        <v>907</v>
      </c>
      <c r="BL37" s="175">
        <f>ABS(N37)*1000000/$O$12/BK37^2</f>
        <v>0.46015556627210019</v>
      </c>
      <c r="BM37" s="175">
        <f>BL37/$AJ$14</f>
        <v>1.4379861446003131E-2</v>
      </c>
      <c r="BN37" s="21">
        <f>IF(BM37&lt;0.167,0.5+SQRT(0.25-(BM37/1.134)),0.82)</f>
        <v>0.98715433505978956</v>
      </c>
      <c r="BO37" s="15">
        <f>ABS(N37)/(0.87*$AJ$16*BN37*BK37)*10^6</f>
        <v>971.93596515120089</v>
      </c>
      <c r="BP37" s="22">
        <v>2297.9773620603523</v>
      </c>
      <c r="BQ37" s="175">
        <f>IF(Q37=0,2*ABS(P37*10^6)/$O$12/BP37/(BK37-BP37/3),Q37*BP37*1000/($O$12/2*BP37^2-(BE37-BP37)*AJ37*$AJ$18-(BF37-BP37)*AL37*$AJ$18-(BG37-BP37)*AN37*$AJ$18-(BH37-BP37)*AP37*$AJ$18-(BI37-BP37)*AR37*$AJ$18-(BJ37-BP37)*AT37*$AJ$18))</f>
        <v>-1.6879815961902334</v>
      </c>
      <c r="BR37" s="3">
        <f>0.5*$O$12*BP37*BQ37 /1000</f>
        <v>-1939.4717478098275</v>
      </c>
      <c r="BS37" s="3">
        <f>($BQ37/$BP37)*(BE37-$BP37)*$AJ$18*AJ37/1000</f>
        <v>34.654027719758226</v>
      </c>
      <c r="BT37" s="3">
        <f>($BQ37/$BP37)*(BF37-$BP37)*$AJ$18*AL37/1000</f>
        <v>0</v>
      </c>
      <c r="BU37" s="3">
        <f>($BQ37/$BP37)*(BG37-$BP37)*$AJ$18*AN37/1000</f>
        <v>0</v>
      </c>
      <c r="BV37" s="3">
        <f>($BQ37/$BP37)*(BH37-$BP37)*$AJ$18*AP37/1000</f>
        <v>0</v>
      </c>
      <c r="BW37" s="3">
        <f>($BQ37/$BP37)*(BI37-$BP37)*$AJ$18*AR37/1000</f>
        <v>0</v>
      </c>
      <c r="BX37" s="3">
        <f>($BQ37/$BP37)*(BJ37-$BP37)*$AJ$18*AT37/1000</f>
        <v>0</v>
      </c>
      <c r="BY37" s="175">
        <f>IF(Q37=0,0,(0.5*$O$12*BP37*BQ37/1000*(R37/2-$BP37/3)+BS37*(BE37-R37/2)+BT37*(BF37-R37/2)+BU37*(BG37-R37/2)+BV37*(BH37-R37/2)+BW37*(BI37-R37/2)+BX37*(BJ37-R37/2))/1000-ABS(P37))</f>
        <v>239.23458979844855</v>
      </c>
      <c r="BZ37" s="10"/>
      <c r="CA37" s="176">
        <f>ABS(P37)/(BK37-BP37/3)/AV37*10^6-Q37*(R37/2-BP37/3)/(BK37-BP37/3)/AV37*1000</f>
        <v>-793.52477019249147</v>
      </c>
      <c r="CB37" s="177">
        <f>(AV37/($O$12*MIN(2.5*(R37-BK37),(R37-BP37)/3,R37/2)-AV37))</f>
        <v>-4.8174310875701331E-3</v>
      </c>
      <c r="CC37" s="177">
        <f>3.4*($O$16+$AX$14)+0.425*0.8*0.5*(T37^2+W37^2+Z37^2+AC37^2+AF37^2+AI37^2)/(T37+W37+Z37+AC37+AF37+AI37)/CB37</f>
        <v>-423.57034485716491</v>
      </c>
      <c r="CD37" s="177">
        <f>MAX(0.6*CA37/$AJ$17,(CA37-0.4*0.3*$AJ$14^(2/3)/CB37*(1+$AJ$17/$AJ$15*CB37))/$AJ$17)</f>
        <v>-2.3805743105774742</v>
      </c>
      <c r="CE37" s="178">
        <f>CC37*CD37/1000</f>
        <v>1.0083406816894083</v>
      </c>
      <c r="CF37" s="23" t="str">
        <f t="shared" si="6"/>
        <v>Not O.K</v>
      </c>
      <c r="CG37" s="28"/>
      <c r="CH37" s="179" t="str">
        <f>IF(O37&lt;0.2*$AJ$14*R37*$O$12/1000,"N &lt; 0.2fckAc - OK!","TBA")</f>
        <v>N &lt; 0.2fckAc - OK!</v>
      </c>
      <c r="CI37" s="24">
        <v>79</v>
      </c>
      <c r="CJ37" s="25"/>
      <c r="CK37" s="6">
        <f t="shared" si="35"/>
        <v>104</v>
      </c>
      <c r="CL37" s="8" t="s">
        <v>72</v>
      </c>
      <c r="CM37" s="6">
        <f t="shared" si="36"/>
        <v>204</v>
      </c>
      <c r="CN37" s="26" t="s">
        <v>145</v>
      </c>
      <c r="CO37" s="15" t="str">
        <f>IF(VLOOKUP(CI37,'Summary-input'!A:C,3,0)="Outward",
IF(CP37&lt;0,"External","Internal"),
IF(CP37&lt;0,"Internal","External")
)</f>
        <v>External</v>
      </c>
      <c r="CP37">
        <f>VLOOKUP(CI37&amp;CN37,'Summary-output-ULS'!A:G,6,0)</f>
        <v>-378.54651643817698</v>
      </c>
      <c r="CQ37">
        <f>VLOOKUP(CI37&amp;CN37,'Summary-output-ULS'!A:G,7,0)</f>
        <v>-2760.373510925278</v>
      </c>
      <c r="CR37" s="3">
        <f>VLOOKUP(CI37&amp;CN37,'Summary-output-SLS'!A:G,6,0)</f>
        <v>-290.75444918611532</v>
      </c>
      <c r="CS37" s="3">
        <f>VLOOKUP(CI37&amp;CN37,'Summary-output-SLS'!A:G,7,0)</f>
        <v>-1974.1257755295858</v>
      </c>
      <c r="CT37" s="20">
        <v>1000</v>
      </c>
      <c r="CU37" s="2">
        <f>VLOOKUP(CI37&amp;CN37,'Summary-output-ULS'!A:G,5,0)</f>
        <v>104</v>
      </c>
      <c r="CV37" s="15">
        <f>VLOOKUP(CI37&amp;CN37,'Summary-output-SLS'!A:G,5,0)</f>
        <v>204</v>
      </c>
      <c r="CW37" s="6"/>
      <c r="CX37" s="278"/>
      <c r="CY37" s="6"/>
      <c r="CZ37" s="6"/>
      <c r="DA37" s="6"/>
      <c r="DB37" s="6"/>
      <c r="DC37" s="6"/>
      <c r="DD37" s="6"/>
      <c r="DE37" s="6"/>
      <c r="DF37" s="6"/>
      <c r="DG37" s="6"/>
      <c r="DH37" s="6"/>
      <c r="DI37" s="6"/>
      <c r="DJ37" s="212"/>
      <c r="DK37" s="13"/>
      <c r="DL37" s="13"/>
      <c r="DM37" s="202"/>
      <c r="DN37" s="206">
        <f>IF(CO37="external",T37,0)</f>
        <v>20</v>
      </c>
      <c r="DO37" s="206">
        <f>IF(CO37="external",W37,0)</f>
        <v>0</v>
      </c>
      <c r="DP37" s="206">
        <f>IF(CO37="external",Z37,0)</f>
        <v>0</v>
      </c>
      <c r="DQ37" s="206">
        <f>IF(CO37="external",AC37,0)</f>
        <v>0</v>
      </c>
      <c r="DR37" s="206">
        <f>IF(CO37="external",AF37,0)</f>
        <v>0</v>
      </c>
      <c r="DS37" s="207">
        <f>IF(CO37="external",AI37,0)</f>
        <v>0</v>
      </c>
      <c r="DT37" s="208"/>
      <c r="DU37" s="207">
        <f>IF(CO37="internal",T37,0)</f>
        <v>0</v>
      </c>
      <c r="DV37" s="207">
        <f>IF(CO37="internal",W37,0)</f>
        <v>0</v>
      </c>
      <c r="DW37" s="207">
        <f>IF(CO37="internal",Z37,0)</f>
        <v>0</v>
      </c>
      <c r="DX37" s="207">
        <f>IF(CO37="internal",AC37,0)</f>
        <v>0</v>
      </c>
      <c r="DY37" s="207">
        <f>IF(CO37="internal",AF37,0)</f>
        <v>0</v>
      </c>
      <c r="DZ37" s="207">
        <f>IF(CO37="internal",AI37,0)</f>
        <v>0</v>
      </c>
    </row>
    <row r="38" spans="1:130" s="7" customFormat="1" x14ac:dyDescent="0.3">
      <c r="B38" s="19">
        <f>+CI38</f>
        <v>79</v>
      </c>
      <c r="C38" s="6">
        <f t="shared" si="32"/>
        <v>0</v>
      </c>
      <c r="D38" s="6">
        <f t="shared" si="32"/>
        <v>106</v>
      </c>
      <c r="E38" s="6" t="str">
        <f t="shared" si="32"/>
        <v>--</v>
      </c>
      <c r="F38" s="6">
        <f>+CM38</f>
        <v>206</v>
      </c>
      <c r="G38" s="174" t="str">
        <f t="shared" si="33"/>
        <v>Min Fx</v>
      </c>
      <c r="H38" s="6" t="str">
        <f t="shared" si="33"/>
        <v>External</v>
      </c>
      <c r="I38" s="156"/>
      <c r="J38" s="10">
        <f t="shared" si="34"/>
        <v>-210.34847723227006</v>
      </c>
      <c r="K38" s="10">
        <f t="shared" si="34"/>
        <v>-1108.6948608863477</v>
      </c>
      <c r="L38" s="10">
        <f t="shared" si="34"/>
        <v>-148.20249725662461</v>
      </c>
      <c r="M38" s="10">
        <f t="shared" si="34"/>
        <v>-1179.0190010816978</v>
      </c>
      <c r="N38" s="10">
        <f>IF(I38*J38&gt;=0,J38*$J$19+I38*$J$18,J38)</f>
        <v>-210.34847723227006</v>
      </c>
      <c r="O38" s="10">
        <f>(K38)*$J$19</f>
        <v>-1108.6948608863477</v>
      </c>
      <c r="P38" s="14">
        <f>IF(I38*L38&gt;=0,(L38)+I38,L38)</f>
        <v>-148.20249725662461</v>
      </c>
      <c r="Q38" s="3">
        <f>(M38)</f>
        <v>-1179.0190010816978</v>
      </c>
      <c r="R38" s="20">
        <f t="shared" si="5"/>
        <v>1000</v>
      </c>
      <c r="S38" s="23"/>
      <c r="T38" s="12">
        <v>25</v>
      </c>
      <c r="U38" s="28"/>
      <c r="V38" s="28"/>
      <c r="W38" s="12"/>
      <c r="X38" s="28"/>
      <c r="Y38" s="28"/>
      <c r="Z38" s="12"/>
      <c r="AA38" s="28"/>
      <c r="AB38" s="28"/>
      <c r="AC38" s="158"/>
      <c r="AD38" s="28"/>
      <c r="AE38" s="28"/>
      <c r="AF38" s="158"/>
      <c r="AG38" s="28"/>
      <c r="AH38" s="28"/>
      <c r="AI38" s="29"/>
      <c r="AJ38" s="6">
        <f>PI()/4*T38^2*$O$12/$AX$16</f>
        <v>3272.4923474893681</v>
      </c>
      <c r="AK38" s="28" t="str">
        <f>IF(W38=0,"","+")</f>
        <v/>
      </c>
      <c r="AL38" s="6">
        <f>PI()/4*W38^2*$O$12/$AX$16</f>
        <v>0</v>
      </c>
      <c r="AM38" s="28" t="str">
        <f>IF(Z38=0,"","+")</f>
        <v/>
      </c>
      <c r="AN38" s="6">
        <f>PI()/4*Z38^2*$O$12/$AX$16</f>
        <v>0</v>
      </c>
      <c r="AO38" s="28" t="str">
        <f>IF(AC38=0,"","+")</f>
        <v/>
      </c>
      <c r="AP38" s="6">
        <f>PI()/4*AC38^2*$O$12/$AX$16</f>
        <v>0</v>
      </c>
      <c r="AQ38" s="28" t="str">
        <f>IF(AF38=0,"","+")</f>
        <v/>
      </c>
      <c r="AR38" s="6">
        <f>PI()/4*AF38^2*$O$12/$AX$16</f>
        <v>0</v>
      </c>
      <c r="AS38" s="28" t="str">
        <f>IF(AI38=0,"","+")</f>
        <v/>
      </c>
      <c r="AT38" s="6">
        <f>PI()/4*AI38^2*$O$12/$AX$16</f>
        <v>0</v>
      </c>
      <c r="AU38" s="28" t="s">
        <v>24</v>
      </c>
      <c r="AV38" s="15">
        <f>VALUE(AJ38)+VALUE(AL38)+VALUE(AN38)+VALUE(AP38)+VALUE(AR38)+VALUE(AT38)</f>
        <v>3272.4923474893681</v>
      </c>
      <c r="AW38" s="228">
        <f>MAX(0.3*$AJ$14^(2/3)/$AJ$16*0.26*100,0.13)</f>
        <v>0.15723814702688016</v>
      </c>
      <c r="AX38" s="6">
        <f>AW38/100*$O$12*BK38</f>
        <v>1422.2190398581311</v>
      </c>
      <c r="AY38" s="6"/>
      <c r="AZ38" s="6"/>
      <c r="BA38" s="24" t="str">
        <f>IF(BB38=0,"","+")</f>
        <v/>
      </c>
      <c r="BB38" s="24"/>
      <c r="BC38" s="28" t="s">
        <v>24</v>
      </c>
      <c r="BD38" s="15">
        <f>AX38+AZ38+BB38</f>
        <v>1422.2190398581311</v>
      </c>
      <c r="BE38" s="2">
        <f>(R38-($AX$14+$O$16+T38/2))</f>
        <v>904.5</v>
      </c>
      <c r="BF38" s="3">
        <f>IF(W38=0,0,(R38-($AX$14+T38/2+$O$16+$BI$16)))</f>
        <v>0</v>
      </c>
      <c r="BG38" s="3">
        <f>IF(Z38=0,0,(R38-($AX$14+T38/2+$BI$16+$O$16+$BI$17)))</f>
        <v>0</v>
      </c>
      <c r="BH38" s="3">
        <f>IF(AC38=0,0,(R38-($AX$14+T38/2+$O$16+$BI$16+$BI$17+$BI$18)))</f>
        <v>0</v>
      </c>
      <c r="BI38" s="3">
        <f>IF(AF38=0,0,(R38-($AX$14+T38/2+$O$16+$BI$16+$BI$17+$BI$18+$BL$16)))</f>
        <v>0</v>
      </c>
      <c r="BJ38" s="3">
        <f>IF(AI38=0,0,(R38-($AX$14+T38/2+$O$16+$BI$16+$BI$17+$BI$18+$BL$16+$BL$17)))</f>
        <v>0</v>
      </c>
      <c r="BK38" s="6">
        <f>(BE38*AJ38+BF38*AL38+BG38*AN38+BH38*AP38+BI38*AR38+BJ38*AT38)/AV38</f>
        <v>904.5</v>
      </c>
      <c r="BL38" s="175">
        <f>ABS(N38)*1000000/$O$12/BK38^2</f>
        <v>0.2571119309566901</v>
      </c>
      <c r="BM38" s="175">
        <f>BL38/$AJ$14</f>
        <v>8.0347478423965658E-3</v>
      </c>
      <c r="BN38" s="21">
        <f>IF(BM38&lt;0.167,0.5+SQRT(0.25-(BM38/1.134)),0.82)</f>
        <v>0.99286375849957875</v>
      </c>
      <c r="BO38" s="15">
        <f>ABS(N38)/(0.87*$AJ$16*BN38*BK38)*10^6</f>
        <v>538.45806460370341</v>
      </c>
      <c r="BP38" s="22">
        <v>3938.5686643960789</v>
      </c>
      <c r="BQ38" s="175">
        <f>IF(Q38=0,2*ABS(P38*10^6)/$O$12/BP38/(BK38-BP38/3),Q38*BP38*1000/($O$12/2*BP38^2-(BE38-BP38)*AJ38*$AJ$18-(BF38-BP38)*AL38*$AJ$18-(BG38-BP38)*AN38*$AJ$18-(BH38-BP38)*AP38*$AJ$18-(BI38-BP38)*AR38*$AJ$18-(BJ38-BP38)*AT38*$AJ$18))</f>
        <v>-0.58654491826663913</v>
      </c>
      <c r="BR38" s="3">
        <f>0.5*$O$12*BP38*BQ38 /1000</f>
        <v>-1155.0737176728721</v>
      </c>
      <c r="BS38" s="3">
        <f>($BQ38/$BP38)*(BE38-$BP38)*$AJ$18*AJ38/1000</f>
        <v>23.945283408825738</v>
      </c>
      <c r="BT38" s="3">
        <f>($BQ38/$BP38)*(BF38-$BP38)*$AJ$18*AL38/1000</f>
        <v>0</v>
      </c>
      <c r="BU38" s="3">
        <f>($BQ38/$BP38)*(BG38-$BP38)*$AJ$18*AN38/1000</f>
        <v>0</v>
      </c>
      <c r="BV38" s="3">
        <f>($BQ38/$BP38)*(BH38-$BP38)*$AJ$18*AP38/1000</f>
        <v>0</v>
      </c>
      <c r="BW38" s="3">
        <f>($BQ38/$BP38)*(BI38-$BP38)*$AJ$18*AR38/1000</f>
        <v>0</v>
      </c>
      <c r="BX38" s="3">
        <f>($BQ38/$BP38)*(BJ38-$BP38)*$AJ$18*AT38/1000</f>
        <v>0</v>
      </c>
      <c r="BY38" s="175">
        <f>IF(Q38=0,0,(0.5*$O$12*BP38*BQ38/1000*(R38/2-$BP38/3)+BS38*(BE38-R38/2)+BT38*(BF38-R38/2)+BU38*(BG38-R38/2)+BV38*(BH38-R38/2)+BW38*(BI38-R38/2)+BX38*(BJ38-R38/2))/1000-ABS(P38))</f>
        <v>800.39222754376181</v>
      </c>
      <c r="BZ38" s="10"/>
      <c r="CA38" s="176">
        <f>ABS(P38)/(BK38-BP38/3)/AV38*10^6-Q38*(R38/2-BP38/3)/(BK38-BP38/3)/AV38*1000</f>
        <v>606.2595228649875</v>
      </c>
      <c r="CB38" s="177">
        <f>(AV38/($O$12*MIN(2.5*(R38-BK38),(R38-BP38)/3,R38/2)-AV38))</f>
        <v>-3.3297799445218051E-3</v>
      </c>
      <c r="CC38" s="177">
        <f>3.4*($O$16+$AX$14)+0.425*0.8*0.5*(T38^2+W38^2+Z38^2+AC38^2+AF38^2+AI38^2)/(T38+W38+Z38+AC38+AF38+AI38)/CB38</f>
        <v>-994.1606216657508</v>
      </c>
      <c r="CD38" s="177">
        <f>MAX(0.6*CA38/$AJ$17,(CA38-0.4*0.3*$AJ$14^(2/3)/CB38*(1+$AJ$17/$AJ$15*CB38))/$AJ$17)</f>
        <v>4.7495851119357795</v>
      </c>
      <c r="CE38" s="178">
        <f>CC38*CD38/1000</f>
        <v>-4.7218504875364689</v>
      </c>
      <c r="CF38" s="23" t="str">
        <f t="shared" si="6"/>
        <v>O.K</v>
      </c>
      <c r="CG38" s="28"/>
      <c r="CH38" s="179" t="str">
        <f>IF(O38&lt;0.2*$AJ$14*R38*$O$12/1000,"N &lt; 0.2fckAc - OK!","TBA")</f>
        <v>N &lt; 0.2fckAc - OK!</v>
      </c>
      <c r="CI38" s="24">
        <v>79</v>
      </c>
      <c r="CJ38" s="25"/>
      <c r="CK38" s="6">
        <f t="shared" si="35"/>
        <v>106</v>
      </c>
      <c r="CL38" s="8" t="s">
        <v>72</v>
      </c>
      <c r="CM38" s="6">
        <f t="shared" si="36"/>
        <v>206</v>
      </c>
      <c r="CN38" s="26" t="s">
        <v>146</v>
      </c>
      <c r="CO38" s="15" t="str">
        <f>IF(VLOOKUP(CI38,'Summary-input'!A:C,3,0)="Outward",
IF(CP38&lt;0,"External","Internal"),
IF(CP38&lt;0,"Internal","External")
)</f>
        <v>External</v>
      </c>
      <c r="CP38">
        <f>VLOOKUP(CI38&amp;CN38,'Summary-output-ULS'!A:G,6,0)</f>
        <v>-210.34847723227006</v>
      </c>
      <c r="CQ38">
        <f>VLOOKUP(CI38&amp;CN38,'Summary-output-ULS'!A:G,7,0)</f>
        <v>-1108.6948608863477</v>
      </c>
      <c r="CR38" s="3">
        <f>VLOOKUP(CI38&amp;CN38,'Summary-output-SLS'!A:G,6,0)</f>
        <v>-148.20249725662461</v>
      </c>
      <c r="CS38" s="3">
        <f>VLOOKUP(CI38&amp;CN38,'Summary-output-SLS'!A:G,7,0)</f>
        <v>-1179.0190010816978</v>
      </c>
      <c r="CT38" s="20">
        <v>1000</v>
      </c>
      <c r="CU38" s="2">
        <f>VLOOKUP(CI38&amp;CN38,'Summary-output-ULS'!A:G,5,0)</f>
        <v>106</v>
      </c>
      <c r="CV38" s="15">
        <f>VLOOKUP(CI38&amp;CN38,'Summary-output-SLS'!A:G,5,0)</f>
        <v>206</v>
      </c>
      <c r="CW38" s="6"/>
      <c r="CX38" s="278"/>
      <c r="CY38" s="6"/>
      <c r="CZ38" s="6"/>
      <c r="DA38" s="6"/>
      <c r="DB38" s="6"/>
      <c r="DC38" s="6"/>
      <c r="DD38" s="6"/>
      <c r="DE38" s="6"/>
      <c r="DF38" s="6"/>
      <c r="DG38" s="6"/>
      <c r="DH38" s="6"/>
      <c r="DI38" s="6"/>
      <c r="DJ38" s="212"/>
      <c r="DK38" s="13"/>
      <c r="DL38" s="13"/>
      <c r="DM38" s="202"/>
      <c r="DN38" s="206">
        <f>IF(CO38="external",T38,0)</f>
        <v>25</v>
      </c>
      <c r="DO38" s="206">
        <f>IF(CO38="external",W38,0)</f>
        <v>0</v>
      </c>
      <c r="DP38" s="206">
        <f>IF(CO38="external",Z38,0)</f>
        <v>0</v>
      </c>
      <c r="DQ38" s="206">
        <f>IF(CO38="external",AC38,0)</f>
        <v>0</v>
      </c>
      <c r="DR38" s="206">
        <f>IF(CO38="external",AF38,0)</f>
        <v>0</v>
      </c>
      <c r="DS38" s="207">
        <f>IF(CO38="external",AI38,0)</f>
        <v>0</v>
      </c>
      <c r="DT38" s="208"/>
      <c r="DU38" s="207">
        <f>IF(CO38="internal",T38,0)</f>
        <v>0</v>
      </c>
      <c r="DV38" s="207">
        <f>IF(CO38="internal",W38,0)</f>
        <v>0</v>
      </c>
      <c r="DW38" s="207">
        <f>IF(CO38="internal",Z38,0)</f>
        <v>0</v>
      </c>
      <c r="DX38" s="207">
        <f>IF(CO38="internal",AC38,0)</f>
        <v>0</v>
      </c>
      <c r="DY38" s="207">
        <f>IF(CO38="internal",AF38,0)</f>
        <v>0</v>
      </c>
      <c r="DZ38" s="207">
        <f>IF(CO38="internal",AI38,0)</f>
        <v>0</v>
      </c>
    </row>
    <row r="39" spans="1:130" s="7" customFormat="1" x14ac:dyDescent="0.3">
      <c r="B39" s="19"/>
      <c r="C39" s="6"/>
      <c r="D39" s="6"/>
      <c r="E39" s="6"/>
      <c r="F39" s="6"/>
      <c r="G39" s="232"/>
      <c r="H39" s="6"/>
      <c r="I39" s="24"/>
      <c r="J39" s="6"/>
      <c r="K39" s="6"/>
      <c r="L39" s="6"/>
      <c r="M39" s="6"/>
      <c r="N39" s="6"/>
      <c r="O39" s="6"/>
      <c r="P39" s="24"/>
      <c r="Q39" s="6"/>
      <c r="R39" s="6"/>
      <c r="S39" s="28"/>
      <c r="T39" s="12"/>
      <c r="U39" s="28"/>
      <c r="V39" s="28"/>
      <c r="W39" s="12"/>
      <c r="X39" s="28"/>
      <c r="Y39" s="28"/>
      <c r="Z39" s="12"/>
      <c r="AA39" s="28"/>
      <c r="AB39" s="28"/>
      <c r="AC39" s="158"/>
      <c r="AD39" s="28"/>
      <c r="AE39" s="28"/>
      <c r="AF39" s="158"/>
      <c r="AG39" s="28"/>
      <c r="AH39" s="28"/>
      <c r="AI39" s="12"/>
      <c r="AJ39" s="6"/>
      <c r="AK39" s="28"/>
      <c r="AL39" s="6"/>
      <c r="AM39" s="28"/>
      <c r="AN39" s="6"/>
      <c r="AO39" s="28"/>
      <c r="AP39" s="6"/>
      <c r="AQ39" s="28"/>
      <c r="AR39" s="6"/>
      <c r="AS39" s="28"/>
      <c r="AT39" s="6"/>
      <c r="AU39" s="28"/>
      <c r="AV39" s="6"/>
      <c r="AW39" s="233"/>
      <c r="AX39" s="6"/>
      <c r="AY39" s="6"/>
      <c r="AZ39" s="6"/>
      <c r="BA39" s="24"/>
      <c r="BB39" s="24"/>
      <c r="BC39" s="28"/>
      <c r="BD39" s="6"/>
      <c r="BE39" s="6"/>
      <c r="BF39" s="6"/>
      <c r="BG39" s="6"/>
      <c r="BH39" s="6"/>
      <c r="BI39" s="6"/>
      <c r="BJ39" s="6"/>
      <c r="BK39" s="6"/>
      <c r="BL39" s="231"/>
      <c r="BM39" s="231"/>
      <c r="BN39" s="231"/>
      <c r="BO39" s="6"/>
      <c r="BP39" s="234"/>
      <c r="BQ39" s="231"/>
      <c r="BR39" s="6"/>
      <c r="BS39" s="6"/>
      <c r="BT39" s="6"/>
      <c r="BU39" s="6"/>
      <c r="BV39" s="6"/>
      <c r="BW39" s="6"/>
      <c r="BX39" s="6"/>
      <c r="BY39" s="231"/>
      <c r="BZ39" s="6"/>
      <c r="CA39" s="234"/>
      <c r="CB39" s="235"/>
      <c r="CC39" s="235"/>
      <c r="CD39" s="235"/>
      <c r="CE39" s="235"/>
      <c r="CF39" s="28"/>
      <c r="CG39" s="28"/>
      <c r="CH39" s="173"/>
      <c r="CI39" s="24"/>
      <c r="CJ39" s="25"/>
      <c r="CK39" s="6" t="e">
        <f t="shared" si="35"/>
        <v>#N/A</v>
      </c>
      <c r="CL39" s="8" t="s">
        <v>72</v>
      </c>
      <c r="CM39" s="6" t="e">
        <f t="shared" si="36"/>
        <v>#N/A</v>
      </c>
      <c r="CN39" s="236"/>
      <c r="CO39" s="15" t="e">
        <f>IF(VLOOKUP(CI39,'Summary-input'!A:C,3,0)="Outward",
IF(CP39&lt;0,"External","Internal"),
IF(CP39&lt;0,"Internal","External")
)</f>
        <v>#N/A</v>
      </c>
      <c r="CP39" t="e">
        <f>VLOOKUP(CI39&amp;CN39,'Summary-output-ULS'!A:G,6,0)</f>
        <v>#N/A</v>
      </c>
      <c r="CQ39" t="e">
        <f>VLOOKUP(CI39&amp;CN39,'Summary-output-ULS'!A:G,7,0)</f>
        <v>#N/A</v>
      </c>
      <c r="CR39" s="3" t="e">
        <f>VLOOKUP(CI39&amp;CN39,'Summary-output-SLS'!A:G,6,0)</f>
        <v>#N/A</v>
      </c>
      <c r="CS39" s="3" t="e">
        <f>VLOOKUP(CI39&amp;CN39,'Summary-output-SLS'!A:G,7,0)</f>
        <v>#N/A</v>
      </c>
      <c r="CT39" s="6"/>
      <c r="CU39" s="2" t="e">
        <f>VLOOKUP(CI39&amp;CN39,'Summary-output-ULS'!A:G,5,0)</f>
        <v>#N/A</v>
      </c>
      <c r="CV39" s="15" t="e">
        <f>VLOOKUP(CI39&amp;CN39,'Summary-output-SLS'!A:G,5,0)</f>
        <v>#N/A</v>
      </c>
      <c r="CW39" s="6"/>
      <c r="CX39" s="278"/>
      <c r="CY39" s="6"/>
      <c r="CZ39" s="6"/>
      <c r="DA39" s="6"/>
      <c r="DB39" s="6"/>
      <c r="DC39" s="6"/>
      <c r="DD39" s="6"/>
      <c r="DE39" s="6"/>
      <c r="DF39" s="6"/>
      <c r="DG39" s="6"/>
      <c r="DH39" s="6"/>
      <c r="DI39" s="6"/>
      <c r="DJ39" s="212"/>
      <c r="DK39" s="13"/>
      <c r="DL39" s="13"/>
      <c r="DM39" s="202"/>
      <c r="DN39" s="206"/>
      <c r="DO39" s="206"/>
      <c r="DP39" s="206"/>
      <c r="DQ39" s="206"/>
      <c r="DR39" s="206"/>
      <c r="DS39" s="207"/>
      <c r="DT39" s="208"/>
      <c r="DU39" s="207"/>
      <c r="DV39" s="207"/>
      <c r="DW39" s="207"/>
      <c r="DX39" s="207"/>
      <c r="DY39" s="207"/>
      <c r="DZ39" s="207"/>
    </row>
    <row r="40" spans="1:130" s="7" customFormat="1" ht="13.8" x14ac:dyDescent="0.25">
      <c r="A40" s="7" t="s">
        <v>141</v>
      </c>
      <c r="B40" s="19">
        <f>+CI40</f>
        <v>82</v>
      </c>
      <c r="C40" s="6">
        <f t="shared" ref="C40:E43" si="39">CJ40</f>
        <v>0</v>
      </c>
      <c r="D40" s="6">
        <f t="shared" si="39"/>
        <v>103</v>
      </c>
      <c r="E40" s="6" t="str">
        <f t="shared" si="39"/>
        <v>--</v>
      </c>
      <c r="F40" s="6">
        <f>+CM40</f>
        <v>203</v>
      </c>
      <c r="G40" s="174" t="str">
        <f t="shared" ref="G40:H43" si="40">CN40</f>
        <v>Max Mz</v>
      </c>
      <c r="H40" s="6" t="str">
        <f t="shared" si="40"/>
        <v>External</v>
      </c>
      <c r="I40" s="156"/>
      <c r="J40" s="10">
        <f t="shared" ref="J40:M43" si="41">(CP40)</f>
        <v>-356.8341252249927</v>
      </c>
      <c r="K40" s="10">
        <f t="shared" si="41"/>
        <v>-2028.9903456480331</v>
      </c>
      <c r="L40" s="10">
        <f t="shared" si="41"/>
        <v>-262.18786135929616</v>
      </c>
      <c r="M40" s="10">
        <f t="shared" si="41"/>
        <v>-1485.0816128123508</v>
      </c>
      <c r="N40" s="10">
        <f>IF(I40*J40&gt;=0,J40*$J$19+I40*$J$18,J40)</f>
        <v>-356.8341252249927</v>
      </c>
      <c r="O40" s="10">
        <f>(K40)*$J$19</f>
        <v>-2028.9903456480331</v>
      </c>
      <c r="P40" s="14">
        <f>IF(I40*L40&gt;=0,(L40)+I40,L40)</f>
        <v>-262.18786135929616</v>
      </c>
      <c r="Q40" s="3">
        <f>(M40)</f>
        <v>-1485.0816128123508</v>
      </c>
      <c r="R40" s="20">
        <f>CT40</f>
        <v>1000</v>
      </c>
      <c r="S40" s="23"/>
      <c r="T40" s="12">
        <v>32</v>
      </c>
      <c r="U40" s="28"/>
      <c r="V40" s="28"/>
      <c r="W40" s="12"/>
      <c r="X40" s="28"/>
      <c r="Y40" s="28"/>
      <c r="Z40" s="12"/>
      <c r="AA40" s="28"/>
      <c r="AB40" s="28"/>
      <c r="AC40" s="158"/>
      <c r="AD40" s="28"/>
      <c r="AE40" s="28"/>
      <c r="AF40" s="158"/>
      <c r="AG40" s="28"/>
      <c r="AH40" s="28"/>
      <c r="AI40" s="29"/>
      <c r="AJ40" s="6">
        <f>PI()/4*T40^2*$O$12/$AX$16</f>
        <v>5361.6514621265796</v>
      </c>
      <c r="AK40" s="28" t="str">
        <f>IF(W40=0,"","+")</f>
        <v/>
      </c>
      <c r="AL40" s="6">
        <f>PI()/4*W40^2*$O$12/$AX$16</f>
        <v>0</v>
      </c>
      <c r="AM40" s="28" t="str">
        <f>IF(Z40=0,"","+")</f>
        <v/>
      </c>
      <c r="AN40" s="6">
        <f>PI()/4*Z40^2*$O$12/$AX$16</f>
        <v>0</v>
      </c>
      <c r="AO40" s="28" t="str">
        <f>IF(AC40=0,"","+")</f>
        <v/>
      </c>
      <c r="AP40" s="6">
        <f>PI()/4*AC40^2*$O$12/$AX$16</f>
        <v>0</v>
      </c>
      <c r="AQ40" s="28" t="str">
        <f>IF(AF40=0,"","+")</f>
        <v/>
      </c>
      <c r="AR40" s="6">
        <f>PI()/4*AF40^2*$O$12/$AX$16</f>
        <v>0</v>
      </c>
      <c r="AS40" s="28" t="str">
        <f>IF(AI40=0,"","+")</f>
        <v/>
      </c>
      <c r="AT40" s="6">
        <f>PI()/4*AI40^2*$O$12/$AX$16</f>
        <v>0</v>
      </c>
      <c r="AU40" s="28" t="s">
        <v>24</v>
      </c>
      <c r="AV40" s="15">
        <f>VALUE(AJ40)+VALUE(AL40)+VALUE(AN40)+VALUE(AP40)+VALUE(AR40)+VALUE(AT40)</f>
        <v>5361.6514621265796</v>
      </c>
      <c r="AW40" s="228">
        <f>MAX(0.3*$AJ$14^(2/3)/$AJ$16*0.26*100,0.13)</f>
        <v>0.15723814702688016</v>
      </c>
      <c r="AX40" s="6">
        <f>AW40/100*$O$12*BK40</f>
        <v>1416.7157047121905</v>
      </c>
      <c r="AY40" s="6"/>
      <c r="AZ40" s="6"/>
      <c r="BA40" s="24" t="str">
        <f>IF(BB40=0,"","+")</f>
        <v/>
      </c>
      <c r="BB40" s="24"/>
      <c r="BC40" s="28" t="s">
        <v>24</v>
      </c>
      <c r="BD40" s="15">
        <f>AX40+AZ40+BB40</f>
        <v>1416.7157047121905</v>
      </c>
      <c r="BE40" s="2">
        <f>(R40-($AX$14+$O$16+T40/2))</f>
        <v>901</v>
      </c>
      <c r="BF40" s="3">
        <f>IF(W40=0,0,(R40-($AX$14+T40/2+$O$16+$BI$16)))</f>
        <v>0</v>
      </c>
      <c r="BG40" s="3">
        <f>IF(Z40=0,0,(R40-($AX$14+T40/2+$BI$16+$O$16+$BI$17)))</f>
        <v>0</v>
      </c>
      <c r="BH40" s="3">
        <f>IF(AC40=0,0,(R40-($AX$14+T40/2+$O$16+$BI$16+$BI$17+$BI$18)))</f>
        <v>0</v>
      </c>
      <c r="BI40" s="3">
        <f>IF(AF40=0,0,(R40-($AX$14+T40/2+$O$16+$BI$16+$BI$17+$BI$18+$BL$16)))</f>
        <v>0</v>
      </c>
      <c r="BJ40" s="3">
        <f>IF(AI40=0,0,(R40-($AX$14+T40/2+$O$16+$BI$16+$BI$17+$BI$18+$BL$16+$BL$17)))</f>
        <v>0</v>
      </c>
      <c r="BK40" s="6">
        <f>(BE40*AJ40+BF40*AL40+BG40*AN40+BH40*AP40+BI40*AR40+BJ40*AT40)/AV40</f>
        <v>901.00000000000011</v>
      </c>
      <c r="BL40" s="175">
        <f>ABS(N40)*1000000/$O$12/BK40^2</f>
        <v>0.43955861747520958</v>
      </c>
      <c r="BM40" s="175">
        <f>BL40/$AJ$14</f>
        <v>1.3736206796100299E-2</v>
      </c>
      <c r="BN40" s="21">
        <f>IF(BM40&lt;0.167,0.5+SQRT(0.25-(BM40/1.134)),0.82)</f>
        <v>0.98773655067114019</v>
      </c>
      <c r="BO40" s="15">
        <f>ABS(N40)/(0.87*$AJ$16*BN40*BK40)*10^6</f>
        <v>921.74588590883332</v>
      </c>
      <c r="BP40" s="22">
        <v>4310.3467953143117</v>
      </c>
      <c r="BQ40" s="175">
        <f>IF(Q40=0,2*ABS(P40*10^6)/$O$12/BP40/(BK40-BP40/3),Q40*BP40*1000/($O$12/2*BP40^2-(BE40-BP40)*AJ40*$AJ$18-(BF40-BP40)*AL40*$AJ$18-(BG40-BP40)*AN40*$AJ$18-(BH40-BP40)*AP40*$AJ$18-(BI40-BP40)*AR40*$AJ$18-(BJ40-BP40)*AT40*$AJ$18))</f>
        <v>-0.66779747735919193</v>
      </c>
      <c r="BR40" s="3">
        <f>0.5*$O$12*BP40*BQ40 /1000</f>
        <v>-1439.2193582270875</v>
      </c>
      <c r="BS40" s="3">
        <f>($BQ40/$BP40)*(BE40-$BP40)*$AJ$18*AJ40/1000</f>
        <v>45.86225458526367</v>
      </c>
      <c r="BT40" s="3">
        <f>($BQ40/$BP40)*(BF40-$BP40)*$AJ$18*AL40/1000</f>
        <v>0</v>
      </c>
      <c r="BU40" s="3">
        <f>($BQ40/$BP40)*(BG40-$BP40)*$AJ$18*AN40/1000</f>
        <v>0</v>
      </c>
      <c r="BV40" s="3">
        <f>($BQ40/$BP40)*(BH40-$BP40)*$AJ$18*AP40/1000</f>
        <v>0</v>
      </c>
      <c r="BW40" s="3">
        <f>($BQ40/$BP40)*(BI40-$BP40)*$AJ$18*AR40/1000</f>
        <v>0</v>
      </c>
      <c r="BX40" s="3">
        <f>($BQ40/$BP40)*(BJ40-$BP40)*$AJ$18*AT40/1000</f>
        <v>0</v>
      </c>
      <c r="BY40" s="175">
        <f>IF(Q40=0,0,(0.5*$O$12*BP40*BQ40/1000*(R40/2-$BP40/3)+BS40*(BE40-R40/2)+BT40*(BF40-R40/2)+BU40*(BG40-R40/2)+BV40*(BH40-R40/2)+BW40*(BI40-R40/2)+BX40*(BJ40-R40/2))/1000-ABS(P40))</f>
        <v>1104.438073112</v>
      </c>
      <c r="BZ40" s="10"/>
      <c r="CA40" s="176">
        <f>ABS(P40)/(BK40-BP40/3)/AV40*10^6-Q40*(R40/2-BP40/3)/(BK40-BP40/3)/AV40*1000</f>
        <v>393.0166722771541</v>
      </c>
      <c r="CB40" s="177">
        <f>(AV40/($O$12*MIN(2.5*(R40-BK40),(R40-BP40)/3,R40/2)-AV40))</f>
        <v>-4.835498094264837E-3</v>
      </c>
      <c r="CC40" s="177">
        <f>3.4*($O$16+$AX$14)+0.425*0.8*0.5*(T40^2+W40^2+Z40^2+AC40^2+AF40^2+AI40^2)/(T40+W40+Z40+AC40+AF40+AI40)/CB40</f>
        <v>-842.81336862321086</v>
      </c>
      <c r="CD40" s="177">
        <f>MAX(0.6*CA40/$AJ$17,(CA40-0.4*0.3*$AJ$14^(2/3)/CB40*(1+$AJ$17/$AJ$15*CB40))/$AJ$17)</f>
        <v>3.1178202101640244</v>
      </c>
      <c r="CE40" s="178">
        <f>CC40*CD40/1000</f>
        <v>-2.6277405540898684</v>
      </c>
      <c r="CF40" s="23" t="str">
        <f>IF(AND(AV40&gt;=BD40,AV40&gt;=BO40,CE40&lt;=(+IF(CO40="External",0.25,0.3))),"O.K", "Not O.K")</f>
        <v>O.K</v>
      </c>
      <c r="CG40" s="28"/>
      <c r="CH40" s="179" t="str">
        <f>IF(O40&lt;0.2*$AJ$14*R40*$O$12/1000,"N &lt; 0.2fckAc - OK!","TBA")</f>
        <v>N &lt; 0.2fckAc - OK!</v>
      </c>
      <c r="CI40" s="24">
        <v>82</v>
      </c>
      <c r="CJ40" s="25"/>
      <c r="CK40" s="6">
        <f t="shared" si="35"/>
        <v>103</v>
      </c>
      <c r="CL40" s="8" t="s">
        <v>72</v>
      </c>
      <c r="CM40" s="6">
        <f t="shared" si="36"/>
        <v>203</v>
      </c>
      <c r="CN40" s="26" t="s">
        <v>147</v>
      </c>
      <c r="CO40" s="15" t="str">
        <f>IF(VLOOKUP(CI40,'Summary-input'!A:C,3,0)="Outward",
IF(CP40&lt;0,"External","Internal"),
IF(CP40&lt;0,"Internal","External")
)</f>
        <v>External</v>
      </c>
      <c r="CP40">
        <f>VLOOKUP(CI40&amp;CN40,'Summary-output-ULS'!A:G,6,0)</f>
        <v>-356.8341252249927</v>
      </c>
      <c r="CQ40">
        <f>VLOOKUP(CI40&amp;CN40,'Summary-output-ULS'!A:G,7,0)</f>
        <v>-2028.9903456480331</v>
      </c>
      <c r="CR40" s="3">
        <f>VLOOKUP(CI40&amp;CN40,'Summary-output-SLS'!A:G,6,0)</f>
        <v>-262.18786135929616</v>
      </c>
      <c r="CS40" s="3">
        <f>VLOOKUP(CI40&amp;CN40,'Summary-output-SLS'!A:G,7,0)</f>
        <v>-1485.0816128123508</v>
      </c>
      <c r="CT40" s="20">
        <v>1000</v>
      </c>
      <c r="CU40" s="2">
        <f>VLOOKUP(CI40&amp;CN40,'Summary-output-ULS'!A:G,5,0)</f>
        <v>103</v>
      </c>
      <c r="CV40" s="15">
        <f>VLOOKUP(CI40&amp;CN40,'Summary-output-SLS'!A:G,5,0)</f>
        <v>203</v>
      </c>
      <c r="CW40" s="6"/>
      <c r="CX40" s="278">
        <f>CI40</f>
        <v>82</v>
      </c>
      <c r="CY40" s="6">
        <f t="shared" ref="CY40:DD40" si="42">MAX(DN40:DN43)</f>
        <v>40</v>
      </c>
      <c r="CZ40" s="6">
        <f t="shared" si="42"/>
        <v>20</v>
      </c>
      <c r="DA40" s="6">
        <f t="shared" si="42"/>
        <v>0</v>
      </c>
      <c r="DB40" s="6">
        <f t="shared" si="42"/>
        <v>0</v>
      </c>
      <c r="DC40" s="6">
        <f t="shared" si="42"/>
        <v>0</v>
      </c>
      <c r="DD40" s="6">
        <f t="shared" si="42"/>
        <v>0</v>
      </c>
      <c r="DE40" s="6"/>
      <c r="DF40" s="6">
        <f t="shared" ref="DF40:DK40" si="43">MAX(DU40:DU43)</f>
        <v>0</v>
      </c>
      <c r="DG40" s="6">
        <f t="shared" si="43"/>
        <v>0</v>
      </c>
      <c r="DH40" s="6">
        <f t="shared" si="43"/>
        <v>0</v>
      </c>
      <c r="DI40" s="6">
        <f t="shared" si="43"/>
        <v>0</v>
      </c>
      <c r="DJ40" s="6">
        <f t="shared" si="43"/>
        <v>0</v>
      </c>
      <c r="DK40" s="6">
        <f t="shared" si="43"/>
        <v>0</v>
      </c>
      <c r="DL40" s="13"/>
      <c r="DM40" s="202">
        <f>CI40</f>
        <v>82</v>
      </c>
      <c r="DN40" s="206">
        <f>IF(CO40="external",T40,0)</f>
        <v>32</v>
      </c>
      <c r="DO40" s="206">
        <f>IF(CO40="external",W40,0)</f>
        <v>0</v>
      </c>
      <c r="DP40" s="206">
        <f>IF(CO40="external",Z40,0)</f>
        <v>0</v>
      </c>
      <c r="DQ40" s="206">
        <f>IF(CO40="external",AC40,0)</f>
        <v>0</v>
      </c>
      <c r="DR40" s="206">
        <f>IF(CO40="external",AF40,0)</f>
        <v>0</v>
      </c>
      <c r="DS40" s="207">
        <f>IF(CO40="external",AI40,0)</f>
        <v>0</v>
      </c>
      <c r="DT40" s="208"/>
      <c r="DU40" s="207">
        <f>IF(CO40="internal",T40,0)</f>
        <v>0</v>
      </c>
      <c r="DV40" s="207">
        <f>IF(CO40="internal",W40,0)</f>
        <v>0</v>
      </c>
      <c r="DW40" s="207">
        <f>IF(CO40="internal",Z40,0)</f>
        <v>0</v>
      </c>
      <c r="DX40" s="207">
        <f>IF(CO40="internal",AC40,0)</f>
        <v>0</v>
      </c>
      <c r="DY40" s="207">
        <f>IF(CO40="internal",AF40,0)</f>
        <v>0</v>
      </c>
      <c r="DZ40" s="207">
        <f>IF(CO40="internal",AI40,0)</f>
        <v>0</v>
      </c>
    </row>
    <row r="41" spans="1:130" s="7" customFormat="1" x14ac:dyDescent="0.3">
      <c r="B41" s="19">
        <f>+CI41</f>
        <v>82</v>
      </c>
      <c r="C41" s="6">
        <f t="shared" si="39"/>
        <v>0</v>
      </c>
      <c r="D41" s="6">
        <f t="shared" si="39"/>
        <v>104</v>
      </c>
      <c r="E41" s="6" t="str">
        <f t="shared" si="39"/>
        <v>--</v>
      </c>
      <c r="F41" s="6">
        <f>+CM41</f>
        <v>204</v>
      </c>
      <c r="G41" s="174" t="str">
        <f t="shared" si="40"/>
        <v>Min Mz</v>
      </c>
      <c r="H41" s="6" t="str">
        <f t="shared" si="40"/>
        <v>External</v>
      </c>
      <c r="I41" s="156"/>
      <c r="J41" s="10">
        <f t="shared" si="41"/>
        <v>-75.65568054328466</v>
      </c>
      <c r="K41" s="10">
        <f t="shared" si="41"/>
        <v>-2463.9266096142605</v>
      </c>
      <c r="L41" s="10">
        <f t="shared" si="41"/>
        <v>-81.397643606567698</v>
      </c>
      <c r="M41" s="10">
        <f t="shared" si="41"/>
        <v>-1757.504228262213</v>
      </c>
      <c r="N41" s="10">
        <f>IF(I41*J41&gt;=0,J41*$J$19+I41*$J$18,J41)</f>
        <v>-75.65568054328466</v>
      </c>
      <c r="O41" s="10">
        <f>(K41)*$J$19</f>
        <v>-2463.9266096142605</v>
      </c>
      <c r="P41" s="14">
        <f>IF(I41*L41&gt;=0,(L41)+I41,L41)</f>
        <v>-81.397643606567698</v>
      </c>
      <c r="Q41" s="3">
        <f>(M41)</f>
        <v>-1757.504228262213</v>
      </c>
      <c r="R41" s="20">
        <f t="shared" ref="R41:R48" si="44">CT41</f>
        <v>1000</v>
      </c>
      <c r="S41" s="23"/>
      <c r="T41" s="12">
        <v>20</v>
      </c>
      <c r="U41" s="28"/>
      <c r="V41" s="28"/>
      <c r="W41" s="12"/>
      <c r="X41" s="28"/>
      <c r="Y41" s="28"/>
      <c r="Z41" s="12"/>
      <c r="AA41" s="28"/>
      <c r="AB41" s="28"/>
      <c r="AC41" s="158"/>
      <c r="AD41" s="28"/>
      <c r="AE41" s="28"/>
      <c r="AF41" s="158"/>
      <c r="AG41" s="28"/>
      <c r="AH41" s="28"/>
      <c r="AI41" s="29"/>
      <c r="AJ41" s="6">
        <f>PI()/4*T41^2*$O$12/$AX$16</f>
        <v>2094.3951023931954</v>
      </c>
      <c r="AK41" s="28" t="str">
        <f>IF(W41=0,"","+")</f>
        <v/>
      </c>
      <c r="AL41" s="6">
        <f>PI()/4*W41^2*$O$12/$AX$16</f>
        <v>0</v>
      </c>
      <c r="AM41" s="28" t="str">
        <f>IF(Z41=0,"","+")</f>
        <v/>
      </c>
      <c r="AN41" s="6">
        <f>PI()/4*Z41^2*$O$12/$AX$16</f>
        <v>0</v>
      </c>
      <c r="AO41" s="28" t="str">
        <f>IF(AC41=0,"","+")</f>
        <v/>
      </c>
      <c r="AP41" s="6">
        <f>PI()/4*AC41^2*$O$12/$AX$16</f>
        <v>0</v>
      </c>
      <c r="AQ41" s="28" t="str">
        <f>IF(AF41=0,"","+")</f>
        <v/>
      </c>
      <c r="AR41" s="6">
        <f>PI()/4*AF41^2*$O$12/$AX$16</f>
        <v>0</v>
      </c>
      <c r="AS41" s="28" t="str">
        <f>IF(AI41=0,"","+")</f>
        <v/>
      </c>
      <c r="AT41" s="6">
        <f>PI()/4*AI41^2*$O$12/$AX$16</f>
        <v>0</v>
      </c>
      <c r="AU41" s="28" t="s">
        <v>24</v>
      </c>
      <c r="AV41" s="15">
        <f>VALUE(AJ41)+VALUE(AL41)+VALUE(AN41)+VALUE(AP41)+VALUE(AR41)+VALUE(AT41)</f>
        <v>2094.3951023931954</v>
      </c>
      <c r="AW41" s="228">
        <f>MAX(0.3*$AJ$14^(2/3)/$AJ$16*0.26*100,0.13)</f>
        <v>0.15723814702688016</v>
      </c>
      <c r="AX41" s="6">
        <f>AW41/100*$O$12*BK41</f>
        <v>1426.1499935338031</v>
      </c>
      <c r="AY41" s="6"/>
      <c r="AZ41" s="6"/>
      <c r="BA41" s="24" t="str">
        <f>IF(BB41=0,"","+")</f>
        <v/>
      </c>
      <c r="BB41" s="24"/>
      <c r="BC41" s="28" t="s">
        <v>24</v>
      </c>
      <c r="BD41" s="15">
        <f>AX41+AZ41+BB41</f>
        <v>1426.1499935338031</v>
      </c>
      <c r="BE41" s="2">
        <f>(R41-($AX$14+$O$16+T41/2))</f>
        <v>907</v>
      </c>
      <c r="BF41" s="3">
        <f>IF(W41=0,0,(R41-($AX$14+T41/2+$O$16+$BI$16)))</f>
        <v>0</v>
      </c>
      <c r="BG41" s="3">
        <f>IF(Z41=0,0,(R41-($AX$14+T41/2+$BI$16+$O$16+$BI$17)))</f>
        <v>0</v>
      </c>
      <c r="BH41" s="3">
        <f>IF(AC41=0,0,(R41-($AX$14+T41/2+$O$16+$BI$16+$BI$17+$BI$18)))</f>
        <v>0</v>
      </c>
      <c r="BI41" s="3">
        <f>IF(AF41=0,0,(R41-($AX$14+T41/2+$O$16+$BI$16+$BI$17+$BI$18+$BL$16)))</f>
        <v>0</v>
      </c>
      <c r="BJ41" s="3">
        <f>IF(AI41=0,0,(R41-($AX$14+T41/2+$O$16+$BI$16+$BI$17+$BI$18+$BL$16+$BL$17)))</f>
        <v>0</v>
      </c>
      <c r="BK41" s="6">
        <f>(BE41*AJ41+BF41*AL41+BG41*AN41+BH41*AP41+BI41*AR41+BJ41*AT41)/AV41</f>
        <v>907</v>
      </c>
      <c r="BL41" s="175">
        <f>ABS(N41)*1000000/$O$12/BK41^2</f>
        <v>9.1965930236692264E-2</v>
      </c>
      <c r="BM41" s="175">
        <f>BL41/$AJ$14</f>
        <v>2.8739353198966333E-3</v>
      </c>
      <c r="BN41" s="21">
        <f>IF(BM41&lt;0.167,0.5+SQRT(0.25-(BM41/1.134)),0.82)</f>
        <v>0.99745920988834524</v>
      </c>
      <c r="BO41" s="15">
        <f>ABS(N41)/(0.87*$AJ$16*BN41*BK41)*10^6</f>
        <v>192.24269828864246</v>
      </c>
      <c r="BP41" s="22">
        <v>2568.1616021159084</v>
      </c>
      <c r="BQ41" s="175">
        <f>IF(Q41=0,2*ABS(P41*10^6)/$O$12/BP41/(BK41-BP41/3),Q41*BP41*1000/($O$12/2*BP41^2-(BE41-BP41)*AJ41*$AJ$18-(BF41-BP41)*AL41*$AJ$18-(BG41-BP41)*AN41*$AJ$18-(BH41-BP41)*AP41*$AJ$18-(BI41-BP41)*AR41*$AJ$18-(BJ41-BP41)*AT41*$AJ$18))</f>
        <v>-1.3456957445273887</v>
      </c>
      <c r="BR41" s="3">
        <f>0.5*$O$12*BP41*BQ41 /1000</f>
        <v>-1727.9820696130096</v>
      </c>
      <c r="BS41" s="3">
        <f>($BQ41/$BP41)*(BE41-$BP41)*$AJ$18*AJ41/1000</f>
        <v>29.522158649203774</v>
      </c>
      <c r="BT41" s="3">
        <f>($BQ41/$BP41)*(BF41-$BP41)*$AJ$18*AL41/1000</f>
        <v>0</v>
      </c>
      <c r="BU41" s="3">
        <f>($BQ41/$BP41)*(BG41-$BP41)*$AJ$18*AN41/1000</f>
        <v>0</v>
      </c>
      <c r="BV41" s="3">
        <f>($BQ41/$BP41)*(BH41-$BP41)*$AJ$18*AP41/1000</f>
        <v>0</v>
      </c>
      <c r="BW41" s="3">
        <f>($BQ41/$BP41)*(BI41-$BP41)*$AJ$18*AR41/1000</f>
        <v>0</v>
      </c>
      <c r="BX41" s="3">
        <f>($BQ41/$BP41)*(BJ41-$BP41)*$AJ$18*AT41/1000</f>
        <v>0</v>
      </c>
      <c r="BY41" s="175">
        <f>IF(Q41=0,0,(0.5*$O$12*BP41*BQ41/1000*(R41/2-$BP41/3)+BS41*(BE41-R41/2)+BT41*(BF41-R41/2)+BU41*(BG41-R41/2)+BV41*(BH41-R41/2)+BW41*(BI41-R41/2)+BX41*(BJ41-R41/2))/1000-ABS(P41))</f>
        <v>545.87257359878993</v>
      </c>
      <c r="BZ41" s="10"/>
      <c r="CA41" s="176">
        <f>ABS(P41)/(BK41-BP41/3)/AV41*10^6-Q41*(R41/2-BP41/3)/(BK41-BP41/3)/AV41*1000</f>
        <v>-5101.7970479963369</v>
      </c>
      <c r="CB41" s="177">
        <f>(AV41/($O$12*MIN(2.5*(R41-BK41),(R41-BP41)/3,R41/2)-AV41))</f>
        <v>-3.9907308007055284E-3</v>
      </c>
      <c r="CC41" s="177">
        <f>3.4*($O$16+$AX$14)+0.425*0.8*0.5*(T41^2+W41^2+Z41^2+AC41^2+AF41^2+AI41^2)/(T41+W41+Z41+AC41+AF41+AI41)/CB41</f>
        <v>-569.77427984841961</v>
      </c>
      <c r="CD41" s="177">
        <f>MAX(0.6*CA41/$AJ$17,(CA41-0.4*0.3*$AJ$14^(2/3)/CB41*(1+$AJ$17/$AJ$15*CB41))/$AJ$17)</f>
        <v>-15.305391143989011</v>
      </c>
      <c r="CE41" s="178">
        <f>CC41*CD41/1000</f>
        <v>8.7206182168647182</v>
      </c>
      <c r="CF41" s="23" t="str">
        <f>IF(AND(AV41&gt;=BD41,AV41&gt;=BO41,CE41&lt;=(+IF(CO41="External",0.25,0.3))),"O.K", "Not O.K")</f>
        <v>Not O.K</v>
      </c>
      <c r="CG41" s="28"/>
      <c r="CH41" s="179" t="str">
        <f>IF(O41&lt;0.2*$AJ$14*R41*$O$12/1000,"N &lt; 0.2fckAc - OK!","TBA")</f>
        <v>N &lt; 0.2fckAc - OK!</v>
      </c>
      <c r="CI41" s="24">
        <v>82</v>
      </c>
      <c r="CJ41" s="25"/>
      <c r="CK41" s="6">
        <f t="shared" si="35"/>
        <v>104</v>
      </c>
      <c r="CL41" s="8" t="s">
        <v>72</v>
      </c>
      <c r="CM41" s="6">
        <f t="shared" si="36"/>
        <v>204</v>
      </c>
      <c r="CN41" s="26" t="s">
        <v>148</v>
      </c>
      <c r="CO41" s="15" t="str">
        <f>IF(VLOOKUP(CI41,'Summary-input'!A:C,3,0)="Outward",
IF(CP41&lt;0,"External","Internal"),
IF(CP41&lt;0,"Internal","External")
)</f>
        <v>External</v>
      </c>
      <c r="CP41">
        <f>VLOOKUP(CI41&amp;CN41,'Summary-output-ULS'!A:G,6,0)</f>
        <v>-75.65568054328466</v>
      </c>
      <c r="CQ41">
        <f>VLOOKUP(CI41&amp;CN41,'Summary-output-ULS'!A:G,7,0)</f>
        <v>-2463.9266096142605</v>
      </c>
      <c r="CR41" s="3">
        <f>VLOOKUP(CI41&amp;CN41,'Summary-output-SLS'!A:G,6,0)</f>
        <v>-81.397643606567698</v>
      </c>
      <c r="CS41" s="3">
        <f>VLOOKUP(CI41&amp;CN41,'Summary-output-SLS'!A:G,7,0)</f>
        <v>-1757.504228262213</v>
      </c>
      <c r="CT41" s="20">
        <v>1000</v>
      </c>
      <c r="CU41" s="2">
        <f>VLOOKUP(CI41&amp;CN41,'Summary-output-ULS'!A:G,5,0)</f>
        <v>104</v>
      </c>
      <c r="CV41" s="15">
        <f>VLOOKUP(CI41&amp;CN41,'Summary-output-SLS'!A:G,5,0)</f>
        <v>204</v>
      </c>
      <c r="CW41" s="6"/>
      <c r="CX41" s="278"/>
      <c r="CY41" s="6"/>
      <c r="CZ41" s="6"/>
      <c r="DA41" s="6"/>
      <c r="DB41" s="6"/>
      <c r="DC41" s="6"/>
      <c r="DD41" s="6"/>
      <c r="DE41" s="6"/>
      <c r="DF41" s="6"/>
      <c r="DG41" s="6"/>
      <c r="DH41" s="6"/>
      <c r="DI41" s="6"/>
      <c r="DJ41" s="212"/>
      <c r="DK41" s="13"/>
      <c r="DL41" s="13"/>
      <c r="DM41" s="202"/>
      <c r="DN41" s="206">
        <f>IF(CO41="external",T41,0)</f>
        <v>20</v>
      </c>
      <c r="DO41" s="206">
        <f>IF(CO41="external",W41,0)</f>
        <v>0</v>
      </c>
      <c r="DP41" s="206">
        <f>IF(CO41="external",Z41,0)</f>
        <v>0</v>
      </c>
      <c r="DQ41" s="206">
        <f>IF(CO41="external",AC41,0)</f>
        <v>0</v>
      </c>
      <c r="DR41" s="206">
        <f>IF(CO41="external",AF41,0)</f>
        <v>0</v>
      </c>
      <c r="DS41" s="207">
        <f>IF(CO41="external",AI41,0)</f>
        <v>0</v>
      </c>
      <c r="DT41" s="208"/>
      <c r="DU41" s="207">
        <f>IF(CO41="internal",T41,0)</f>
        <v>0</v>
      </c>
      <c r="DV41" s="207">
        <f>IF(CO41="internal",W41,0)</f>
        <v>0</v>
      </c>
      <c r="DW41" s="207">
        <f>IF(CO41="internal",Z41,0)</f>
        <v>0</v>
      </c>
      <c r="DX41" s="207">
        <f>IF(CO41="internal",AC41,0)</f>
        <v>0</v>
      </c>
      <c r="DY41" s="207">
        <f>IF(CO41="internal",AF41,0)</f>
        <v>0</v>
      </c>
      <c r="DZ41" s="207">
        <f>IF(CO41="internal",AI41,0)</f>
        <v>0</v>
      </c>
    </row>
    <row r="42" spans="1:130" s="7" customFormat="1" x14ac:dyDescent="0.3">
      <c r="B42" s="19">
        <f>+CI42</f>
        <v>82</v>
      </c>
      <c r="C42" s="6">
        <f t="shared" si="39"/>
        <v>0</v>
      </c>
      <c r="D42" s="6">
        <f t="shared" si="39"/>
        <v>104</v>
      </c>
      <c r="E42" s="6" t="str">
        <f t="shared" si="39"/>
        <v>--</v>
      </c>
      <c r="F42" s="6">
        <f>+CM42</f>
        <v>204</v>
      </c>
      <c r="G42" s="174" t="str">
        <f t="shared" si="40"/>
        <v>Max Fx</v>
      </c>
      <c r="H42" s="6" t="str">
        <f t="shared" si="40"/>
        <v>External</v>
      </c>
      <c r="I42" s="156"/>
      <c r="J42" s="10">
        <f t="shared" si="41"/>
        <v>-151.37838951700786</v>
      </c>
      <c r="K42" s="10">
        <f t="shared" si="41"/>
        <v>-2653.01403806701</v>
      </c>
      <c r="L42" s="10">
        <f t="shared" si="41"/>
        <v>-133.73684500145418</v>
      </c>
      <c r="M42" s="10">
        <f t="shared" si="41"/>
        <v>-1894.6002400790644</v>
      </c>
      <c r="N42" s="10">
        <f>IF(I42*J42&gt;=0,J42*$J$19+I42*$J$18,J42)</f>
        <v>-151.37838951700786</v>
      </c>
      <c r="O42" s="10">
        <f>(K42)*$J$19</f>
        <v>-2653.01403806701</v>
      </c>
      <c r="P42" s="14">
        <f>IF(I42*L42&gt;=0,(L42)+I42,L42)</f>
        <v>-133.73684500145418</v>
      </c>
      <c r="Q42" s="3">
        <f>(M42)</f>
        <v>-1894.6002400790644</v>
      </c>
      <c r="R42" s="20">
        <f t="shared" si="44"/>
        <v>1000</v>
      </c>
      <c r="S42" s="23"/>
      <c r="T42" s="12">
        <v>32</v>
      </c>
      <c r="U42" s="28"/>
      <c r="V42" s="28"/>
      <c r="W42" s="12"/>
      <c r="X42" s="28"/>
      <c r="Y42" s="28"/>
      <c r="Z42" s="12"/>
      <c r="AA42" s="28"/>
      <c r="AB42" s="28"/>
      <c r="AC42" s="158"/>
      <c r="AD42" s="28"/>
      <c r="AE42" s="28"/>
      <c r="AF42" s="158"/>
      <c r="AG42" s="28"/>
      <c r="AH42" s="28"/>
      <c r="AI42" s="29"/>
      <c r="AJ42" s="6">
        <f>PI()/4*T42^2*$O$12/$AX$16</f>
        <v>5361.6514621265796</v>
      </c>
      <c r="AK42" s="28" t="str">
        <f>IF(W42=0,"","+")</f>
        <v/>
      </c>
      <c r="AL42" s="6">
        <f>PI()/4*W42^2*$O$12/$AX$16</f>
        <v>0</v>
      </c>
      <c r="AM42" s="28" t="str">
        <f>IF(Z42=0,"","+")</f>
        <v/>
      </c>
      <c r="AN42" s="6">
        <f>PI()/4*Z42^2*$O$12/$AX$16</f>
        <v>0</v>
      </c>
      <c r="AO42" s="28" t="str">
        <f>IF(AC42=0,"","+")</f>
        <v/>
      </c>
      <c r="AP42" s="6">
        <f>PI()/4*AC42^2*$O$12/$AX$16</f>
        <v>0</v>
      </c>
      <c r="AQ42" s="28" t="str">
        <f>IF(AF42=0,"","+")</f>
        <v/>
      </c>
      <c r="AR42" s="6">
        <f>PI()/4*AF42^2*$O$12/$AX$16</f>
        <v>0</v>
      </c>
      <c r="AS42" s="28" t="str">
        <f>IF(AI42=0,"","+")</f>
        <v/>
      </c>
      <c r="AT42" s="6">
        <f>PI()/4*AI42^2*$O$12/$AX$16</f>
        <v>0</v>
      </c>
      <c r="AU42" s="28" t="s">
        <v>24</v>
      </c>
      <c r="AV42" s="15">
        <f>VALUE(AJ42)+VALUE(AL42)+VALUE(AN42)+VALUE(AP42)+VALUE(AR42)+VALUE(AT42)</f>
        <v>5361.6514621265796</v>
      </c>
      <c r="AW42" s="228">
        <f>MAX(0.3*$AJ$14^(2/3)/$AJ$16*0.26*100,0.13)</f>
        <v>0.15723814702688016</v>
      </c>
      <c r="AX42" s="6">
        <f>AW42/100*$O$12*BK42</f>
        <v>1416.7157047121905</v>
      </c>
      <c r="AY42" s="6"/>
      <c r="AZ42" s="6"/>
      <c r="BA42" s="24" t="str">
        <f>IF(BB42=0,"","+")</f>
        <v/>
      </c>
      <c r="BB42" s="24"/>
      <c r="BC42" s="28" t="s">
        <v>24</v>
      </c>
      <c r="BD42" s="15">
        <f>AX42+AZ42+BB42</f>
        <v>1416.7157047121905</v>
      </c>
      <c r="BE42" s="2">
        <f>(R42-($AX$14+$O$16+T42/2))</f>
        <v>901</v>
      </c>
      <c r="BF42" s="3">
        <f>IF(W42=0,0,(R42-($AX$14+T42/2+$O$16+$BI$16)))</f>
        <v>0</v>
      </c>
      <c r="BG42" s="3">
        <f>IF(Z42=0,0,(R42-($AX$14+T42/2+$BI$16+$O$16+$BI$17)))</f>
        <v>0</v>
      </c>
      <c r="BH42" s="3">
        <f>IF(AC42=0,0,(R42-($AX$14+T42/2+$O$16+$BI$16+$BI$17+$BI$18)))</f>
        <v>0</v>
      </c>
      <c r="BI42" s="3">
        <f>IF(AF42=0,0,(R42-($AX$14+T42/2+$O$16+$BI$16+$BI$17+$BI$18+$BL$16)))</f>
        <v>0</v>
      </c>
      <c r="BJ42" s="3">
        <f>IF(AI42=0,0,(R42-($AX$14+T42/2+$O$16+$BI$16+$BI$17+$BI$18+$BL$16+$BL$17)))</f>
        <v>0</v>
      </c>
      <c r="BK42" s="6">
        <f>(BE42*AJ42+BF42*AL42+BG42*AN42+BH42*AP42+BI42*AR42+BJ42*AT42)/AV42</f>
        <v>901.00000000000011</v>
      </c>
      <c r="BL42" s="175">
        <f>ABS(N42)*1000000/$O$12/BK42^2</f>
        <v>0.18647228756432649</v>
      </c>
      <c r="BM42" s="175">
        <f>BL42/$AJ$14</f>
        <v>5.8272589863852028E-3</v>
      </c>
      <c r="BN42" s="21">
        <f>IF(BM42&lt;0.167,0.5+SQRT(0.25-(BM42/1.134)),0.82)</f>
        <v>0.99483464272943034</v>
      </c>
      <c r="BO42" s="15">
        <f>ABS(N42)/(0.87*$AJ$16*BN42*BK42)*10^6</f>
        <v>388.23879690947888</v>
      </c>
      <c r="BP42" s="22">
        <v>4310.3467953143117</v>
      </c>
      <c r="BQ42" s="175">
        <f>IF(Q42=0,2*ABS(P42*10^6)/$O$12/BP42/(BK42-BP42/3),Q42*BP42*1000/($O$12/2*BP42^2-(BE42-BP42)*AJ42*$AJ$18-(BF42-BP42)*AL42*$AJ$18-(BG42-BP42)*AN42*$AJ$18-(BH42-BP42)*AP42*$AJ$18-(BI42-BP42)*AR42*$AJ$18-(BJ42-BP42)*AT42*$AJ$18))</f>
        <v>-0.8519459469523345</v>
      </c>
      <c r="BR42" s="3">
        <f>0.5*$O$12*BP42*BQ42 /1000</f>
        <v>-1836.0912411135059</v>
      </c>
      <c r="BS42" s="3">
        <f>($BQ42/$BP42)*(BE42-$BP42)*$AJ$18*AJ42/1000</f>
        <v>58.508998965558447</v>
      </c>
      <c r="BT42" s="3">
        <f>($BQ42/$BP42)*(BF42-$BP42)*$AJ$18*AL42/1000</f>
        <v>0</v>
      </c>
      <c r="BU42" s="3">
        <f>($BQ42/$BP42)*(BG42-$BP42)*$AJ$18*AN42/1000</f>
        <v>0</v>
      </c>
      <c r="BV42" s="3">
        <f>($BQ42/$BP42)*(BH42-$BP42)*$AJ$18*AP42/1000</f>
        <v>0</v>
      </c>
      <c r="BW42" s="3">
        <f>($BQ42/$BP42)*(BI42-$BP42)*$AJ$18*AR42/1000</f>
        <v>0</v>
      </c>
      <c r="BX42" s="3">
        <f>($BQ42/$BP42)*(BJ42-$BP42)*$AJ$18*AT42/1000</f>
        <v>0</v>
      </c>
      <c r="BY42" s="175">
        <f>IF(Q42=0,0,(0.5*$O$12*BP42*BQ42/1000*(R42/2-$BP42/3)+BS42*(BE42-R42/2)+BT42*(BF42-R42/2)+BU42*(BG42-R42/2)+BV42*(BH42-R42/2)+BW42*(BI42-R42/2)+BX42*(BJ42-R42/2))/1000-ABS(P42))</f>
        <v>1609.7429753730744</v>
      </c>
      <c r="BZ42" s="10"/>
      <c r="CA42" s="176">
        <f>ABS(P42)/(BK42-BP42/3)/AV42*10^6-Q42*(R42/2-BP42/3)/(BK42-BP42/3)/AV42*1000</f>
        <v>571.27572027622659</v>
      </c>
      <c r="CB42" s="177">
        <f>(AV42/($O$12*MIN(2.5*(R42-BK42),(R42-BP42)/3,R42/2)-AV42))</f>
        <v>-4.835498094264837E-3</v>
      </c>
      <c r="CC42" s="177">
        <f>3.4*($O$16+$AX$14)+0.425*0.8*0.5*(T42^2+W42^2+Z42^2+AC42^2+AF42^2+AI42^2)/(T42+W42+Z42+AC42+AF42+AI42)/CB42</f>
        <v>-842.81336862321086</v>
      </c>
      <c r="CD42" s="177">
        <f>MAX(0.6*CA42/$AJ$17,(CA42-0.4*0.3*$AJ$14^(2/3)/CB42*(1+$AJ$17/$AJ$15*CB42))/$AJ$17)</f>
        <v>4.0091154501593875</v>
      </c>
      <c r="CE42" s="178">
        <f>CC42*CD42/1000</f>
        <v>-3.3789360977481939</v>
      </c>
      <c r="CF42" s="23" t="str">
        <f>IF(AND(AV42&gt;=BD42,AV42&gt;=BO42,CE42&lt;=(+IF(CO42="External",0.25,0.3))),"O.K", "Not O.K")</f>
        <v>O.K</v>
      </c>
      <c r="CG42" s="28"/>
      <c r="CH42" s="179" t="str">
        <f>IF(O42&lt;0.2*$AJ$14*R42*$O$12/1000,"N &lt; 0.2fckAc - OK!","TBA")</f>
        <v>N &lt; 0.2fckAc - OK!</v>
      </c>
      <c r="CI42" s="24">
        <v>82</v>
      </c>
      <c r="CJ42" s="25"/>
      <c r="CK42" s="6">
        <f t="shared" si="35"/>
        <v>104</v>
      </c>
      <c r="CL42" s="8" t="s">
        <v>72</v>
      </c>
      <c r="CM42" s="6">
        <f t="shared" si="36"/>
        <v>204</v>
      </c>
      <c r="CN42" s="26" t="s">
        <v>145</v>
      </c>
      <c r="CO42" s="15" t="str">
        <f>IF(VLOOKUP(CI42,'Summary-input'!A:C,3,0)="Outward",
IF(CP42&lt;0,"External","Internal"),
IF(CP42&lt;0,"Internal","External")
)</f>
        <v>External</v>
      </c>
      <c r="CP42">
        <f>VLOOKUP(CI42&amp;CN42,'Summary-output-ULS'!A:G,6,0)</f>
        <v>-151.37838951700786</v>
      </c>
      <c r="CQ42">
        <f>VLOOKUP(CI42&amp;CN42,'Summary-output-ULS'!A:G,7,0)</f>
        <v>-2653.01403806701</v>
      </c>
      <c r="CR42" s="3">
        <f>VLOOKUP(CI42&amp;CN42,'Summary-output-SLS'!A:G,6,0)</f>
        <v>-133.73684500145418</v>
      </c>
      <c r="CS42" s="3">
        <f>VLOOKUP(CI42&amp;CN42,'Summary-output-SLS'!A:G,7,0)</f>
        <v>-1894.6002400790644</v>
      </c>
      <c r="CT42" s="20">
        <v>1000</v>
      </c>
      <c r="CU42" s="2">
        <f>VLOOKUP(CI42&amp;CN42,'Summary-output-ULS'!A:G,5,0)</f>
        <v>104</v>
      </c>
      <c r="CV42" s="15">
        <f>VLOOKUP(CI42&amp;CN42,'Summary-output-SLS'!A:G,5,0)</f>
        <v>204</v>
      </c>
      <c r="CW42" s="6"/>
      <c r="CX42" s="278"/>
      <c r="CY42" s="6"/>
      <c r="CZ42" s="6"/>
      <c r="DA42" s="6"/>
      <c r="DB42" s="6"/>
      <c r="DC42" s="6"/>
      <c r="DD42" s="6"/>
      <c r="DE42" s="6"/>
      <c r="DF42" s="6"/>
      <c r="DG42" s="6"/>
      <c r="DH42" s="6"/>
      <c r="DI42" s="6"/>
      <c r="DJ42" s="212"/>
      <c r="DK42" s="13"/>
      <c r="DL42" s="13"/>
      <c r="DM42" s="202"/>
      <c r="DN42" s="206">
        <f>IF(CO42="external",T42,0)</f>
        <v>32</v>
      </c>
      <c r="DO42" s="206">
        <f>IF(CO42="external",W42,0)</f>
        <v>0</v>
      </c>
      <c r="DP42" s="206">
        <f>IF(CO42="external",Z42,0)</f>
        <v>0</v>
      </c>
      <c r="DQ42" s="206">
        <f>IF(CO42="external",AC42,0)</f>
        <v>0</v>
      </c>
      <c r="DR42" s="206">
        <f>IF(CO42="external",AF42,0)</f>
        <v>0</v>
      </c>
      <c r="DS42" s="207">
        <f>IF(CO42="external",AI42,0)</f>
        <v>0</v>
      </c>
      <c r="DT42" s="208"/>
      <c r="DU42" s="207">
        <f>IF(CO42="internal",T42,0)</f>
        <v>0</v>
      </c>
      <c r="DV42" s="207">
        <f>IF(CO42="internal",W42,0)</f>
        <v>0</v>
      </c>
      <c r="DW42" s="207">
        <f>IF(CO42="internal",Z42,0)</f>
        <v>0</v>
      </c>
      <c r="DX42" s="207">
        <f>IF(CO42="internal",AC42,0)</f>
        <v>0</v>
      </c>
      <c r="DY42" s="207">
        <f>IF(CO42="internal",AF42,0)</f>
        <v>0</v>
      </c>
      <c r="DZ42" s="207">
        <f>IF(CO42="internal",AI42,0)</f>
        <v>0</v>
      </c>
    </row>
    <row r="43" spans="1:130" s="7" customFormat="1" x14ac:dyDescent="0.3">
      <c r="B43" s="19">
        <f>+CI43</f>
        <v>82</v>
      </c>
      <c r="C43" s="6">
        <f t="shared" si="39"/>
        <v>0</v>
      </c>
      <c r="D43" s="6">
        <f t="shared" si="39"/>
        <v>106</v>
      </c>
      <c r="E43" s="6" t="str">
        <f t="shared" si="39"/>
        <v>--</v>
      </c>
      <c r="F43" s="6">
        <f>+CM43</f>
        <v>206</v>
      </c>
      <c r="G43" s="174" t="str">
        <f t="shared" si="40"/>
        <v>Min Fx</v>
      </c>
      <c r="H43" s="6" t="str">
        <f t="shared" si="40"/>
        <v>External</v>
      </c>
      <c r="I43" s="156"/>
      <c r="J43" s="10">
        <f t="shared" si="41"/>
        <v>-264.45427862625434</v>
      </c>
      <c r="K43" s="10">
        <f t="shared" si="41"/>
        <v>-964.42557543578596</v>
      </c>
      <c r="L43" s="10">
        <f t="shared" si="41"/>
        <v>-188.59922303135491</v>
      </c>
      <c r="M43" s="10">
        <f t="shared" si="41"/>
        <v>-1034.749715631144</v>
      </c>
      <c r="N43" s="10">
        <f>IF(I43*J43&gt;=0,J43*$J$19+I43*$J$18,J43)</f>
        <v>-264.45427862625434</v>
      </c>
      <c r="O43" s="10">
        <f>(K43)*$J$19</f>
        <v>-964.42557543578596</v>
      </c>
      <c r="P43" s="14">
        <f>IF(I43*L43&gt;=0,(L43)+I43,L43)</f>
        <v>-188.59922303135491</v>
      </c>
      <c r="Q43" s="3">
        <f>(M43)</f>
        <v>-1034.749715631144</v>
      </c>
      <c r="R43" s="20">
        <f t="shared" si="44"/>
        <v>1000</v>
      </c>
      <c r="S43" s="23"/>
      <c r="T43" s="12">
        <v>40</v>
      </c>
      <c r="U43" s="28"/>
      <c r="V43" s="28"/>
      <c r="W43" s="12">
        <v>20</v>
      </c>
      <c r="X43" s="28"/>
      <c r="Y43" s="28"/>
      <c r="Z43" s="12"/>
      <c r="AA43" s="28"/>
      <c r="AB43" s="28"/>
      <c r="AC43" s="158"/>
      <c r="AD43" s="28"/>
      <c r="AE43" s="28"/>
      <c r="AF43" s="158"/>
      <c r="AG43" s="28"/>
      <c r="AH43" s="28"/>
      <c r="AI43" s="29"/>
      <c r="AJ43" s="6">
        <f>PI()/4*T43^2*$O$12/$AX$16</f>
        <v>8377.5804095727817</v>
      </c>
      <c r="AK43" s="28" t="str">
        <f>IF(W43=0,"","+")</f>
        <v>+</v>
      </c>
      <c r="AL43" s="6">
        <f>PI()/4*W43^2*$O$12/$AX$16</f>
        <v>2094.3951023931954</v>
      </c>
      <c r="AM43" s="28" t="str">
        <f>IF(Z43=0,"","+")</f>
        <v/>
      </c>
      <c r="AN43" s="6">
        <f>PI()/4*Z43^2*$O$12/$AX$16</f>
        <v>0</v>
      </c>
      <c r="AO43" s="28" t="str">
        <f>IF(AC43=0,"","+")</f>
        <v/>
      </c>
      <c r="AP43" s="6">
        <f>PI()/4*AC43^2*$O$12/$AX$16</f>
        <v>0</v>
      </c>
      <c r="AQ43" s="28" t="str">
        <f>IF(AF43=0,"","+")</f>
        <v/>
      </c>
      <c r="AR43" s="6">
        <f>PI()/4*AF43^2*$O$12/$AX$16</f>
        <v>0</v>
      </c>
      <c r="AS43" s="28" t="str">
        <f>IF(AI43=0,"","+")</f>
        <v/>
      </c>
      <c r="AT43" s="6">
        <f>PI()/4*AI43^2*$O$12/$AX$16</f>
        <v>0</v>
      </c>
      <c r="AU43" s="28" t="s">
        <v>24</v>
      </c>
      <c r="AV43" s="15">
        <f>VALUE(AJ43)+VALUE(AL43)+VALUE(AN43)+VALUE(AP43)+VALUE(AR43)+VALUE(AT43)</f>
        <v>10471.975511965977</v>
      </c>
      <c r="AW43" s="228">
        <f>MAX(0.3*$AJ$14^(2/3)/$AJ$16*0.26*100,0.13)</f>
        <v>0.15723814702688016</v>
      </c>
      <c r="AX43" s="6">
        <f>AW43/100*$O$12*BK43</f>
        <v>1385.2680753068144</v>
      </c>
      <c r="AY43" s="6"/>
      <c r="AZ43" s="6"/>
      <c r="BA43" s="24" t="str">
        <f>IF(BB43=0,"","+")</f>
        <v/>
      </c>
      <c r="BB43" s="24"/>
      <c r="BC43" s="28" t="s">
        <v>24</v>
      </c>
      <c r="BD43" s="15">
        <f>AX43+AZ43+BB43</f>
        <v>1385.2680753068144</v>
      </c>
      <c r="BE43" s="2">
        <f>(R43-($AX$14+$O$16+T43/2))</f>
        <v>897</v>
      </c>
      <c r="BF43" s="3">
        <f>IF(W43=0,0,(R43-($AX$14+T43/2+$O$16+$BI$16)))</f>
        <v>817</v>
      </c>
      <c r="BG43" s="3">
        <f>IF(Z43=0,0,(R43-($AX$14+T43/2+$BI$16+$O$16+$BI$17)))</f>
        <v>0</v>
      </c>
      <c r="BH43" s="3">
        <f>IF(AC43=0,0,(R43-($AX$14+T43/2+$O$16+$BI$16+$BI$17+$BI$18)))</f>
        <v>0</v>
      </c>
      <c r="BI43" s="3">
        <f>IF(AF43=0,0,(R43-($AX$14+T43/2+$O$16+$BI$16+$BI$17+$BI$18+$BL$16)))</f>
        <v>0</v>
      </c>
      <c r="BJ43" s="3">
        <f>IF(AI43=0,0,(R43-($AX$14+T43/2+$O$16+$BI$16+$BI$17+$BI$18+$BL$16+$BL$17)))</f>
        <v>0</v>
      </c>
      <c r="BK43" s="6">
        <f>(BE43*AJ43+BF43*AL43+BG43*AN43+BH43*AP43+BI43*AR43+BJ43*AT43)/AV43</f>
        <v>881</v>
      </c>
      <c r="BL43" s="175">
        <f>ABS(N43)*1000000/$O$12/BK43^2</f>
        <v>0.34072090536145766</v>
      </c>
      <c r="BM43" s="175">
        <f>BL43/$AJ$14</f>
        <v>1.0647528292545552E-2</v>
      </c>
      <c r="BN43" s="21">
        <f>IF(BM43&lt;0.167,0.5+SQRT(0.25-(BM43/1.134)),0.82)</f>
        <v>0.99052078981901348</v>
      </c>
      <c r="BO43" s="15">
        <f>ABS(N43)/(0.87*$AJ$16*BN43*BK43)*10^6</f>
        <v>696.6615428528022</v>
      </c>
      <c r="BP43" s="22">
        <v>319.4912956018116</v>
      </c>
      <c r="BQ43" s="175">
        <f>IF(Q43=0,2*ABS(P43*10^6)/$O$12/BP43/(BK43-BP43/3),Q43*BP43*1000/($O$12/2*BP43^2-(BE43-BP43)*AJ43*$AJ$18-(BF43-BP43)*AL43*$AJ$18-(BG43-BP43)*AN43*$AJ$18-(BH43-BP43)*AP43*$AJ$18-(BI43-BP43)*AR43*$AJ$18-(BJ43-BP43)*AT43*$AJ$18))</f>
        <v>7.4820557881503849</v>
      </c>
      <c r="BR43" s="3">
        <f>0.5*$O$12*BP43*BQ43 /1000</f>
        <v>1195.2258487606</v>
      </c>
      <c r="BS43" s="3">
        <f>($BQ43/$BP43)*(BE43-$BP43)*$AJ$18*AJ43/1000</f>
        <v>1834.8143691368218</v>
      </c>
      <c r="BT43" s="3">
        <f>($BQ43/$BP43)*(BF43-$BP43)*$AJ$18*AL43/1000</f>
        <v>395.16119525492257</v>
      </c>
      <c r="BU43" s="3">
        <f>($BQ43/$BP43)*(BG43-$BP43)*$AJ$18*AN43/1000</f>
        <v>0</v>
      </c>
      <c r="BV43" s="3">
        <f>($BQ43/$BP43)*(BH43-$BP43)*$AJ$18*AP43/1000</f>
        <v>0</v>
      </c>
      <c r="BW43" s="3">
        <f>($BQ43/$BP43)*(BI43-$BP43)*$AJ$18*AR43/1000</f>
        <v>0</v>
      </c>
      <c r="BX43" s="3">
        <f>($BQ43/$BP43)*(BJ43-$BP43)*$AJ$18*AT43/1000</f>
        <v>0</v>
      </c>
      <c r="BY43" s="175">
        <f>IF(Q43=0,0,(0.5*$O$12*BP43*BQ43/1000*(R43/2-$BP43/3)+BS43*(BE43-R43/2)+BT43*(BF43-R43/2)+BU43*(BG43-R43/2)+BV43*(BH43-R43/2)+BW43*(BI43-R43/2)+BX43*(BJ43-R43/2))/1000-ABS(P43))</f>
        <v>1135.4130198063074</v>
      </c>
      <c r="BZ43" s="10"/>
      <c r="CA43" s="176">
        <f>ABS(P43)/(BK43-BP43/3)/AV43*10^6-Q43*(R43/2-BP43/3)/(BK43-BP43/3)/AV43*1000</f>
        <v>73.456716411746214</v>
      </c>
      <c r="CB43" s="177">
        <f>(AV43/($O$12*MIN(2.5*(R43-BK43),(R43-BP43)/3,R43/2)-AV43))</f>
        <v>4.8399747474255572E-2</v>
      </c>
      <c r="CC43" s="177">
        <f>3.4*($O$16+$AX$14)+0.425*0.8*0.5*(T43^2+W43^2+Z43^2+AC43^2+AF43^2+AI43^2)/(T43+W43+Z43+AC43+AF43+AI43)/CB43</f>
        <v>399.28050067163753</v>
      </c>
      <c r="CD43" s="177">
        <f>MAX(0.6*CA43/$AJ$17,(CA43-0.4*0.3*$AJ$14^(2/3)/CB43*(1+$AJ$17/$AJ$15*CB43))/$AJ$17)</f>
        <v>0.22037014923523862</v>
      </c>
      <c r="CE43" s="178">
        <f>CC43*CD43/1000</f>
        <v>8.7989503519729548E-2</v>
      </c>
      <c r="CF43" s="23" t="str">
        <f>IF(AND(AV43&gt;=BD43,AV43&gt;=BO43,CE43&lt;=(+IF(CO43="External",0.25,0.3))),"O.K", "Not O.K")</f>
        <v>O.K</v>
      </c>
      <c r="CG43" s="28"/>
      <c r="CH43" s="179" t="str">
        <f>IF(O43&lt;0.2*$AJ$14*R43*$O$12/1000,"N &lt; 0.2fckAc - OK!","TBA")</f>
        <v>N &lt; 0.2fckAc - OK!</v>
      </c>
      <c r="CI43" s="24">
        <v>82</v>
      </c>
      <c r="CJ43" s="25"/>
      <c r="CK43" s="6">
        <f t="shared" si="35"/>
        <v>106</v>
      </c>
      <c r="CL43" s="8" t="s">
        <v>72</v>
      </c>
      <c r="CM43" s="6">
        <f t="shared" si="36"/>
        <v>206</v>
      </c>
      <c r="CN43" s="26" t="s">
        <v>146</v>
      </c>
      <c r="CO43" s="15" t="str">
        <f>IF(VLOOKUP(CI43,'Summary-input'!A:C,3,0)="Outward",
IF(CP43&lt;0,"External","Internal"),
IF(CP43&lt;0,"Internal","External")
)</f>
        <v>External</v>
      </c>
      <c r="CP43">
        <f>VLOOKUP(CI43&amp;CN43,'Summary-output-ULS'!A:G,6,0)</f>
        <v>-264.45427862625434</v>
      </c>
      <c r="CQ43">
        <f>VLOOKUP(CI43&amp;CN43,'Summary-output-ULS'!A:G,7,0)</f>
        <v>-964.42557543578596</v>
      </c>
      <c r="CR43" s="3">
        <f>VLOOKUP(CI43&amp;CN43,'Summary-output-SLS'!A:G,6,0)</f>
        <v>-188.59922303135491</v>
      </c>
      <c r="CS43" s="3">
        <f>VLOOKUP(CI43&amp;CN43,'Summary-output-SLS'!A:G,7,0)</f>
        <v>-1034.749715631144</v>
      </c>
      <c r="CT43" s="20">
        <v>1000</v>
      </c>
      <c r="CU43" s="2">
        <f>VLOOKUP(CI43&amp;CN43,'Summary-output-ULS'!A:G,5,0)</f>
        <v>106</v>
      </c>
      <c r="CV43" s="15">
        <f>VLOOKUP(CI43&amp;CN43,'Summary-output-SLS'!A:G,5,0)</f>
        <v>206</v>
      </c>
      <c r="CW43" s="6"/>
      <c r="CX43" s="278"/>
      <c r="CY43" s="6"/>
      <c r="CZ43" s="6"/>
      <c r="DA43" s="6"/>
      <c r="DB43" s="6"/>
      <c r="DC43" s="6"/>
      <c r="DD43" s="6"/>
      <c r="DE43" s="6"/>
      <c r="DF43" s="6"/>
      <c r="DG43" s="6"/>
      <c r="DH43" s="6"/>
      <c r="DI43" s="6"/>
      <c r="DJ43" s="212"/>
      <c r="DK43" s="13"/>
      <c r="DL43" s="13"/>
      <c r="DM43" s="202"/>
      <c r="DN43" s="206">
        <f>IF(CO43="external",T43,0)</f>
        <v>40</v>
      </c>
      <c r="DO43" s="206">
        <f>IF(CO43="external",W43,0)</f>
        <v>20</v>
      </c>
      <c r="DP43" s="206">
        <f>IF(CO43="external",Z43,0)</f>
        <v>0</v>
      </c>
      <c r="DQ43" s="206">
        <f>IF(CO43="external",AC43,0)</f>
        <v>0</v>
      </c>
      <c r="DR43" s="206">
        <f>IF(CO43="external",AF43,0)</f>
        <v>0</v>
      </c>
      <c r="DS43" s="207">
        <f>IF(CO43="external",AI43,0)</f>
        <v>0</v>
      </c>
      <c r="DT43" s="208"/>
      <c r="DU43" s="207">
        <f>IF(CO43="internal",T43,0)</f>
        <v>0</v>
      </c>
      <c r="DV43" s="207">
        <f>IF(CO43="internal",W43,0)</f>
        <v>0</v>
      </c>
      <c r="DW43" s="207">
        <f>IF(CO43="internal",Z43,0)</f>
        <v>0</v>
      </c>
      <c r="DX43" s="207">
        <f>IF(CO43="internal",AC43,0)</f>
        <v>0</v>
      </c>
      <c r="DY43" s="207">
        <f>IF(CO43="internal",AF43,0)</f>
        <v>0</v>
      </c>
      <c r="DZ43" s="207">
        <f>IF(CO43="internal",AI43,0)</f>
        <v>0</v>
      </c>
    </row>
    <row r="44" spans="1:130" s="7" customFormat="1" x14ac:dyDescent="0.3">
      <c r="B44" s="19"/>
      <c r="C44" s="6"/>
      <c r="D44" s="6"/>
      <c r="E44" s="6"/>
      <c r="F44" s="6"/>
      <c r="G44" s="232"/>
      <c r="H44" s="6"/>
      <c r="I44" s="24"/>
      <c r="J44" s="6"/>
      <c r="K44" s="6"/>
      <c r="L44" s="6"/>
      <c r="M44" s="6"/>
      <c r="N44" s="6"/>
      <c r="O44" s="6"/>
      <c r="P44" s="24"/>
      <c r="Q44" s="6"/>
      <c r="R44" s="6"/>
      <c r="S44" s="28"/>
      <c r="T44" s="12"/>
      <c r="U44" s="28"/>
      <c r="V44" s="28"/>
      <c r="W44" s="12"/>
      <c r="X44" s="28"/>
      <c r="Y44" s="28"/>
      <c r="Z44" s="12"/>
      <c r="AA44" s="28"/>
      <c r="AB44" s="28"/>
      <c r="AC44" s="158"/>
      <c r="AD44" s="28"/>
      <c r="AE44" s="28"/>
      <c r="AF44" s="158"/>
      <c r="AG44" s="28"/>
      <c r="AH44" s="28"/>
      <c r="AI44" s="12"/>
      <c r="AJ44" s="6"/>
      <c r="AK44" s="28"/>
      <c r="AL44" s="6"/>
      <c r="AM44" s="28"/>
      <c r="AN44" s="6"/>
      <c r="AO44" s="28"/>
      <c r="AP44" s="6"/>
      <c r="AQ44" s="28"/>
      <c r="AR44" s="6"/>
      <c r="AS44" s="28"/>
      <c r="AT44" s="6"/>
      <c r="AU44" s="28"/>
      <c r="AV44" s="6"/>
      <c r="AW44" s="233"/>
      <c r="AX44" s="6"/>
      <c r="AY44" s="6"/>
      <c r="AZ44" s="6"/>
      <c r="BA44" s="24"/>
      <c r="BB44" s="24"/>
      <c r="BC44" s="28"/>
      <c r="BD44" s="6"/>
      <c r="BE44" s="6"/>
      <c r="BF44" s="6"/>
      <c r="BG44" s="6"/>
      <c r="BH44" s="6"/>
      <c r="BI44" s="6"/>
      <c r="BJ44" s="6"/>
      <c r="BK44" s="6"/>
      <c r="BL44" s="231"/>
      <c r="BM44" s="231"/>
      <c r="BN44" s="231"/>
      <c r="BO44" s="6"/>
      <c r="BP44" s="234"/>
      <c r="BQ44" s="231"/>
      <c r="BR44" s="6"/>
      <c r="BS44" s="6"/>
      <c r="BT44" s="6"/>
      <c r="BU44" s="6"/>
      <c r="BV44" s="6"/>
      <c r="BW44" s="6"/>
      <c r="BX44" s="6"/>
      <c r="BY44" s="231"/>
      <c r="BZ44" s="6"/>
      <c r="CA44" s="234"/>
      <c r="CB44" s="235"/>
      <c r="CC44" s="235"/>
      <c r="CD44" s="235"/>
      <c r="CE44" s="235"/>
      <c r="CF44" s="28"/>
      <c r="CG44" s="28"/>
      <c r="CH44" s="173"/>
      <c r="CI44" s="24"/>
      <c r="CJ44" s="25"/>
      <c r="CK44" s="6" t="e">
        <f t="shared" si="35"/>
        <v>#N/A</v>
      </c>
      <c r="CL44" s="8" t="s">
        <v>72</v>
      </c>
      <c r="CM44" s="6" t="e">
        <f t="shared" si="36"/>
        <v>#N/A</v>
      </c>
      <c r="CN44" s="236"/>
      <c r="CO44" s="15" t="e">
        <f>IF(VLOOKUP(CI44,'Summary-input'!A:C,3,0)="Outward",
IF(CP44&lt;0,"External","Internal"),
IF(CP44&lt;0,"Internal","External")
)</f>
        <v>#N/A</v>
      </c>
      <c r="CP44" t="e">
        <f>VLOOKUP(CI44&amp;CN44,'Summary-output-ULS'!A:G,6,0)</f>
        <v>#N/A</v>
      </c>
      <c r="CQ44" t="e">
        <f>VLOOKUP(CI44&amp;CN44,'Summary-output-ULS'!A:G,7,0)</f>
        <v>#N/A</v>
      </c>
      <c r="CR44" s="3" t="e">
        <f>VLOOKUP(CI44&amp;CN44,'Summary-output-SLS'!A:G,6,0)</f>
        <v>#N/A</v>
      </c>
      <c r="CS44" s="3" t="e">
        <f>VLOOKUP(CI44&amp;CN44,'Summary-output-SLS'!A:G,7,0)</f>
        <v>#N/A</v>
      </c>
      <c r="CT44" s="6"/>
      <c r="CU44" s="2" t="e">
        <f>VLOOKUP(CI44&amp;CN44,'Summary-output-ULS'!A:G,5,0)</f>
        <v>#N/A</v>
      </c>
      <c r="CV44" s="15" t="e">
        <f>VLOOKUP(CI44&amp;CN44,'Summary-output-SLS'!A:G,5,0)</f>
        <v>#N/A</v>
      </c>
      <c r="CW44" s="6"/>
      <c r="CX44" s="278"/>
      <c r="CY44" s="6"/>
      <c r="CZ44" s="6"/>
      <c r="DA44" s="6"/>
      <c r="DB44" s="6"/>
      <c r="DC44" s="6"/>
      <c r="DD44" s="6"/>
      <c r="DE44" s="6"/>
      <c r="DF44" s="6"/>
      <c r="DG44" s="6"/>
      <c r="DH44" s="6"/>
      <c r="DI44" s="6"/>
      <c r="DJ44" s="212"/>
      <c r="DK44" s="13"/>
      <c r="DL44" s="13"/>
      <c r="DM44" s="202"/>
      <c r="DN44" s="206"/>
      <c r="DO44" s="206"/>
      <c r="DP44" s="206"/>
      <c r="DQ44" s="206"/>
      <c r="DR44" s="206"/>
      <c r="DS44" s="207"/>
      <c r="DT44" s="208"/>
      <c r="DU44" s="207"/>
      <c r="DV44" s="207"/>
      <c r="DW44" s="207"/>
      <c r="DX44" s="207"/>
      <c r="DY44" s="207"/>
      <c r="DZ44" s="207"/>
    </row>
    <row r="45" spans="1:130" s="7" customFormat="1" ht="13.8" x14ac:dyDescent="0.25">
      <c r="A45" s="7" t="s">
        <v>141</v>
      </c>
      <c r="B45" s="19">
        <f>+CI45</f>
        <v>84</v>
      </c>
      <c r="C45" s="6">
        <f t="shared" ref="C45:E48" si="45">CJ45</f>
        <v>0</v>
      </c>
      <c r="D45" s="6">
        <f t="shared" si="45"/>
        <v>103</v>
      </c>
      <c r="E45" s="6" t="str">
        <f t="shared" si="45"/>
        <v>--</v>
      </c>
      <c r="F45" s="6">
        <f>+CM45</f>
        <v>203</v>
      </c>
      <c r="G45" s="174" t="str">
        <f t="shared" ref="G45:H48" si="46">CN45</f>
        <v>Max Mz</v>
      </c>
      <c r="H45" s="6" t="str">
        <f t="shared" si="46"/>
        <v>Internal</v>
      </c>
      <c r="I45" s="156"/>
      <c r="J45" s="10">
        <f t="shared" ref="J45:M48" si="47">(CP45)</f>
        <v>2113.9053858779512</v>
      </c>
      <c r="K45" s="10">
        <f t="shared" si="47"/>
        <v>-1793.9595491589612</v>
      </c>
      <c r="L45" s="10">
        <f t="shared" si="47"/>
        <v>1553.3234359283892</v>
      </c>
      <c r="M45" s="10">
        <f t="shared" si="47"/>
        <v>-1316.2024950617231</v>
      </c>
      <c r="N45" s="10">
        <f>IF(I45*J45&gt;=0,J45*$J$19+I45*$J$18,J45)</f>
        <v>2113.9053858779512</v>
      </c>
      <c r="O45" s="10">
        <f>(K45)*$J$19</f>
        <v>-1793.9595491589612</v>
      </c>
      <c r="P45" s="14">
        <f>IF(I45*L45&gt;=0,(L45)+I45,L45)</f>
        <v>1553.3234359283892</v>
      </c>
      <c r="Q45" s="3">
        <f>(M45)</f>
        <v>-1316.2024950617231</v>
      </c>
      <c r="R45" s="20">
        <f t="shared" si="44"/>
        <v>1000</v>
      </c>
      <c r="S45" s="23"/>
      <c r="T45" s="12">
        <v>25</v>
      </c>
      <c r="U45" s="28"/>
      <c r="V45" s="28"/>
      <c r="W45" s="12"/>
      <c r="X45" s="28"/>
      <c r="Y45" s="28"/>
      <c r="Z45" s="12"/>
      <c r="AA45" s="28"/>
      <c r="AB45" s="28"/>
      <c r="AC45" s="158"/>
      <c r="AD45" s="28"/>
      <c r="AE45" s="28"/>
      <c r="AF45" s="158"/>
      <c r="AG45" s="28"/>
      <c r="AH45" s="28"/>
      <c r="AI45" s="29"/>
      <c r="AJ45" s="6">
        <f>PI()/4*T45^2*$O$12/$AX$16</f>
        <v>3272.4923474893681</v>
      </c>
      <c r="AK45" s="28" t="str">
        <f>IF(W45=0,"","+")</f>
        <v/>
      </c>
      <c r="AL45" s="6">
        <f>PI()/4*W45^2*$O$12/$AX$16</f>
        <v>0</v>
      </c>
      <c r="AM45" s="28" t="str">
        <f>IF(Z45=0,"","+")</f>
        <v/>
      </c>
      <c r="AN45" s="6">
        <f>PI()/4*Z45^2*$O$12/$AX$16</f>
        <v>0</v>
      </c>
      <c r="AO45" s="28" t="str">
        <f>IF(AC45=0,"","+")</f>
        <v/>
      </c>
      <c r="AP45" s="6">
        <f>PI()/4*AC45^2*$O$12/$AX$16</f>
        <v>0</v>
      </c>
      <c r="AQ45" s="28" t="str">
        <f>IF(AF45=0,"","+")</f>
        <v/>
      </c>
      <c r="AR45" s="6">
        <f>PI()/4*AF45^2*$O$12/$AX$16</f>
        <v>0</v>
      </c>
      <c r="AS45" s="28" t="str">
        <f>IF(AI45=0,"","+")</f>
        <v/>
      </c>
      <c r="AT45" s="6">
        <f>PI()/4*AI45^2*$O$12/$AX$16</f>
        <v>0</v>
      </c>
      <c r="AU45" s="28" t="s">
        <v>24</v>
      </c>
      <c r="AV45" s="15">
        <f>VALUE(AJ45)+VALUE(AL45)+VALUE(AN45)+VALUE(AP45)+VALUE(AR45)+VALUE(AT45)</f>
        <v>3272.4923474893681</v>
      </c>
      <c r="AW45" s="228">
        <f>MAX(0.3*$AJ$14^(2/3)/$AJ$16*0.26*100,0.13)</f>
        <v>0.15723814702688016</v>
      </c>
      <c r="AX45" s="6">
        <f>AW45/100*$O$12*BK45</f>
        <v>1422.2190398581311</v>
      </c>
      <c r="AY45" s="6"/>
      <c r="AZ45" s="6"/>
      <c r="BA45" s="24" t="str">
        <f>IF(BB45=0,"","+")</f>
        <v/>
      </c>
      <c r="BB45" s="24"/>
      <c r="BC45" s="28" t="s">
        <v>24</v>
      </c>
      <c r="BD45" s="15">
        <f>AX45+AZ45+BB45</f>
        <v>1422.2190398581311</v>
      </c>
      <c r="BE45" s="2">
        <f>(R45-($AX$14+$O$16+T45/2))</f>
        <v>904.5</v>
      </c>
      <c r="BF45" s="3">
        <f>IF(W45=0,0,(R45-($AX$14+T45/2+$O$16+$BI$16)))</f>
        <v>0</v>
      </c>
      <c r="BG45" s="3">
        <f>IF(Z45=0,0,(R45-($AX$14+T45/2+$BI$16+$O$16+$BI$17)))</f>
        <v>0</v>
      </c>
      <c r="BH45" s="3">
        <f>IF(AC45=0,0,(R45-($AX$14+T45/2+$O$16+$BI$16+$BI$17+$BI$18)))</f>
        <v>0</v>
      </c>
      <c r="BI45" s="3">
        <f>IF(AF45=0,0,(R45-($AX$14+T45/2+$O$16+$BI$16+$BI$17+$BI$18+$BL$16)))</f>
        <v>0</v>
      </c>
      <c r="BJ45" s="3">
        <f>IF(AI45=0,0,(R45-($AX$14+T45/2+$O$16+$BI$16+$BI$17+$BI$18+$BL$16+$BL$17)))</f>
        <v>0</v>
      </c>
      <c r="BK45" s="6">
        <f>(BE45*AJ45+BF45*AL45+BG45*AN45+BH45*AP45+BI45*AR45+BJ45*AT45)/AV45</f>
        <v>904.5</v>
      </c>
      <c r="BL45" s="175">
        <f>ABS(N45)*1000000/$O$12/BK45^2</f>
        <v>2.5838565735024295</v>
      </c>
      <c r="BM45" s="175">
        <f>BL45/$AJ$14</f>
        <v>8.0745517921950921E-2</v>
      </c>
      <c r="BN45" s="21">
        <f>IF(BM45&lt;0.167,0.5+SQRT(0.25-(BM45/1.134)),0.82)</f>
        <v>0.9228425706749489</v>
      </c>
      <c r="BO45" s="15">
        <f>ABS(N45)/(0.87*$AJ$16*BN45*BK45)*10^6</f>
        <v>5821.8377365328079</v>
      </c>
      <c r="BP45" s="22">
        <v>3434.1001509641765</v>
      </c>
      <c r="BQ45" s="175">
        <f>IF(Q45=0,2*ABS(P45*10^6)/$O$12/BP45/(BK45-BP45/3),Q45*BP45*1000/($O$12/2*BP45^2-(BE45-BP45)*AJ45*$AJ$18-(BF45-BP45)*AL45*$AJ$18-(BG45-BP45)*AN45*$AJ$18-(BH45-BP45)*AP45*$AJ$18-(BI45-BP45)*AR45*$AJ$18-(BJ45-BP45)*AT45*$AJ$18))</f>
        <v>-0.74950889600733661</v>
      </c>
      <c r="BR45" s="3">
        <f>0.5*$O$12*BP45*BQ45 /1000</f>
        <v>-1286.944306463894</v>
      </c>
      <c r="BS45" s="3">
        <f>($BQ45/$BP45)*(BE45-$BP45)*$AJ$18*AJ45/1000</f>
        <v>29.25818859782893</v>
      </c>
      <c r="BT45" s="3">
        <f>($BQ45/$BP45)*(BF45-$BP45)*$AJ$18*AL45/1000</f>
        <v>0</v>
      </c>
      <c r="BU45" s="3">
        <f>($BQ45/$BP45)*(BG45-$BP45)*$AJ$18*AN45/1000</f>
        <v>0</v>
      </c>
      <c r="BV45" s="3">
        <f>($BQ45/$BP45)*(BH45-$BP45)*$AJ$18*AP45/1000</f>
        <v>0</v>
      </c>
      <c r="BW45" s="3">
        <f>($BQ45/$BP45)*(BI45-$BP45)*$AJ$18*AR45/1000</f>
        <v>0</v>
      </c>
      <c r="BX45" s="3">
        <f>($BQ45/$BP45)*(BJ45-$BP45)*$AJ$18*AT45/1000</f>
        <v>0</v>
      </c>
      <c r="BY45" s="175">
        <f>IF(Q45=0,0,(0.5*$O$12*BP45*BQ45/1000*(R45/2-$BP45/3)+BS45*(BE45-R45/2)+BT45*(BF45-R45/2)+BU45*(BG45-R45/2)+BV45*(BH45-R45/2)+BW45*(BI45-R45/2)+BX45*(BJ45-R45/2))/1000-ABS(P45))</f>
        <v>-711.7954395024658</v>
      </c>
      <c r="BZ45" s="10"/>
      <c r="CA45" s="176">
        <f>ABS(P45)/(BK45-BP45/3)/AV45*10^6-Q45*(R45/2-BP45/3)/(BK45-BP45/3)/AV45*1000</f>
        <v>-896.59065819810621</v>
      </c>
      <c r="CB45" s="177">
        <f>(AV45/($O$12*MIN(2.5*(R45-BK45),(R45-BP45)/3,R45/2)-AV45))</f>
        <v>-4.0171063582350054E-3</v>
      </c>
      <c r="CC45" s="177">
        <f>3.4*($O$16+$AX$14)+0.425*0.8*0.5*(T45^2+W45^2+Z45^2+AC45^2+AF45^2+AI45^2)/(T45+W45+Z45+AC45+AF45+AI45)/CB45</f>
        <v>-775.7754731381624</v>
      </c>
      <c r="CD45" s="177">
        <f>MAX(0.6*CA45/$AJ$17,(CA45-0.4*0.3*$AJ$14^(2/3)/CB45*(1+$AJ$17/$AJ$15*CB45))/$AJ$17)</f>
        <v>-2.6897719745943185</v>
      </c>
      <c r="CE45" s="178">
        <f>CC45*CD45/1000</f>
        <v>2.0866591262246765</v>
      </c>
      <c r="CF45" s="23" t="str">
        <f>IF(AND(AV45&gt;=BD45,AV45&gt;=BO45,CE45&lt;=(+IF(CO45="External",0.25,0.3))),"O.K", "Not O.K")</f>
        <v>Not O.K</v>
      </c>
      <c r="CG45" s="28"/>
      <c r="CH45" s="179" t="str">
        <f>IF(O45&lt;0.2*$AJ$14*R45*$O$12/1000,"N &lt; 0.2fckAc - OK!","TBA")</f>
        <v>N &lt; 0.2fckAc - OK!</v>
      </c>
      <c r="CI45" s="24">
        <v>84</v>
      </c>
      <c r="CJ45" s="25"/>
      <c r="CK45" s="6">
        <f t="shared" si="35"/>
        <v>103</v>
      </c>
      <c r="CL45" s="8" t="s">
        <v>72</v>
      </c>
      <c r="CM45" s="6">
        <f t="shared" si="36"/>
        <v>203</v>
      </c>
      <c r="CN45" s="26" t="s">
        <v>147</v>
      </c>
      <c r="CO45" s="15" t="str">
        <f>IF(VLOOKUP(CI45,'Summary-input'!A:C,3,0)="Outward",
IF(CP45&lt;0,"External","Internal"),
IF(CP45&lt;0,"Internal","External")
)</f>
        <v>Internal</v>
      </c>
      <c r="CP45">
        <f>VLOOKUP(CI45&amp;CN45,'Summary-output-ULS'!A:G,6,0)</f>
        <v>2113.9053858779512</v>
      </c>
      <c r="CQ45">
        <f>VLOOKUP(CI45&amp;CN45,'Summary-output-ULS'!A:G,7,0)</f>
        <v>-1793.9595491589612</v>
      </c>
      <c r="CR45" s="3">
        <f>VLOOKUP(CI45&amp;CN45,'Summary-output-SLS'!A:G,6,0)</f>
        <v>1553.3234359283892</v>
      </c>
      <c r="CS45" s="3">
        <f>VLOOKUP(CI45&amp;CN45,'Summary-output-SLS'!A:G,7,0)</f>
        <v>-1316.2024950617231</v>
      </c>
      <c r="CT45" s="20">
        <v>1000</v>
      </c>
      <c r="CU45" s="2">
        <f>VLOOKUP(CI45&amp;CN45,'Summary-output-ULS'!A:G,5,0)</f>
        <v>103</v>
      </c>
      <c r="CV45" s="15">
        <f>VLOOKUP(CI45&amp;CN45,'Summary-output-SLS'!A:G,5,0)</f>
        <v>203</v>
      </c>
      <c r="CW45" s="6"/>
      <c r="CX45" s="278">
        <f>CI45</f>
        <v>84</v>
      </c>
      <c r="CY45" s="6">
        <f t="shared" ref="CY45:DD45" si="48">MAX(DN45:DN48)</f>
        <v>0</v>
      </c>
      <c r="CZ45" s="6">
        <f t="shared" si="48"/>
        <v>0</v>
      </c>
      <c r="DA45" s="6">
        <f t="shared" si="48"/>
        <v>0</v>
      </c>
      <c r="DB45" s="6">
        <f t="shared" si="48"/>
        <v>0</v>
      </c>
      <c r="DC45" s="6">
        <f t="shared" si="48"/>
        <v>0</v>
      </c>
      <c r="DD45" s="6">
        <f t="shared" si="48"/>
        <v>0</v>
      </c>
      <c r="DE45" s="6"/>
      <c r="DF45" s="6">
        <f t="shared" ref="DF45:DK45" si="49">MAX(DU45:DU48)</f>
        <v>25</v>
      </c>
      <c r="DG45" s="6">
        <f t="shared" si="49"/>
        <v>0</v>
      </c>
      <c r="DH45" s="6">
        <f t="shared" si="49"/>
        <v>0</v>
      </c>
      <c r="DI45" s="6">
        <f t="shared" si="49"/>
        <v>0</v>
      </c>
      <c r="DJ45" s="6">
        <f t="shared" si="49"/>
        <v>0</v>
      </c>
      <c r="DK45" s="6">
        <f t="shared" si="49"/>
        <v>0</v>
      </c>
      <c r="DL45" s="13"/>
      <c r="DM45" s="202">
        <f>CI45</f>
        <v>84</v>
      </c>
      <c r="DN45" s="206">
        <f>IF(CO45="external",T45,0)</f>
        <v>0</v>
      </c>
      <c r="DO45" s="206">
        <f>IF(CO45="external",W45,0)</f>
        <v>0</v>
      </c>
      <c r="DP45" s="206">
        <f>IF(CO45="external",Z45,0)</f>
        <v>0</v>
      </c>
      <c r="DQ45" s="206">
        <f>IF(CO45="external",AC45,0)</f>
        <v>0</v>
      </c>
      <c r="DR45" s="206">
        <f>IF(CO45="external",AF45,0)</f>
        <v>0</v>
      </c>
      <c r="DS45" s="207">
        <f>IF(CO45="external",AI45,0)</f>
        <v>0</v>
      </c>
      <c r="DT45" s="208"/>
      <c r="DU45" s="207">
        <f>IF(CO45="internal",T45,0)</f>
        <v>25</v>
      </c>
      <c r="DV45" s="207">
        <f>IF(CO45="internal",W45,0)</f>
        <v>0</v>
      </c>
      <c r="DW45" s="207">
        <f>IF(CO45="internal",Z45,0)</f>
        <v>0</v>
      </c>
      <c r="DX45" s="207">
        <f>IF(CO45="internal",AC45,0)</f>
        <v>0</v>
      </c>
      <c r="DY45" s="207">
        <f>IF(CO45="internal",AF45,0)</f>
        <v>0</v>
      </c>
      <c r="DZ45" s="207">
        <f>IF(CO45="internal",AI45,0)</f>
        <v>0</v>
      </c>
    </row>
    <row r="46" spans="1:130" s="7" customFormat="1" x14ac:dyDescent="0.3">
      <c r="B46" s="19">
        <f>+CI46</f>
        <v>84</v>
      </c>
      <c r="C46" s="6">
        <f t="shared" si="45"/>
        <v>0</v>
      </c>
      <c r="D46" s="6">
        <f t="shared" si="45"/>
        <v>106</v>
      </c>
      <c r="E46" s="6" t="str">
        <f t="shared" si="45"/>
        <v>--</v>
      </c>
      <c r="F46" s="6">
        <f>+CM46</f>
        <v>206</v>
      </c>
      <c r="G46" s="174" t="str">
        <f t="shared" si="46"/>
        <v>Min Mz</v>
      </c>
      <c r="H46" s="6" t="str">
        <f t="shared" si="46"/>
        <v>Internal</v>
      </c>
      <c r="I46" s="156"/>
      <c r="J46" s="10">
        <f t="shared" si="47"/>
        <v>20.231579419972309</v>
      </c>
      <c r="K46" s="10">
        <f t="shared" si="47"/>
        <v>-1051.5847019871471</v>
      </c>
      <c r="L46" s="10">
        <f t="shared" si="47"/>
        <v>-24.672398224458707</v>
      </c>
      <c r="M46" s="10">
        <f t="shared" si="47"/>
        <v>-981.06130114862538</v>
      </c>
      <c r="N46" s="10">
        <f>IF(I46*J46&gt;=0,J46*$J$19+I46*$J$18,J46)</f>
        <v>20.231579419972309</v>
      </c>
      <c r="O46" s="10">
        <f>(K46)*$J$19</f>
        <v>-1051.5847019871471</v>
      </c>
      <c r="P46" s="14">
        <f>IF(I46*L46&gt;=0,(L46)+I46,L46)</f>
        <v>-24.672398224458707</v>
      </c>
      <c r="Q46" s="3">
        <f>(M46)</f>
        <v>-981.06130114862538</v>
      </c>
      <c r="R46" s="20">
        <f t="shared" si="44"/>
        <v>1000</v>
      </c>
      <c r="S46" s="23"/>
      <c r="T46" s="12">
        <v>20</v>
      </c>
      <c r="U46" s="28"/>
      <c r="V46" s="28"/>
      <c r="W46" s="12"/>
      <c r="X46" s="28"/>
      <c r="Y46" s="28"/>
      <c r="Z46" s="12"/>
      <c r="AA46" s="28"/>
      <c r="AB46" s="28"/>
      <c r="AC46" s="158"/>
      <c r="AD46" s="28"/>
      <c r="AE46" s="28"/>
      <c r="AF46" s="158"/>
      <c r="AG46" s="28"/>
      <c r="AH46" s="28"/>
      <c r="AI46" s="29"/>
      <c r="AJ46" s="6">
        <f>PI()/4*T46^2*$O$12/$AX$16</f>
        <v>2094.3951023931954</v>
      </c>
      <c r="AK46" s="28" t="str">
        <f>IF(W46=0,"","+")</f>
        <v/>
      </c>
      <c r="AL46" s="6">
        <f>PI()/4*W46^2*$O$12/$AX$16</f>
        <v>0</v>
      </c>
      <c r="AM46" s="28" t="str">
        <f>IF(Z46=0,"","+")</f>
        <v/>
      </c>
      <c r="AN46" s="6">
        <f>PI()/4*Z46^2*$O$12/$AX$16</f>
        <v>0</v>
      </c>
      <c r="AO46" s="28" t="str">
        <f>IF(AC46=0,"","+")</f>
        <v/>
      </c>
      <c r="AP46" s="6">
        <f>PI()/4*AC46^2*$O$12/$AX$16</f>
        <v>0</v>
      </c>
      <c r="AQ46" s="28" t="str">
        <f>IF(AF46=0,"","+")</f>
        <v/>
      </c>
      <c r="AR46" s="6">
        <f>PI()/4*AF46^2*$O$12/$AX$16</f>
        <v>0</v>
      </c>
      <c r="AS46" s="28" t="str">
        <f>IF(AI46=0,"","+")</f>
        <v/>
      </c>
      <c r="AT46" s="6">
        <f>PI()/4*AI46^2*$O$12/$AX$16</f>
        <v>0</v>
      </c>
      <c r="AU46" s="28" t="s">
        <v>24</v>
      </c>
      <c r="AV46" s="15">
        <f>VALUE(AJ46)+VALUE(AL46)+VALUE(AN46)+VALUE(AP46)+VALUE(AR46)+VALUE(AT46)</f>
        <v>2094.3951023931954</v>
      </c>
      <c r="AW46" s="228">
        <f>MAX(0.3*$AJ$14^(2/3)/$AJ$16*0.26*100,0.13)</f>
        <v>0.15723814702688016</v>
      </c>
      <c r="AX46" s="6">
        <f>AW46/100*$O$12*BK46</f>
        <v>1426.1499935338031</v>
      </c>
      <c r="AY46" s="6"/>
      <c r="AZ46" s="6"/>
      <c r="BA46" s="24" t="str">
        <f>IF(BB46=0,"","+")</f>
        <v/>
      </c>
      <c r="BB46" s="24"/>
      <c r="BC46" s="28" t="s">
        <v>24</v>
      </c>
      <c r="BD46" s="15">
        <f>AX46+AZ46+BB46</f>
        <v>1426.1499935338031</v>
      </c>
      <c r="BE46" s="2">
        <f>(R46-($AX$14+$O$16+T46/2))</f>
        <v>907</v>
      </c>
      <c r="BF46" s="3">
        <f>IF(W46=0,0,(R46-($AX$14+T46/2+$O$16+$BI$16)))</f>
        <v>0</v>
      </c>
      <c r="BG46" s="3">
        <f>IF(Z46=0,0,(R46-($AX$14+T46/2+$BI$16+$O$16+$BI$17)))</f>
        <v>0</v>
      </c>
      <c r="BH46" s="3">
        <f>IF(AC46=0,0,(R46-($AX$14+T46/2+$O$16+$BI$16+$BI$17+$BI$18)))</f>
        <v>0</v>
      </c>
      <c r="BI46" s="3">
        <f>IF(AF46=0,0,(R46-($AX$14+T46/2+$O$16+$BI$16+$BI$17+$BI$18+$BL$16)))</f>
        <v>0</v>
      </c>
      <c r="BJ46" s="3">
        <f>IF(AI46=0,0,(R46-($AX$14+T46/2+$O$16+$BI$16+$BI$17+$BI$18+$BL$16+$BL$17)))</f>
        <v>0</v>
      </c>
      <c r="BK46" s="6">
        <f>(BE46*AJ46+BF46*AL46+BG46*AN46+BH46*AP46+BI46*AR46+BJ46*AT46)/AV46</f>
        <v>907</v>
      </c>
      <c r="BL46" s="175">
        <f>ABS(N46)*1000000/$O$12/BK46^2</f>
        <v>2.4593209765005866E-2</v>
      </c>
      <c r="BM46" s="175">
        <f>BL46/$AJ$14</f>
        <v>7.685378051564333E-4</v>
      </c>
      <c r="BN46" s="21">
        <f>IF(BM46&lt;0.167,0.5+SQRT(0.25-(BM46/1.134)),0.82)</f>
        <v>0.99932181713576596</v>
      </c>
      <c r="BO46" s="15">
        <f>ABS(N46)/(0.87*$AJ$16*BN46*BK46)*10^6</f>
        <v>51.31305539777955</v>
      </c>
      <c r="BP46" s="22">
        <v>1540.4659197432647</v>
      </c>
      <c r="BQ46" s="175">
        <f>IF(Q46=0,2*ABS(P46*10^6)/$O$12/BP46/(BK46-BP46/3),Q46*BP46*1000/($O$12/2*BP46^2-(BE46-BP46)*AJ46*$AJ$18-(BF46-BP46)*AL46*$AJ$18-(BG46-BP46)*AN46*$AJ$18-(BH46-BP46)*AP46*$AJ$18-(BI46-BP46)*AR46*$AJ$18-(BJ46-BP46)*AT46*$AJ$18))</f>
        <v>-1.2510664245520262</v>
      </c>
      <c r="BR46" s="3">
        <f>0.5*$O$12*BP46*BQ46 /1000</f>
        <v>-963.61259517872736</v>
      </c>
      <c r="BS46" s="3">
        <f>($BQ46/$BP46)*(BE46-$BP46)*$AJ$18*AJ46/1000</f>
        <v>17.448705969898004</v>
      </c>
      <c r="BT46" s="3">
        <f>($BQ46/$BP46)*(BF46-$BP46)*$AJ$18*AL46/1000</f>
        <v>0</v>
      </c>
      <c r="BU46" s="3">
        <f>($BQ46/$BP46)*(BG46-$BP46)*$AJ$18*AN46/1000</f>
        <v>0</v>
      </c>
      <c r="BV46" s="3">
        <f>($BQ46/$BP46)*(BH46-$BP46)*$AJ$18*AP46/1000</f>
        <v>0</v>
      </c>
      <c r="BW46" s="3">
        <f>($BQ46/$BP46)*(BI46-$BP46)*$AJ$18*AR46/1000</f>
        <v>0</v>
      </c>
      <c r="BX46" s="3">
        <f>($BQ46/$BP46)*(BJ46-$BP46)*$AJ$18*AT46/1000</f>
        <v>0</v>
      </c>
      <c r="BY46" s="175">
        <f>IF(Q46=0,0,(0.5*$O$12*BP46*BQ46/1000*(R46/2-$BP46/3)+BS46*(BE46-R46/2)+BT46*(BF46-R46/2)+BU46*(BG46-R46/2)+BV46*(BH46-R46/2)+BW46*(BI46-R46/2)+BX46*(BJ46-R46/2))/1000-ABS(P46))</f>
        <v>-4.5729515813430694</v>
      </c>
      <c r="BZ46" s="10"/>
      <c r="CA46" s="176">
        <f>ABS(P46)/(BK46-BP46/3)/AV46*10^6-Q46*(R46/2-BP46/3)/(BK46-BP46/3)/AV46*1000</f>
        <v>13.879708890679627</v>
      </c>
      <c r="CB46" s="177">
        <f>(AV46/($O$12*MIN(2.5*(R46-BK46),(R46-BP46)/3,R46/2)-AV46))</f>
        <v>-1.149189865907487E-2</v>
      </c>
      <c r="CC46" s="177">
        <f>3.4*($O$16+$AX$14)+0.425*0.8*0.5*(T46^2+W46^2+Z46^2+AC46^2+AF46^2+AI46^2)/(T46+W46+Z46+AC46+AF46+AI46)/CB46</f>
        <v>-13.660597179483773</v>
      </c>
      <c r="CD46" s="177">
        <f>MAX(0.6*CA46/$AJ$17,(CA46-0.4*0.3*$AJ$14^(2/3)/CB46*(1+$AJ$17/$AJ$15*CB46))/$AJ$17)</f>
        <v>0.49771442224216572</v>
      </c>
      <c r="CE46" s="178">
        <f>CC46*CD46/1000</f>
        <v>-6.7990762326697249E-3</v>
      </c>
      <c r="CF46" s="23" t="str">
        <f>IF(AND(AV46&gt;=BD46,AV46&gt;=BO46,CE46&lt;=(+IF(CO46="External",0.25,0.3))),"O.K", "Not O.K")</f>
        <v>O.K</v>
      </c>
      <c r="CG46" s="28"/>
      <c r="CH46" s="179" t="str">
        <f>IF(O46&lt;0.2*$AJ$14*R46*$O$12/1000,"N &lt; 0.2fckAc - OK!","TBA")</f>
        <v>N &lt; 0.2fckAc - OK!</v>
      </c>
      <c r="CI46" s="24">
        <v>84</v>
      </c>
      <c r="CJ46" s="25"/>
      <c r="CK46" s="6">
        <f t="shared" si="35"/>
        <v>106</v>
      </c>
      <c r="CL46" s="8" t="s">
        <v>72</v>
      </c>
      <c r="CM46" s="6">
        <f t="shared" si="36"/>
        <v>206</v>
      </c>
      <c r="CN46" s="26" t="s">
        <v>148</v>
      </c>
      <c r="CO46" s="15" t="str">
        <f>IF(VLOOKUP(CI46,'Summary-input'!A:C,3,0)="Outward",
IF(CP46&lt;0,"External","Internal"),
IF(CP46&lt;0,"Internal","External")
)</f>
        <v>Internal</v>
      </c>
      <c r="CP46">
        <f>VLOOKUP(CI46&amp;CN46,'Summary-output-ULS'!A:G,6,0)</f>
        <v>20.231579419972309</v>
      </c>
      <c r="CQ46">
        <f>VLOOKUP(CI46&amp;CN46,'Summary-output-ULS'!A:G,7,0)</f>
        <v>-1051.5847019871471</v>
      </c>
      <c r="CR46" s="3">
        <f>VLOOKUP(CI46&amp;CN46,'Summary-output-SLS'!A:G,6,0)</f>
        <v>-24.672398224458707</v>
      </c>
      <c r="CS46" s="3">
        <f>VLOOKUP(CI46&amp;CN46,'Summary-output-SLS'!A:G,7,0)</f>
        <v>-981.06130114862538</v>
      </c>
      <c r="CT46" s="20">
        <v>1000</v>
      </c>
      <c r="CU46" s="2">
        <f>VLOOKUP(CI46&amp;CN46,'Summary-output-ULS'!A:G,5,0)</f>
        <v>106</v>
      </c>
      <c r="CV46" s="15">
        <f>VLOOKUP(CI46&amp;CN46,'Summary-output-SLS'!A:G,5,0)</f>
        <v>206</v>
      </c>
      <c r="CW46" s="6"/>
      <c r="CX46" s="278"/>
      <c r="CY46" s="6"/>
      <c r="CZ46" s="6"/>
      <c r="DA46" s="6"/>
      <c r="DB46" s="6"/>
      <c r="DC46" s="6"/>
      <c r="DD46" s="6"/>
      <c r="DE46" s="6"/>
      <c r="DF46" s="6"/>
      <c r="DG46" s="6"/>
      <c r="DH46" s="6"/>
      <c r="DI46" s="6"/>
      <c r="DJ46" s="212"/>
      <c r="DK46" s="13"/>
      <c r="DL46" s="13"/>
      <c r="DM46" s="202"/>
      <c r="DN46" s="206">
        <f>IF(CO46="external",T46,0)</f>
        <v>0</v>
      </c>
      <c r="DO46" s="206">
        <f>IF(CO46="external",W46,0)</f>
        <v>0</v>
      </c>
      <c r="DP46" s="206">
        <f>IF(CO46="external",Z46,0)</f>
        <v>0</v>
      </c>
      <c r="DQ46" s="206">
        <f>IF(CO46="external",AC46,0)</f>
        <v>0</v>
      </c>
      <c r="DR46" s="206">
        <f>IF(CO46="external",AF46,0)</f>
        <v>0</v>
      </c>
      <c r="DS46" s="207">
        <f>IF(CO46="external",AI46,0)</f>
        <v>0</v>
      </c>
      <c r="DT46" s="208"/>
      <c r="DU46" s="207">
        <f>IF(CO46="internal",T46,0)</f>
        <v>20</v>
      </c>
      <c r="DV46" s="207">
        <f>IF(CO46="internal",W46,0)</f>
        <v>0</v>
      </c>
      <c r="DW46" s="207">
        <f>IF(CO46="internal",Z46,0)</f>
        <v>0</v>
      </c>
      <c r="DX46" s="207">
        <f>IF(CO46="internal",AC46,0)</f>
        <v>0</v>
      </c>
      <c r="DY46" s="207">
        <f>IF(CO46="internal",AF46,0)</f>
        <v>0</v>
      </c>
      <c r="DZ46" s="207">
        <f>IF(CO46="internal",AI46,0)</f>
        <v>0</v>
      </c>
    </row>
    <row r="47" spans="1:130" s="7" customFormat="1" x14ac:dyDescent="0.3">
      <c r="B47" s="19">
        <f>+CI47</f>
        <v>84</v>
      </c>
      <c r="C47" s="6">
        <f t="shared" si="45"/>
        <v>0</v>
      </c>
      <c r="D47" s="6">
        <f t="shared" si="45"/>
        <v>101</v>
      </c>
      <c r="E47" s="6" t="str">
        <f t="shared" si="45"/>
        <v>--</v>
      </c>
      <c r="F47" s="6">
        <f>+CM47</f>
        <v>201</v>
      </c>
      <c r="G47" s="174" t="str">
        <f t="shared" si="46"/>
        <v>Max Fx</v>
      </c>
      <c r="H47" s="6" t="str">
        <f t="shared" si="46"/>
        <v>Internal</v>
      </c>
      <c r="I47" s="156"/>
      <c r="J47" s="10">
        <f t="shared" si="47"/>
        <v>350.45625194030481</v>
      </c>
      <c r="K47" s="10">
        <f t="shared" si="47"/>
        <v>-1912.4658525351365</v>
      </c>
      <c r="L47" s="10">
        <f t="shared" si="47"/>
        <v>234.49163343266139</v>
      </c>
      <c r="M47" s="10">
        <f t="shared" si="47"/>
        <v>-1386.097632539258</v>
      </c>
      <c r="N47" s="10">
        <f>IF(I47*J47&gt;=0,J47*$J$19+I47*$J$18,J47)</f>
        <v>350.45625194030481</v>
      </c>
      <c r="O47" s="10">
        <f>(K47)*$J$19</f>
        <v>-1912.4658525351365</v>
      </c>
      <c r="P47" s="14">
        <f>IF(I47*L47&gt;=0,(L47)+I47,L47)</f>
        <v>234.49163343266139</v>
      </c>
      <c r="Q47" s="3">
        <f>(M47)</f>
        <v>-1386.097632539258</v>
      </c>
      <c r="R47" s="20">
        <f t="shared" si="44"/>
        <v>1000</v>
      </c>
      <c r="S47" s="23"/>
      <c r="T47" s="12">
        <v>20</v>
      </c>
      <c r="U47" s="28"/>
      <c r="V47" s="28"/>
      <c r="W47" s="12"/>
      <c r="X47" s="28"/>
      <c r="Y47" s="28"/>
      <c r="Z47" s="12"/>
      <c r="AA47" s="28"/>
      <c r="AB47" s="28"/>
      <c r="AC47" s="158"/>
      <c r="AD47" s="28"/>
      <c r="AE47" s="28"/>
      <c r="AF47" s="158"/>
      <c r="AG47" s="28"/>
      <c r="AH47" s="28"/>
      <c r="AI47" s="29"/>
      <c r="AJ47" s="6">
        <f>PI()/4*T47^2*$O$12/$AX$16</f>
        <v>2094.3951023931954</v>
      </c>
      <c r="AK47" s="28" t="str">
        <f>IF(W47=0,"","+")</f>
        <v/>
      </c>
      <c r="AL47" s="6">
        <f>PI()/4*W47^2*$O$12/$AX$16</f>
        <v>0</v>
      </c>
      <c r="AM47" s="28" t="str">
        <f>IF(Z47=0,"","+")</f>
        <v/>
      </c>
      <c r="AN47" s="6">
        <f>PI()/4*Z47^2*$O$12/$AX$16</f>
        <v>0</v>
      </c>
      <c r="AO47" s="28" t="str">
        <f>IF(AC47=0,"","+")</f>
        <v/>
      </c>
      <c r="AP47" s="6">
        <f>PI()/4*AC47^2*$O$12/$AX$16</f>
        <v>0</v>
      </c>
      <c r="AQ47" s="28" t="str">
        <f>IF(AF47=0,"","+")</f>
        <v/>
      </c>
      <c r="AR47" s="6">
        <f>PI()/4*AF47^2*$O$12/$AX$16</f>
        <v>0</v>
      </c>
      <c r="AS47" s="28" t="str">
        <f>IF(AI47=0,"","+")</f>
        <v/>
      </c>
      <c r="AT47" s="6">
        <f>PI()/4*AI47^2*$O$12/$AX$16</f>
        <v>0</v>
      </c>
      <c r="AU47" s="28" t="s">
        <v>24</v>
      </c>
      <c r="AV47" s="15">
        <f>VALUE(AJ47)+VALUE(AL47)+VALUE(AN47)+VALUE(AP47)+VALUE(AR47)+VALUE(AT47)</f>
        <v>2094.3951023931954</v>
      </c>
      <c r="AW47" s="228">
        <f>MAX(0.3*$AJ$14^(2/3)/$AJ$16*0.26*100,0.13)</f>
        <v>0.15723814702688016</v>
      </c>
      <c r="AX47" s="6">
        <f>AW47/100*$O$12*BK47</f>
        <v>1426.1499935338031</v>
      </c>
      <c r="AY47" s="6"/>
      <c r="AZ47" s="6"/>
      <c r="BA47" s="24" t="str">
        <f>IF(BB47=0,"","+")</f>
        <v/>
      </c>
      <c r="BB47" s="24"/>
      <c r="BC47" s="28" t="s">
        <v>24</v>
      </c>
      <c r="BD47" s="15">
        <f>AX47+AZ47+BB47</f>
        <v>1426.1499935338031</v>
      </c>
      <c r="BE47" s="2">
        <f>(R47-($AX$14+$O$16+T47/2))</f>
        <v>907</v>
      </c>
      <c r="BF47" s="3">
        <f>IF(W47=0,0,(R47-($AX$14+T47/2+$O$16+$BI$16)))</f>
        <v>0</v>
      </c>
      <c r="BG47" s="3">
        <f>IF(Z47=0,0,(R47-($AX$14+T47/2+$BI$16+$O$16+$BI$17)))</f>
        <v>0</v>
      </c>
      <c r="BH47" s="3">
        <f>IF(AC47=0,0,(R47-($AX$14+T47/2+$O$16+$BI$16+$BI$17+$BI$18)))</f>
        <v>0</v>
      </c>
      <c r="BI47" s="3">
        <f>IF(AF47=0,0,(R47-($AX$14+T47/2+$O$16+$BI$16+$BI$17+$BI$18+$BL$16)))</f>
        <v>0</v>
      </c>
      <c r="BJ47" s="3">
        <f>IF(AI47=0,0,(R47-($AX$14+T47/2+$O$16+$BI$16+$BI$17+$BI$18+$BL$16+$BL$17)))</f>
        <v>0</v>
      </c>
      <c r="BK47" s="6">
        <f>(BE47*AJ47+BF47*AL47+BG47*AN47+BH47*AP47+BI47*AR47+BJ47*AT47)/AV47</f>
        <v>907</v>
      </c>
      <c r="BL47" s="175">
        <f>ABS(N47)*1000000/$O$12/BK47^2</f>
        <v>0.42600945474960139</v>
      </c>
      <c r="BM47" s="175">
        <f>BL47/$AJ$14</f>
        <v>1.3312795460925043E-2</v>
      </c>
      <c r="BN47" s="21">
        <f>IF(BM47&lt;0.167,0.5+SQRT(0.25-(BM47/1.134)),0.82)</f>
        <v>0.98811916727683324</v>
      </c>
      <c r="BO47" s="15">
        <f>ABS(N47)/(0.87*$AJ$16*BN47*BK47)*10^6</f>
        <v>898.93428431599386</v>
      </c>
      <c r="BP47" s="22">
        <v>2435.9545081137048</v>
      </c>
      <c r="BQ47" s="175">
        <f>IF(Q47=0,2*ABS(P47*10^6)/$O$12/BP47/(BK47-BP47/3),Q47*BP47*1000/($O$12/2*BP47^2-(BE47-BP47)*AJ47*$AJ$18-(BF47-BP47)*AL47*$AJ$18-(BG47-BP47)*AN47*$AJ$18-(BH47-BP47)*AP47*$AJ$18-(BI47-BP47)*AR47*$AJ$18-(BJ47-BP47)*AT47*$AJ$18))</f>
        <v>-1.1184833158774805</v>
      </c>
      <c r="BR47" s="3">
        <f>0.5*$O$12*BP47*BQ47 /1000</f>
        <v>-1362.2872377808567</v>
      </c>
      <c r="BS47" s="3">
        <f>($BQ47/$BP47)*(BE47-$BP47)*$AJ$18*AJ47/1000</f>
        <v>23.810394758401383</v>
      </c>
      <c r="BT47" s="3">
        <f>($BQ47/$BP47)*(BF47-$BP47)*$AJ$18*AL47/1000</f>
        <v>0</v>
      </c>
      <c r="BU47" s="3">
        <f>($BQ47/$BP47)*(BG47-$BP47)*$AJ$18*AN47/1000</f>
        <v>0</v>
      </c>
      <c r="BV47" s="3">
        <f>($BQ47/$BP47)*(BH47-$BP47)*$AJ$18*AP47/1000</f>
        <v>0</v>
      </c>
      <c r="BW47" s="3">
        <f>($BQ47/$BP47)*(BI47-$BP47)*$AJ$18*AR47/1000</f>
        <v>0</v>
      </c>
      <c r="BX47" s="3">
        <f>($BQ47/$BP47)*(BJ47-$BP47)*$AJ$18*AT47/1000</f>
        <v>0</v>
      </c>
      <c r="BY47" s="175">
        <f>IF(Q47=0,0,(0.5*$O$12*BP47*BQ47/1000*(R47/2-$BP47/3)+BS47*(BE47-R47/2)+BT47*(BF47-R47/2)+BU47*(BG47-R47/2)+BV47*(BH47-R47/2)+BW47*(BI47-R47/2)+BX47*(BJ47-R47/2))/1000-ABS(P47))</f>
        <v>200.21215774959438</v>
      </c>
      <c r="BZ47" s="10"/>
      <c r="CA47" s="176">
        <f>ABS(P47)/(BK47-BP47/3)/AV47*10^6-Q47*(R47/2-BP47/3)/(BK47-BP47/3)/AV47*1000</f>
        <v>-994.72618798641975</v>
      </c>
      <c r="CB47" s="177">
        <f>(AV47/($O$12*MIN(2.5*(R47-BK47),(R47-BP47)/3,R47/2)-AV47))</f>
        <v>-4.3565532476663553E-3</v>
      </c>
      <c r="CC47" s="177">
        <f>3.4*($O$16+$AX$14)+0.425*0.8*0.5*(T47^2+W47^2+Z47^2+AC47^2+AF47^2+AI47^2)/(T47+W47+Z47+AC47+AF47+AI47)/CB47</f>
        <v>-498.23347727271658</v>
      </c>
      <c r="CD47" s="177">
        <f>MAX(0.6*CA47/$AJ$17,(CA47-0.4*0.3*$AJ$14^(2/3)/CB47*(1+$AJ$17/$AJ$15*CB47))/$AJ$17)</f>
        <v>-2.9841785639592593</v>
      </c>
      <c r="CE47" s="178">
        <f>CC47*CD47/1000</f>
        <v>1.4868176627241236</v>
      </c>
      <c r="CF47" s="23" t="str">
        <f>IF(AND(AV47&gt;=BD47,AV47&gt;=BO47,CE47&lt;=(+IF(CO47="External",0.25,0.3))),"O.K", "Not O.K")</f>
        <v>Not O.K</v>
      </c>
      <c r="CG47" s="28"/>
      <c r="CH47" s="179" t="str">
        <f>IF(O47&lt;0.2*$AJ$14*R47*$O$12/1000,"N &lt; 0.2fckAc - OK!","TBA")</f>
        <v>N &lt; 0.2fckAc - OK!</v>
      </c>
      <c r="CI47" s="24">
        <v>84</v>
      </c>
      <c r="CJ47" s="25"/>
      <c r="CK47" s="6">
        <f t="shared" si="35"/>
        <v>101</v>
      </c>
      <c r="CL47" s="8" t="s">
        <v>72</v>
      </c>
      <c r="CM47" s="6">
        <f t="shared" si="36"/>
        <v>201</v>
      </c>
      <c r="CN47" s="26" t="s">
        <v>145</v>
      </c>
      <c r="CO47" s="15" t="str">
        <f>IF(VLOOKUP(CI47,'Summary-input'!A:C,3,0)="Outward",
IF(CP47&lt;0,"External","Internal"),
IF(CP47&lt;0,"Internal","External")
)</f>
        <v>Internal</v>
      </c>
      <c r="CP47">
        <f>VLOOKUP(CI47&amp;CN47,'Summary-output-ULS'!A:G,6,0)</f>
        <v>350.45625194030481</v>
      </c>
      <c r="CQ47">
        <f>VLOOKUP(CI47&amp;CN47,'Summary-output-ULS'!A:G,7,0)</f>
        <v>-1912.4658525351365</v>
      </c>
      <c r="CR47" s="3">
        <f>VLOOKUP(CI47&amp;CN47,'Summary-output-SLS'!A:G,6,0)</f>
        <v>234.49163343266139</v>
      </c>
      <c r="CS47" s="3">
        <f>VLOOKUP(CI47&amp;CN47,'Summary-output-SLS'!A:G,7,0)</f>
        <v>-1386.097632539258</v>
      </c>
      <c r="CT47" s="20">
        <v>1000</v>
      </c>
      <c r="CU47" s="2">
        <f>VLOOKUP(CI47&amp;CN47,'Summary-output-ULS'!A:G,5,0)</f>
        <v>101</v>
      </c>
      <c r="CV47" s="15">
        <f>VLOOKUP(CI47&amp;CN47,'Summary-output-SLS'!A:G,5,0)</f>
        <v>201</v>
      </c>
      <c r="CW47" s="6"/>
      <c r="CX47" s="278"/>
      <c r="CY47" s="6"/>
      <c r="CZ47" s="6"/>
      <c r="DA47" s="6"/>
      <c r="DB47" s="6"/>
      <c r="DC47" s="6"/>
      <c r="DD47" s="6"/>
      <c r="DE47" s="6"/>
      <c r="DF47" s="6"/>
      <c r="DG47" s="6"/>
      <c r="DH47" s="6"/>
      <c r="DI47" s="6"/>
      <c r="DJ47" s="212"/>
      <c r="DK47" s="13"/>
      <c r="DL47" s="13"/>
      <c r="DM47" s="202"/>
      <c r="DN47" s="206">
        <f>IF(CO47="external",T47,0)</f>
        <v>0</v>
      </c>
      <c r="DO47" s="206">
        <f>IF(CO47="external",W47,0)</f>
        <v>0</v>
      </c>
      <c r="DP47" s="206">
        <f>IF(CO47="external",Z47,0)</f>
        <v>0</v>
      </c>
      <c r="DQ47" s="206">
        <f>IF(CO47="external",AC47,0)</f>
        <v>0</v>
      </c>
      <c r="DR47" s="206">
        <f>IF(CO47="external",AF47,0)</f>
        <v>0</v>
      </c>
      <c r="DS47" s="207">
        <f>IF(CO47="external",AI47,0)</f>
        <v>0</v>
      </c>
      <c r="DT47" s="208"/>
      <c r="DU47" s="207">
        <f>IF(CO47="internal",T47,0)</f>
        <v>20</v>
      </c>
      <c r="DV47" s="207">
        <f>IF(CO47="internal",W47,0)</f>
        <v>0</v>
      </c>
      <c r="DW47" s="207">
        <f>IF(CO47="internal",Z47,0)</f>
        <v>0</v>
      </c>
      <c r="DX47" s="207">
        <f>IF(CO47="internal",AC47,0)</f>
        <v>0</v>
      </c>
      <c r="DY47" s="207">
        <f>IF(CO47="internal",AF47,0)</f>
        <v>0</v>
      </c>
      <c r="DZ47" s="207">
        <f>IF(CO47="internal",AI47,0)</f>
        <v>0</v>
      </c>
    </row>
    <row r="48" spans="1:130" s="7" customFormat="1" x14ac:dyDescent="0.3">
      <c r="B48" s="19">
        <f>+CI48</f>
        <v>84</v>
      </c>
      <c r="C48" s="6">
        <f t="shared" si="45"/>
        <v>0</v>
      </c>
      <c r="D48" s="6">
        <f t="shared" si="45"/>
        <v>106</v>
      </c>
      <c r="E48" s="6" t="str">
        <f t="shared" si="45"/>
        <v>--</v>
      </c>
      <c r="F48" s="6">
        <f>+CM48</f>
        <v>206</v>
      </c>
      <c r="G48" s="174" t="str">
        <f t="shared" si="46"/>
        <v>Min Fx</v>
      </c>
      <c r="H48" s="6" t="str">
        <f t="shared" si="46"/>
        <v>Internal</v>
      </c>
      <c r="I48" s="156"/>
      <c r="J48" s="10">
        <f t="shared" si="47"/>
        <v>1184.6251064959629</v>
      </c>
      <c r="K48" s="10">
        <f t="shared" si="47"/>
        <v>-1025.0761901702958</v>
      </c>
      <c r="L48" s="10">
        <f t="shared" si="47"/>
        <v>810.26725260898627</v>
      </c>
      <c r="M48" s="10">
        <f t="shared" si="47"/>
        <v>-954.55278933177385</v>
      </c>
      <c r="N48" s="10">
        <f>IF(I48*J48&gt;=0,J48*$J$19+I48*$J$18,J48)</f>
        <v>1184.6251064959629</v>
      </c>
      <c r="O48" s="10">
        <f>(K48)*$J$19</f>
        <v>-1025.0761901702958</v>
      </c>
      <c r="P48" s="14">
        <f>IF(I48*L48&gt;=0,(L48)+I48,L48)</f>
        <v>810.26725260898627</v>
      </c>
      <c r="Q48" s="3">
        <f>(M48)</f>
        <v>-954.55278933177385</v>
      </c>
      <c r="R48" s="20">
        <f t="shared" si="44"/>
        <v>1000</v>
      </c>
      <c r="S48" s="23"/>
      <c r="T48" s="12">
        <v>25</v>
      </c>
      <c r="U48" s="28"/>
      <c r="V48" s="28"/>
      <c r="W48" s="12"/>
      <c r="X48" s="28"/>
      <c r="Y48" s="28"/>
      <c r="Z48" s="12"/>
      <c r="AA48" s="28"/>
      <c r="AB48" s="28"/>
      <c r="AC48" s="158"/>
      <c r="AD48" s="28"/>
      <c r="AE48" s="28"/>
      <c r="AF48" s="158"/>
      <c r="AG48" s="28"/>
      <c r="AH48" s="28"/>
      <c r="AI48" s="29"/>
      <c r="AJ48" s="6">
        <f>PI()/4*T48^2*$O$12/$AX$16</f>
        <v>3272.4923474893681</v>
      </c>
      <c r="AK48" s="28" t="str">
        <f>IF(W48=0,"","+")</f>
        <v/>
      </c>
      <c r="AL48" s="6">
        <f>PI()/4*W48^2*$O$12/$AX$16</f>
        <v>0</v>
      </c>
      <c r="AM48" s="28" t="str">
        <f>IF(Z48=0,"","+")</f>
        <v/>
      </c>
      <c r="AN48" s="6">
        <f>PI()/4*Z48^2*$O$12/$AX$16</f>
        <v>0</v>
      </c>
      <c r="AO48" s="28" t="str">
        <f>IF(AC48=0,"","+")</f>
        <v/>
      </c>
      <c r="AP48" s="6">
        <f>PI()/4*AC48^2*$O$12/$AX$16</f>
        <v>0</v>
      </c>
      <c r="AQ48" s="28" t="str">
        <f>IF(AF48=0,"","+")</f>
        <v/>
      </c>
      <c r="AR48" s="6">
        <f>PI()/4*AF48^2*$O$12/$AX$16</f>
        <v>0</v>
      </c>
      <c r="AS48" s="28" t="str">
        <f>IF(AI48=0,"","+")</f>
        <v/>
      </c>
      <c r="AT48" s="6">
        <f>PI()/4*AI48^2*$O$12/$AX$16</f>
        <v>0</v>
      </c>
      <c r="AU48" s="28" t="s">
        <v>24</v>
      </c>
      <c r="AV48" s="15">
        <f>VALUE(AJ48)+VALUE(AL48)+VALUE(AN48)+VALUE(AP48)+VALUE(AR48)+VALUE(AT48)</f>
        <v>3272.4923474893681</v>
      </c>
      <c r="AW48" s="228">
        <f>MAX(0.3*$AJ$14^(2/3)/$AJ$16*0.26*100,0.13)</f>
        <v>0.15723814702688016</v>
      </c>
      <c r="AX48" s="6">
        <f>AW48/100*$O$12*BK48</f>
        <v>1422.2190398581311</v>
      </c>
      <c r="AY48" s="6"/>
      <c r="AZ48" s="6"/>
      <c r="BA48" s="24" t="str">
        <f>IF(BB48=0,"","+")</f>
        <v/>
      </c>
      <c r="BB48" s="24"/>
      <c r="BC48" s="28" t="s">
        <v>24</v>
      </c>
      <c r="BD48" s="15">
        <f>AX48+AZ48+BB48</f>
        <v>1422.2190398581311</v>
      </c>
      <c r="BE48" s="2">
        <f>(R48-($AX$14+$O$16+T48/2))</f>
        <v>904.5</v>
      </c>
      <c r="BF48" s="3">
        <f>IF(W48=0,0,(R48-($AX$14+T48/2+$O$16+$BI$16)))</f>
        <v>0</v>
      </c>
      <c r="BG48" s="3">
        <f>IF(Z48=0,0,(R48-($AX$14+T48/2+$BI$16+$O$16+$BI$17)))</f>
        <v>0</v>
      </c>
      <c r="BH48" s="3">
        <f>IF(AC48=0,0,(R48-($AX$14+T48/2+$O$16+$BI$16+$BI$17+$BI$18)))</f>
        <v>0</v>
      </c>
      <c r="BI48" s="3">
        <f>IF(AF48=0,0,(R48-($AX$14+T48/2+$O$16+$BI$16+$BI$17+$BI$18+$BL$16)))</f>
        <v>0</v>
      </c>
      <c r="BJ48" s="3">
        <f>IF(AI48=0,0,(R48-($AX$14+T48/2+$O$16+$BI$16+$BI$17+$BI$18+$BL$16+$BL$17)))</f>
        <v>0</v>
      </c>
      <c r="BK48" s="6">
        <f>(BE48*AJ48+BF48*AL48+BG48*AN48+BH48*AP48+BI48*AR48+BJ48*AT48)/AV48</f>
        <v>904.5</v>
      </c>
      <c r="BL48" s="175">
        <f>ABS(N48)*1000000/$O$12/BK48^2</f>
        <v>1.4479840909645776</v>
      </c>
      <c r="BM48" s="175">
        <f>BL48/$AJ$14</f>
        <v>4.524950284264305E-2</v>
      </c>
      <c r="BN48" s="21">
        <f>IF(BM48&lt;0.167,0.5+SQRT(0.25-(BM48/1.134)),0.82)</f>
        <v>0.9583638731117845</v>
      </c>
      <c r="BO48" s="15">
        <f>ABS(N48)/(0.87*$AJ$16*BN48*BK48)*10^6</f>
        <v>3141.612892514815</v>
      </c>
      <c r="BP48" s="22">
        <v>3434.1001509641765</v>
      </c>
      <c r="BQ48" s="175">
        <f>IF(Q48=0,2*ABS(P48*10^6)/$O$12/BP48/(BK48-BP48/3),Q48*BP48*1000/($O$12/2*BP48^2-(BE48-BP48)*AJ48*$AJ$18-(BF48-BP48)*AL48*$AJ$18-(BG48-BP48)*AN48*$AJ$18-(BH48-BP48)*AP48*$AJ$18-(BI48-BP48)*AR48*$AJ$18-(BJ48-BP48)*AT48*$AJ$18))</f>
        <v>-0.54356818954307706</v>
      </c>
      <c r="BR48" s="3">
        <f>0.5*$O$12*BP48*BQ48 /1000</f>
        <v>-933.33380088460251</v>
      </c>
      <c r="BS48" s="3">
        <f>($BQ48/$BP48)*(BE48-$BP48)*$AJ$18*AJ48/1000</f>
        <v>21.218988447171277</v>
      </c>
      <c r="BT48" s="3">
        <f>($BQ48/$BP48)*(BF48-$BP48)*$AJ$18*AL48/1000</f>
        <v>0</v>
      </c>
      <c r="BU48" s="3">
        <f>($BQ48/$BP48)*(BG48-$BP48)*$AJ$18*AN48/1000</f>
        <v>0</v>
      </c>
      <c r="BV48" s="3">
        <f>($BQ48/$BP48)*(BH48-$BP48)*$AJ$18*AP48/1000</f>
        <v>0</v>
      </c>
      <c r="BW48" s="3">
        <f>($BQ48/$BP48)*(BI48-$BP48)*$AJ$18*AR48/1000</f>
        <v>0</v>
      </c>
      <c r="BX48" s="3">
        <f>($BQ48/$BP48)*(BJ48-$BP48)*$AJ$18*AT48/1000</f>
        <v>0</v>
      </c>
      <c r="BY48" s="175">
        <f>IF(Q48=0,0,(0.5*$O$12*BP48*BQ48/1000*(R48/2-$BP48/3)+BS48*(BE48-R48/2)+BT48*(BF48-R48/2)+BU48*(BG48-R48/2)+BV48*(BH48-R48/2)+BW48*(BI48-R48/2)+BX48*(BJ48-R48/2))/1000-ABS(P48))</f>
        <v>-199.96382338514604</v>
      </c>
      <c r="BZ48" s="10"/>
      <c r="CA48" s="176">
        <f>ABS(P48)/(BK48-BP48/3)/AV48*10^6-Q48*(R48/2-BP48/3)/(BK48-BP48/3)/AV48*1000</f>
        <v>-247.90575736404116</v>
      </c>
      <c r="CB48" s="177">
        <f>(AV48/($O$12*MIN(2.5*(R48-BK48),(R48-BP48)/3,R48/2)-AV48))</f>
        <v>-4.0171063582350054E-3</v>
      </c>
      <c r="CC48" s="177">
        <f>3.4*($O$16+$AX$14)+0.425*0.8*0.5*(T48^2+W48^2+Z48^2+AC48^2+AF48^2+AI48^2)/(T48+W48+Z48+AC48+AF48+AI48)/CB48</f>
        <v>-775.7754731381624</v>
      </c>
      <c r="CD48" s="177">
        <f>MAX(0.6*CA48/$AJ$17,(CA48-0.4*0.3*$AJ$14^(2/3)/CB48*(1+$AJ$17/$AJ$15*CB48))/$AJ$17)</f>
        <v>0.16800327103798424</v>
      </c>
      <c r="CE48" s="178">
        <f>CC48*CD48/1000</f>
        <v>-0.13033281707825117</v>
      </c>
      <c r="CF48" s="23" t="str">
        <f>IF(AND(AV48&gt;=BD48,AV48&gt;=BO48,CE48&lt;=(+IF(CO48="External",0.25,0.3))),"O.K", "Not O.K")</f>
        <v>O.K</v>
      </c>
      <c r="CG48" s="28"/>
      <c r="CH48" s="179" t="str">
        <f>IF(O48&lt;0.2*$AJ$14*R48*$O$12/1000,"N &lt; 0.2fckAc - OK!","TBA")</f>
        <v>N &lt; 0.2fckAc - OK!</v>
      </c>
      <c r="CI48" s="24">
        <v>84</v>
      </c>
      <c r="CJ48" s="25"/>
      <c r="CK48" s="6">
        <f t="shared" si="35"/>
        <v>106</v>
      </c>
      <c r="CL48" s="8" t="s">
        <v>72</v>
      </c>
      <c r="CM48" s="6">
        <f t="shared" si="36"/>
        <v>206</v>
      </c>
      <c r="CN48" s="26" t="s">
        <v>146</v>
      </c>
      <c r="CO48" s="15" t="str">
        <f>IF(VLOOKUP(CI48,'Summary-input'!A:C,3,0)="Outward",
IF(CP48&lt;0,"External","Internal"),
IF(CP48&lt;0,"Internal","External")
)</f>
        <v>Internal</v>
      </c>
      <c r="CP48">
        <f>VLOOKUP(CI48&amp;CN48,'Summary-output-ULS'!A:G,6,0)</f>
        <v>1184.6251064959629</v>
      </c>
      <c r="CQ48">
        <f>VLOOKUP(CI48&amp;CN48,'Summary-output-ULS'!A:G,7,0)</f>
        <v>-1025.0761901702958</v>
      </c>
      <c r="CR48" s="3">
        <f>VLOOKUP(CI48&amp;CN48,'Summary-output-SLS'!A:G,6,0)</f>
        <v>810.26725260898627</v>
      </c>
      <c r="CS48" s="3">
        <f>VLOOKUP(CI48&amp;CN48,'Summary-output-SLS'!A:G,7,0)</f>
        <v>-954.55278933177385</v>
      </c>
      <c r="CT48" s="20">
        <v>1000</v>
      </c>
      <c r="CU48" s="2">
        <f>VLOOKUP(CI48&amp;CN48,'Summary-output-ULS'!A:G,5,0)</f>
        <v>106</v>
      </c>
      <c r="CV48" s="15">
        <f>VLOOKUP(CI48&amp;CN48,'Summary-output-SLS'!A:G,5,0)</f>
        <v>206</v>
      </c>
      <c r="CW48" s="6"/>
      <c r="CX48" s="278"/>
      <c r="CY48" s="6"/>
      <c r="CZ48" s="6"/>
      <c r="DA48" s="6"/>
      <c r="DB48" s="6"/>
      <c r="DC48" s="6"/>
      <c r="DD48" s="6"/>
      <c r="DE48" s="6"/>
      <c r="DF48" s="6"/>
      <c r="DG48" s="6"/>
      <c r="DH48" s="6"/>
      <c r="DI48" s="6"/>
      <c r="DJ48" s="212"/>
      <c r="DK48" s="13"/>
      <c r="DL48" s="13"/>
      <c r="DM48" s="202"/>
      <c r="DN48" s="206">
        <f>IF(CO48="external",T48,0)</f>
        <v>0</v>
      </c>
      <c r="DO48" s="206">
        <f>IF(CO48="external",W48,0)</f>
        <v>0</v>
      </c>
      <c r="DP48" s="206">
        <f>IF(CO48="external",Z48,0)</f>
        <v>0</v>
      </c>
      <c r="DQ48" s="206">
        <f>IF(CO48="external",AC48,0)</f>
        <v>0</v>
      </c>
      <c r="DR48" s="206">
        <f>IF(CO48="external",AF48,0)</f>
        <v>0</v>
      </c>
      <c r="DS48" s="207">
        <f>IF(CO48="external",AI48,0)</f>
        <v>0</v>
      </c>
      <c r="DT48" s="208"/>
      <c r="DU48" s="207">
        <f>IF(CO48="internal",T48,0)</f>
        <v>25</v>
      </c>
      <c r="DV48" s="207">
        <f>IF(CO48="internal",W48,0)</f>
        <v>0</v>
      </c>
      <c r="DW48" s="207">
        <f>IF(CO48="internal",Z48,0)</f>
        <v>0</v>
      </c>
      <c r="DX48" s="207">
        <f>IF(CO48="internal",AC48,0)</f>
        <v>0</v>
      </c>
      <c r="DY48" s="207">
        <f>IF(CO48="internal",AF48,0)</f>
        <v>0</v>
      </c>
      <c r="DZ48" s="207">
        <f>IF(CO48="internal",AI48,0)</f>
        <v>0</v>
      </c>
    </row>
    <row r="49" spans="1:131" s="7" customFormat="1" x14ac:dyDescent="0.3">
      <c r="B49" s="242"/>
      <c r="C49" s="238"/>
      <c r="D49" s="237"/>
      <c r="E49" s="238"/>
      <c r="F49" s="238"/>
      <c r="G49" s="239"/>
      <c r="H49" s="67"/>
      <c r="I49" s="67"/>
      <c r="J49" s="67"/>
      <c r="K49" s="67"/>
      <c r="L49" s="67"/>
      <c r="M49" s="67"/>
      <c r="N49" s="67"/>
      <c r="O49" s="67"/>
      <c r="P49" s="67"/>
      <c r="Q49" s="67"/>
      <c r="R49" s="67"/>
      <c r="S49" s="67"/>
      <c r="T49" s="240"/>
      <c r="U49" s="67"/>
      <c r="V49" s="67"/>
      <c r="W49" s="240"/>
      <c r="X49" s="67"/>
      <c r="Y49" s="67"/>
      <c r="Z49" s="67"/>
      <c r="AA49" s="67"/>
      <c r="AB49" s="67"/>
      <c r="AC49" s="67"/>
      <c r="AD49" s="67"/>
      <c r="AE49" s="67"/>
      <c r="AF49" s="67"/>
      <c r="AG49" s="67"/>
      <c r="AH49" s="67"/>
      <c r="AI49" s="241"/>
      <c r="AJ49" s="67"/>
      <c r="AK49" s="67"/>
      <c r="AL49" s="67"/>
      <c r="AM49" s="67"/>
      <c r="AN49" s="67"/>
      <c r="AO49" s="67"/>
      <c r="AP49" s="67"/>
      <c r="AQ49" s="67"/>
      <c r="AR49" s="67"/>
      <c r="AS49" s="67"/>
      <c r="AT49" s="67"/>
      <c r="AU49" s="67"/>
      <c r="AV49" s="67"/>
      <c r="AW49" s="67"/>
      <c r="AX49" s="67"/>
      <c r="AY49" s="67"/>
      <c r="AZ49" s="67"/>
      <c r="BA49" s="67"/>
      <c r="BB49" s="67"/>
      <c r="BC49" s="67"/>
      <c r="BD49" s="67"/>
      <c r="BE49" s="67"/>
      <c r="BF49" s="67"/>
      <c r="BG49" s="67"/>
      <c r="BH49" s="67"/>
      <c r="BI49" s="67"/>
      <c r="BJ49" s="67"/>
      <c r="BK49" s="67"/>
      <c r="BL49" s="67"/>
      <c r="BM49" s="67"/>
      <c r="BN49" s="67"/>
      <c r="BO49" s="67"/>
      <c r="BP49" s="67"/>
      <c r="BQ49" s="67"/>
      <c r="BR49" s="67"/>
      <c r="BS49" s="67"/>
      <c r="BT49" s="67"/>
      <c r="BU49" s="67"/>
      <c r="BV49" s="67"/>
      <c r="BW49" s="67"/>
      <c r="BX49" s="67"/>
      <c r="BY49" s="67"/>
      <c r="BZ49" s="67"/>
      <c r="CA49" s="67"/>
      <c r="CB49" s="67"/>
      <c r="CC49" s="67"/>
      <c r="CD49" s="67"/>
      <c r="CE49" s="67"/>
      <c r="CH49" s="243"/>
      <c r="CI49" s="6"/>
      <c r="CJ49" s="37"/>
      <c r="CK49" s="6" t="e">
        <f t="shared" ref="CK49:CK53" si="50">CU49</f>
        <v>#N/A</v>
      </c>
      <c r="CL49" s="8" t="s">
        <v>72</v>
      </c>
      <c r="CM49" s="6" t="e">
        <f t="shared" ref="CM49:CM53" si="51">CV49</f>
        <v>#N/A</v>
      </c>
      <c r="CN49" s="39"/>
      <c r="CO49" s="15" t="e">
        <f>IF(VLOOKUP(CI49,'Summary-input'!A:C,3,0)="Outward",
IF(CP49&lt;0,"External","Internal"),
IF(CP49&lt;0,"Internal","External")
)</f>
        <v>#N/A</v>
      </c>
      <c r="CP49" t="e">
        <f>VLOOKUP(CI49&amp;CN49,'Summary-output-ULS'!A:G,6,0)</f>
        <v>#N/A</v>
      </c>
      <c r="CQ49" t="e">
        <f>VLOOKUP(CI49&amp;CN49,'Summary-output-ULS'!A:G,7,0)</f>
        <v>#N/A</v>
      </c>
      <c r="CR49" s="3" t="e">
        <f>VLOOKUP(CI49&amp;CN49,'Summary-output-SLS'!A:G,6,0)</f>
        <v>#N/A</v>
      </c>
      <c r="CS49" s="3" t="e">
        <f>VLOOKUP(CI49&amp;CN49,'Summary-output-SLS'!A:G,7,0)</f>
        <v>#N/A</v>
      </c>
      <c r="CU49" s="2" t="e">
        <f>VLOOKUP(CI49&amp;CN49,'Summary-output-ULS'!A:G,5,0)</f>
        <v>#N/A</v>
      </c>
      <c r="CV49" s="15" t="e">
        <f>VLOOKUP(CI49&amp;CN49,'Summary-output-SLS'!A:G,5,0)</f>
        <v>#N/A</v>
      </c>
      <c r="CW49" s="28"/>
      <c r="CX49" s="280"/>
      <c r="CY49" s="185"/>
      <c r="CZ49" s="185"/>
      <c r="DA49" s="185"/>
      <c r="DB49" s="185"/>
      <c r="DC49" s="185"/>
      <c r="DD49" s="185"/>
      <c r="DE49" s="185"/>
      <c r="DF49" s="185"/>
      <c r="DG49" s="185"/>
      <c r="DH49" s="185"/>
      <c r="DI49" s="185"/>
      <c r="DJ49" s="209"/>
      <c r="DK49" s="185"/>
      <c r="DL49" s="185"/>
      <c r="DM49" s="186"/>
      <c r="DN49" s="187"/>
      <c r="DO49" s="187"/>
      <c r="DP49" s="187"/>
      <c r="DQ49" s="187"/>
      <c r="DR49" s="187"/>
      <c r="DS49" s="187"/>
      <c r="DT49" s="188"/>
      <c r="DU49" s="187"/>
      <c r="DV49" s="187"/>
      <c r="DW49" s="187"/>
      <c r="DX49" s="187"/>
      <c r="DY49" s="187"/>
      <c r="DZ49" s="187"/>
      <c r="EA49" s="185"/>
    </row>
    <row r="50" spans="1:131" s="7" customFormat="1" ht="13.8" x14ac:dyDescent="0.25">
      <c r="A50" s="7" t="s">
        <v>141</v>
      </c>
      <c r="B50" s="19">
        <f>+CI50</f>
        <v>86</v>
      </c>
      <c r="C50" s="6">
        <f t="shared" ref="C50:C53" si="52">CJ50</f>
        <v>0</v>
      </c>
      <c r="D50" s="6">
        <f t="shared" ref="D50:D53" si="53">CK50</f>
        <v>103</v>
      </c>
      <c r="E50" s="6" t="str">
        <f t="shared" ref="E50:E53" si="54">CL50</f>
        <v>--</v>
      </c>
      <c r="F50" s="6">
        <f>+CM50</f>
        <v>203</v>
      </c>
      <c r="G50" s="174" t="str">
        <f t="shared" ref="G50:G53" si="55">CN50</f>
        <v>Max Mz</v>
      </c>
      <c r="H50" s="6" t="str">
        <f t="shared" ref="H50:H53" si="56">CO50</f>
        <v>Internal</v>
      </c>
      <c r="I50" s="156"/>
      <c r="J50" s="10">
        <f t="shared" ref="J50:J53" si="57">(CP50)</f>
        <v>2281.588497238416</v>
      </c>
      <c r="K50" s="10">
        <f t="shared" ref="K50:K53" si="58">(CQ50)</f>
        <v>-1757.8549560644108</v>
      </c>
      <c r="L50" s="10">
        <f t="shared" ref="L50:L53" si="59">(CR50)</f>
        <v>1676.5091325498374</v>
      </c>
      <c r="M50" s="10">
        <f t="shared" ref="M50:M53" si="60">(CS50)</f>
        <v>-1289.4583520287201</v>
      </c>
      <c r="N50" s="10">
        <f>IF(I50*J50&gt;=0,J50*$J$19+I50*$J$18,J50)</f>
        <v>2281.588497238416</v>
      </c>
      <c r="O50" s="10">
        <f>(K50)*$J$19</f>
        <v>-1757.8549560644108</v>
      </c>
      <c r="P50" s="14">
        <f>IF(I50*L50&gt;=0,(L50)+I50,L50)</f>
        <v>1676.5091325498374</v>
      </c>
      <c r="Q50" s="3">
        <f>(M50)</f>
        <v>-1289.4583520287201</v>
      </c>
      <c r="R50" s="20">
        <f>CT50</f>
        <v>1000</v>
      </c>
      <c r="S50" s="23"/>
      <c r="T50" s="12">
        <v>25</v>
      </c>
      <c r="U50" s="28"/>
      <c r="V50" s="28"/>
      <c r="W50" s="12"/>
      <c r="X50" s="28"/>
      <c r="Y50" s="28"/>
      <c r="Z50" s="12"/>
      <c r="AA50" s="28"/>
      <c r="AB50" s="28"/>
      <c r="AC50" s="158"/>
      <c r="AD50" s="28"/>
      <c r="AE50" s="28"/>
      <c r="AF50" s="158"/>
      <c r="AG50" s="28"/>
      <c r="AH50" s="28"/>
      <c r="AI50" s="29"/>
      <c r="AJ50" s="6">
        <f>PI()/4*T50^2*$O$12/$AX$16</f>
        <v>3272.4923474893681</v>
      </c>
      <c r="AK50" s="28" t="str">
        <f>IF(W50=0,"","+")</f>
        <v/>
      </c>
      <c r="AL50" s="6">
        <f>PI()/4*W50^2*$O$12/$AX$16</f>
        <v>0</v>
      </c>
      <c r="AM50" s="28" t="str">
        <f>IF(Z50=0,"","+")</f>
        <v/>
      </c>
      <c r="AN50" s="6">
        <f>PI()/4*Z50^2*$O$12/$AX$16</f>
        <v>0</v>
      </c>
      <c r="AO50" s="28" t="str">
        <f>IF(AC50=0,"","+")</f>
        <v/>
      </c>
      <c r="AP50" s="6">
        <f>PI()/4*AC50^2*$O$12/$AX$16</f>
        <v>0</v>
      </c>
      <c r="AQ50" s="28" t="str">
        <f>IF(AF50=0,"","+")</f>
        <v/>
      </c>
      <c r="AR50" s="6">
        <f>PI()/4*AF50^2*$O$12/$AX$16</f>
        <v>0</v>
      </c>
      <c r="AS50" s="28" t="str">
        <f>IF(AI50=0,"","+")</f>
        <v/>
      </c>
      <c r="AT50" s="6">
        <f>PI()/4*AI50^2*$O$12/$AX$16</f>
        <v>0</v>
      </c>
      <c r="AU50" s="28" t="s">
        <v>24</v>
      </c>
      <c r="AV50" s="15">
        <f>VALUE(AJ50)+VALUE(AL50)+VALUE(AN50)+VALUE(AP50)+VALUE(AR50)+VALUE(AT50)</f>
        <v>3272.4923474893681</v>
      </c>
      <c r="AW50" s="228">
        <f>MAX(0.3*$AJ$14^(2/3)/$AJ$16*0.26*100,0.13)</f>
        <v>0.15723814702688016</v>
      </c>
      <c r="AX50" s="6">
        <f>AW50/100*$O$12*BK50</f>
        <v>1422.2190398581311</v>
      </c>
      <c r="AY50" s="6"/>
      <c r="AZ50" s="6"/>
      <c r="BA50" s="24" t="str">
        <f>IF(BB50=0,"","+")</f>
        <v/>
      </c>
      <c r="BB50" s="24"/>
      <c r="BC50" s="28" t="s">
        <v>24</v>
      </c>
      <c r="BD50" s="15">
        <f>AX50+AZ50+BB50</f>
        <v>1422.2190398581311</v>
      </c>
      <c r="BE50" s="2">
        <f>(R50-($AX$14+$O$16+T50/2))</f>
        <v>904.5</v>
      </c>
      <c r="BF50" s="3">
        <f>IF(W50=0,0,(R50-($AX$14+T50/2+$O$16+$BI$16)))</f>
        <v>0</v>
      </c>
      <c r="BG50" s="3">
        <f>IF(Z50=0,0,(R50-($AX$14+T50/2+$BI$16+$O$16+$BI$17)))</f>
        <v>0</v>
      </c>
      <c r="BH50" s="3">
        <f>IF(AC50=0,0,(R50-($AX$14+T50/2+$O$16+$BI$16+$BI$17+$BI$18)))</f>
        <v>0</v>
      </c>
      <c r="BI50" s="3">
        <f>IF(AF50=0,0,(R50-($AX$14+T50/2+$O$16+$BI$16+$BI$17+$BI$18+$BL$16)))</f>
        <v>0</v>
      </c>
      <c r="BJ50" s="3">
        <f>IF(AI50=0,0,(R50-($AX$14+T50/2+$O$16+$BI$16+$BI$17+$BI$18+$BL$16+$BL$17)))</f>
        <v>0</v>
      </c>
      <c r="BK50" s="6">
        <f>(BE50*AJ50+BF50*AL50+BG50*AN50+BH50*AP50+BI50*AR50+BJ50*AT50)/AV50</f>
        <v>904.5</v>
      </c>
      <c r="BL50" s="175">
        <f>ABS(N50)*1000000/$O$12/BK50^2</f>
        <v>2.7888180218475416</v>
      </c>
      <c r="BM50" s="175">
        <f>BL50/$AJ$14</f>
        <v>8.7150563182735674E-2</v>
      </c>
      <c r="BN50" s="21">
        <f>IF(BM50&lt;0.167,0.5+SQRT(0.25-(BM50/1.134)),0.82)</f>
        <v>0.91611014348888742</v>
      </c>
      <c r="BO50" s="15">
        <f>ABS(N50)/(0.87*$AJ$16*BN50*BK50)*10^6</f>
        <v>6329.8263902909612</v>
      </c>
      <c r="BP50" s="22">
        <v>3817.7875365615128</v>
      </c>
      <c r="BQ50" s="175">
        <f>IF(Q50=0,2*ABS(P50*10^6)/$O$12/BP50/(BK50-BP50/3),Q50*BP50*1000/($O$12/2*BP50^2-(BE50-BP50)*AJ50*$AJ$18-(BF50-BP50)*AL50*$AJ$18-(BG50-BP50)*AN50*$AJ$18-(BH50-BP50)*AP50*$AJ$18-(BI50-BP50)*AR50*$AJ$18-(BJ50-BP50)*AT50*$AJ$18))</f>
        <v>-0.66148694253208562</v>
      </c>
      <c r="BR50" s="3">
        <f>0.5*$O$12*BP50*BQ50 /1000</f>
        <v>-1262.7083023985892</v>
      </c>
      <c r="BS50" s="3">
        <f>($BQ50/$BP50)*(BE50-$BP50)*$AJ$18*AJ50/1000</f>
        <v>26.750049630130757</v>
      </c>
      <c r="BT50" s="3">
        <f>($BQ50/$BP50)*(BF50-$BP50)*$AJ$18*AL50/1000</f>
        <v>0</v>
      </c>
      <c r="BU50" s="3">
        <f>($BQ50/$BP50)*(BG50-$BP50)*$AJ$18*AN50/1000</f>
        <v>0</v>
      </c>
      <c r="BV50" s="3">
        <f>($BQ50/$BP50)*(BH50-$BP50)*$AJ$18*AP50/1000</f>
        <v>0</v>
      </c>
      <c r="BW50" s="3">
        <f>($BQ50/$BP50)*(BI50-$BP50)*$AJ$18*AR50/1000</f>
        <v>0</v>
      </c>
      <c r="BX50" s="3">
        <f>($BQ50/$BP50)*(BJ50-$BP50)*$AJ$18*AT50/1000</f>
        <v>0</v>
      </c>
      <c r="BY50" s="175">
        <f>IF(Q50=0,0,(0.5*$O$12*BP50*BQ50/1000*(R50/2-$BP50/3)+BS50*(BE50-R50/2)+BT50*(BF50-R50/2)+BU50*(BG50-R50/2)+BV50*(BH50-R50/2)+BW50*(BI50-R50/2)+BX50*(BJ50-R50/2))/1000-ABS(P50))</f>
        <v>-690.12554893705078</v>
      </c>
      <c r="BZ50" s="10"/>
      <c r="CA50" s="176">
        <f>ABS(P50)/(BK50-BP50/3)/AV50*10^6-Q50*(R50/2-BP50/3)/(BK50-BP50/3)/AV50*1000</f>
        <v>-564.73861958913517</v>
      </c>
      <c r="CB50" s="177">
        <f>(AV50/($O$12*MIN(2.5*(R50-BK50),(R50-BP50)/3,R50/2)-AV50))</f>
        <v>-3.4720114709214786E-3</v>
      </c>
      <c r="CC50" s="177">
        <f>3.4*($O$16+$AX$14)+0.425*0.8*0.5*(T50^2+W50^2+Z50^2+AC50^2+AF50^2+AI50^2)/(T50+W50+Z50+AC50+AF50+AI50)/CB50</f>
        <v>-941.87429687207873</v>
      </c>
      <c r="CD50" s="177">
        <f>MAX(0.6*CA50/$AJ$17,(CA50-0.4*0.3*$AJ$14^(2/3)/CB50*(1+$AJ$17/$AJ$15*CB50))/$AJ$17)</f>
        <v>-1.1798074539583874</v>
      </c>
      <c r="CE50" s="178">
        <f>CC50*CD50/1000</f>
        <v>1.1112303161414934</v>
      </c>
      <c r="CF50" s="23" t="str">
        <f>IF(AND(AV50&gt;=BD50,AV50&gt;=BO50,CE50&lt;=(+IF(CO50="External",0.25,0.3))),"O.K", "Not O.K")</f>
        <v>Not O.K</v>
      </c>
      <c r="CG50" s="28"/>
      <c r="CH50" s="179" t="str">
        <f>IF(O50&lt;0.2*$AJ$14*R50*$O$12/1000,"N &lt; 0.2fckAc - OK!","TBA")</f>
        <v>N &lt; 0.2fckAc - OK!</v>
      </c>
      <c r="CI50" s="24">
        <v>86</v>
      </c>
      <c r="CJ50" s="25"/>
      <c r="CK50" s="6">
        <f t="shared" si="50"/>
        <v>103</v>
      </c>
      <c r="CL50" s="8" t="s">
        <v>72</v>
      </c>
      <c r="CM50" s="6">
        <f t="shared" si="51"/>
        <v>203</v>
      </c>
      <c r="CN50" s="26" t="s">
        <v>147</v>
      </c>
      <c r="CO50" s="15" t="str">
        <f>IF(VLOOKUP(CI50,'Summary-input'!A:C,3,0)="Outward",
IF(CP50&lt;0,"External","Internal"),
IF(CP50&lt;0,"Internal","External")
)</f>
        <v>Internal</v>
      </c>
      <c r="CP50">
        <f>VLOOKUP(CI50&amp;CN50,'Summary-output-ULS'!A:G,6,0)</f>
        <v>2281.588497238416</v>
      </c>
      <c r="CQ50">
        <f>VLOOKUP(CI50&amp;CN50,'Summary-output-ULS'!A:G,7,0)</f>
        <v>-1757.8549560644108</v>
      </c>
      <c r="CR50" s="3">
        <f>VLOOKUP(CI50&amp;CN50,'Summary-output-SLS'!A:G,6,0)</f>
        <v>1676.5091325498374</v>
      </c>
      <c r="CS50" s="3">
        <f>VLOOKUP(CI50&amp;CN50,'Summary-output-SLS'!A:G,7,0)</f>
        <v>-1289.4583520287201</v>
      </c>
      <c r="CT50" s="20">
        <v>1000</v>
      </c>
      <c r="CU50" s="2">
        <f>VLOOKUP(CI50&amp;CN50,'Summary-output-ULS'!A:G,5,0)</f>
        <v>103</v>
      </c>
      <c r="CV50" s="15">
        <f>VLOOKUP(CI50&amp;CN50,'Summary-output-SLS'!A:G,5,0)</f>
        <v>203</v>
      </c>
      <c r="CW50" s="6"/>
      <c r="CX50" s="278">
        <f>CI50</f>
        <v>86</v>
      </c>
      <c r="CY50" s="6">
        <f t="shared" ref="CY50" si="61">MAX(DN50:DN53)</f>
        <v>0</v>
      </c>
      <c r="CZ50" s="6">
        <f t="shared" ref="CZ50" si="62">MAX(DO50:DO53)</f>
        <v>0</v>
      </c>
      <c r="DA50" s="6">
        <f t="shared" ref="DA50" si="63">MAX(DP50:DP53)</f>
        <v>0</v>
      </c>
      <c r="DB50" s="6">
        <f t="shared" ref="DB50" si="64">MAX(DQ50:DQ53)</f>
        <v>0</v>
      </c>
      <c r="DC50" s="6">
        <f t="shared" ref="DC50" si="65">MAX(DR50:DR53)</f>
        <v>0</v>
      </c>
      <c r="DD50" s="6">
        <f t="shared" ref="DD50" si="66">MAX(DS50:DS53)</f>
        <v>0</v>
      </c>
      <c r="DE50" s="6"/>
      <c r="DF50" s="6">
        <f t="shared" ref="DF50" si="67">MAX(DU50:DU53)</f>
        <v>25</v>
      </c>
      <c r="DG50" s="6">
        <f t="shared" ref="DG50" si="68">MAX(DV50:DV53)</f>
        <v>0</v>
      </c>
      <c r="DH50" s="6">
        <f t="shared" ref="DH50" si="69">MAX(DW50:DW53)</f>
        <v>0</v>
      </c>
      <c r="DI50" s="6">
        <f t="shared" ref="DI50" si="70">MAX(DX50:DX53)</f>
        <v>0</v>
      </c>
      <c r="DJ50" s="6">
        <f t="shared" ref="DJ50" si="71">MAX(DY50:DY53)</f>
        <v>0</v>
      </c>
      <c r="DK50" s="6">
        <f t="shared" ref="DK50" si="72">MAX(DZ50:DZ53)</f>
        <v>0</v>
      </c>
      <c r="DL50" s="13"/>
      <c r="DM50" s="202">
        <f>CI50</f>
        <v>86</v>
      </c>
      <c r="DN50" s="206">
        <f>IF(CO50="external",T50,0)</f>
        <v>0</v>
      </c>
      <c r="DO50" s="206">
        <f>IF(CO50="external",W50,0)</f>
        <v>0</v>
      </c>
      <c r="DP50" s="206">
        <f>IF(CO50="external",Z50,0)</f>
        <v>0</v>
      </c>
      <c r="DQ50" s="206">
        <f>IF(CO50="external",AC50,0)</f>
        <v>0</v>
      </c>
      <c r="DR50" s="206">
        <f>IF(CO50="external",AF50,0)</f>
        <v>0</v>
      </c>
      <c r="DS50" s="207">
        <f>IF(CO50="external",AI50,0)</f>
        <v>0</v>
      </c>
      <c r="DT50" s="208"/>
      <c r="DU50" s="207">
        <f>IF(CO50="internal",T50,0)</f>
        <v>25</v>
      </c>
      <c r="DV50" s="207">
        <f>IF(CO50="internal",W50,0)</f>
        <v>0</v>
      </c>
      <c r="DW50" s="207">
        <f>IF(CO50="internal",Z50,0)</f>
        <v>0</v>
      </c>
      <c r="DX50" s="207">
        <f>IF(CO50="internal",AC50,0)</f>
        <v>0</v>
      </c>
      <c r="DY50" s="207">
        <f>IF(CO50="internal",AF50,0)</f>
        <v>0</v>
      </c>
      <c r="DZ50" s="207">
        <f>IF(CO50="internal",AI50,0)</f>
        <v>0</v>
      </c>
    </row>
    <row r="51" spans="1:131" s="7" customFormat="1" x14ac:dyDescent="0.3">
      <c r="B51" s="19">
        <f>+CI51</f>
        <v>86</v>
      </c>
      <c r="C51" s="6">
        <f t="shared" si="52"/>
        <v>0</v>
      </c>
      <c r="D51" s="6">
        <f t="shared" si="53"/>
        <v>104</v>
      </c>
      <c r="E51" s="6" t="str">
        <f t="shared" si="54"/>
        <v>--</v>
      </c>
      <c r="F51" s="6">
        <f>+CM51</f>
        <v>204</v>
      </c>
      <c r="G51" s="174" t="str">
        <f t="shared" si="55"/>
        <v>Min Mz</v>
      </c>
      <c r="H51" s="6" t="str">
        <f t="shared" si="56"/>
        <v>Internal</v>
      </c>
      <c r="I51" s="156"/>
      <c r="J51" s="10">
        <f t="shared" si="57"/>
        <v>502.83262746123023</v>
      </c>
      <c r="K51" s="10">
        <f t="shared" si="58"/>
        <v>-1687.0558684865427</v>
      </c>
      <c r="L51" s="10">
        <f t="shared" si="59"/>
        <v>589.49900980121015</v>
      </c>
      <c r="M51" s="10">
        <f t="shared" si="60"/>
        <v>-1247.5565849996758</v>
      </c>
      <c r="N51" s="10">
        <f>IF(I51*J51&gt;=0,J51*$J$19+I51*$J$18,J51)</f>
        <v>502.83262746123023</v>
      </c>
      <c r="O51" s="10">
        <f>(K51)*$J$19</f>
        <v>-1687.0558684865427</v>
      </c>
      <c r="P51" s="14">
        <f>IF(I51*L51&gt;=0,(L51)+I51,L51)</f>
        <v>589.49900980121015</v>
      </c>
      <c r="Q51" s="3">
        <f>(M51)</f>
        <v>-1247.5565849996758</v>
      </c>
      <c r="R51" s="20">
        <f t="shared" ref="R51:R53" si="73">CT51</f>
        <v>1000</v>
      </c>
      <c r="S51" s="23"/>
      <c r="T51" s="12">
        <v>20</v>
      </c>
      <c r="U51" s="28"/>
      <c r="V51" s="28"/>
      <c r="W51" s="12"/>
      <c r="X51" s="28"/>
      <c r="Y51" s="28"/>
      <c r="Z51" s="12"/>
      <c r="AA51" s="28"/>
      <c r="AB51" s="28"/>
      <c r="AC51" s="158"/>
      <c r="AD51" s="28"/>
      <c r="AE51" s="28"/>
      <c r="AF51" s="158"/>
      <c r="AG51" s="28"/>
      <c r="AH51" s="28"/>
      <c r="AI51" s="29"/>
      <c r="AJ51" s="6">
        <f>PI()/4*T51^2*$O$12/$AX$16</f>
        <v>2094.3951023931954</v>
      </c>
      <c r="AK51" s="28" t="str">
        <f>IF(W51=0,"","+")</f>
        <v/>
      </c>
      <c r="AL51" s="6">
        <f>PI()/4*W51^2*$O$12/$AX$16</f>
        <v>0</v>
      </c>
      <c r="AM51" s="28" t="str">
        <f>IF(Z51=0,"","+")</f>
        <v/>
      </c>
      <c r="AN51" s="6">
        <f>PI()/4*Z51^2*$O$12/$AX$16</f>
        <v>0</v>
      </c>
      <c r="AO51" s="28" t="str">
        <f>IF(AC51=0,"","+")</f>
        <v/>
      </c>
      <c r="AP51" s="6">
        <f>PI()/4*AC51^2*$O$12/$AX$16</f>
        <v>0</v>
      </c>
      <c r="AQ51" s="28" t="str">
        <f>IF(AF51=0,"","+")</f>
        <v/>
      </c>
      <c r="AR51" s="6">
        <f>PI()/4*AF51^2*$O$12/$AX$16</f>
        <v>0</v>
      </c>
      <c r="AS51" s="28" t="str">
        <f>IF(AI51=0,"","+")</f>
        <v/>
      </c>
      <c r="AT51" s="6">
        <f>PI()/4*AI51^2*$O$12/$AX$16</f>
        <v>0</v>
      </c>
      <c r="AU51" s="28" t="s">
        <v>24</v>
      </c>
      <c r="AV51" s="15">
        <f>VALUE(AJ51)+VALUE(AL51)+VALUE(AN51)+VALUE(AP51)+VALUE(AR51)+VALUE(AT51)</f>
        <v>2094.3951023931954</v>
      </c>
      <c r="AW51" s="228">
        <f>MAX(0.3*$AJ$14^(2/3)/$AJ$16*0.26*100,0.13)</f>
        <v>0.15723814702688016</v>
      </c>
      <c r="AX51" s="6">
        <f>AW51/100*$O$12*BK51</f>
        <v>1426.1499935338031</v>
      </c>
      <c r="AY51" s="6"/>
      <c r="AZ51" s="6"/>
      <c r="BA51" s="24" t="str">
        <f>IF(BB51=0,"","+")</f>
        <v/>
      </c>
      <c r="BB51" s="24"/>
      <c r="BC51" s="28" t="s">
        <v>24</v>
      </c>
      <c r="BD51" s="15">
        <f>AX51+AZ51+BB51</f>
        <v>1426.1499935338031</v>
      </c>
      <c r="BE51" s="2">
        <f>(R51-($AX$14+$O$16+T51/2))</f>
        <v>907</v>
      </c>
      <c r="BF51" s="3">
        <f>IF(W51=0,0,(R51-($AX$14+T51/2+$O$16+$BI$16)))</f>
        <v>0</v>
      </c>
      <c r="BG51" s="3">
        <f>IF(Z51=0,0,(R51-($AX$14+T51/2+$BI$16+$O$16+$BI$17)))</f>
        <v>0</v>
      </c>
      <c r="BH51" s="3">
        <f>IF(AC51=0,0,(R51-($AX$14+T51/2+$O$16+$BI$16+$BI$17+$BI$18)))</f>
        <v>0</v>
      </c>
      <c r="BI51" s="3">
        <f>IF(AF51=0,0,(R51-($AX$14+T51/2+$O$16+$BI$16+$BI$17+$BI$18+$BL$16)))</f>
        <v>0</v>
      </c>
      <c r="BJ51" s="3">
        <f>IF(AI51=0,0,(R51-($AX$14+T51/2+$O$16+$BI$16+$BI$17+$BI$18+$BL$16+$BL$17)))</f>
        <v>0</v>
      </c>
      <c r="BK51" s="6">
        <f>(BE51*AJ51+BF51*AL51+BG51*AN51+BH51*AP51+BI51*AR51+BJ51*AT51)/AV51</f>
        <v>907</v>
      </c>
      <c r="BL51" s="175">
        <f>ABS(N51)*1000000/$O$12/BK51^2</f>
        <v>0.61123593107294871</v>
      </c>
      <c r="BM51" s="175">
        <f>BL51/$AJ$14</f>
        <v>1.9101122846029647E-2</v>
      </c>
      <c r="BN51" s="21">
        <f>IF(BM51&lt;0.167,0.5+SQRT(0.25-(BM51/1.134)),0.82)</f>
        <v>0.98286227469771603</v>
      </c>
      <c r="BO51" s="15">
        <f>ABS(N51)/(0.87*$AJ$16*BN51*BK51)*10^6</f>
        <v>1296.684263500551</v>
      </c>
      <c r="BP51" s="22">
        <v>1497.2919865581653</v>
      </c>
      <c r="BQ51" s="175">
        <f>IF(Q51=0,2*ABS(P51*10^6)/$O$12/BP51/(BK51-BP51/3),Q51*BP51*1000/($O$12/2*BP51^2-(BE51-BP51)*AJ51*$AJ$18-(BF51-BP51)*AL51*$AJ$18-(BG51-BP51)*AN51*$AJ$18-(BH51-BP51)*AP51*$AJ$18-(BI51-BP51)*AR51*$AJ$18-(BJ51-BP51)*AT51*$AJ$18))</f>
        <v>-1.6371763136434085</v>
      </c>
      <c r="BR51" s="3">
        <f>0.5*$O$12*BP51*BQ51 /1000</f>
        <v>-1225.6654875005565</v>
      </c>
      <c r="BS51" s="3">
        <f>($BQ51/$BP51)*(BE51-$BP51)*$AJ$18*AJ51/1000</f>
        <v>21.891097499119251</v>
      </c>
      <c r="BT51" s="3">
        <f>($BQ51/$BP51)*(BF51-$BP51)*$AJ$18*AL51/1000</f>
        <v>0</v>
      </c>
      <c r="BU51" s="3">
        <f>($BQ51/$BP51)*(BG51-$BP51)*$AJ$18*AN51/1000</f>
        <v>0</v>
      </c>
      <c r="BV51" s="3">
        <f>($BQ51/$BP51)*(BH51-$BP51)*$AJ$18*AP51/1000</f>
        <v>0</v>
      </c>
      <c r="BW51" s="3">
        <f>($BQ51/$BP51)*(BI51-$BP51)*$AJ$18*AR51/1000</f>
        <v>0</v>
      </c>
      <c r="BX51" s="3">
        <f>($BQ51/$BP51)*(BJ51-$BP51)*$AJ$18*AT51/1000</f>
        <v>0</v>
      </c>
      <c r="BY51" s="175">
        <f>IF(Q51=0,0,(0.5*$O$12*BP51*BQ51/1000*(R51/2-$BP51/3)+BS51*(BE51-R51/2)+BT51*(BF51-R51/2)+BU51*(BG51-R51/2)+BV51*(BH51-R51/2)+BW51*(BI51-R51/2)+BX51*(BJ51-R51/2))/1000-ABS(P51))</f>
        <v>-581.69570599085012</v>
      </c>
      <c r="BZ51" s="10"/>
      <c r="CA51" s="176">
        <f>ABS(P51)/(BK51-BP51/3)/AV51*10^6-Q51*(R51/2-BP51/3)/(BK51-BP51/3)/AV51*1000</f>
        <v>691.3480912977426</v>
      </c>
      <c r="CB51" s="177">
        <f>(AV51/($O$12*MIN(2.5*(R51-BK51),(R51-BP51)/3,R51/2)-AV51))</f>
        <v>-1.2477154669689908E-2</v>
      </c>
      <c r="CC51" s="177">
        <f>3.4*($O$16+$AX$14)+0.425*0.8*0.5*(T51^2+W51^2+Z51^2+AC51^2+AF51^2+AI51^2)/(T51+W51+Z51+AC51+AF51+AI51)/CB51</f>
        <v>9.7019754095506983</v>
      </c>
      <c r="CD51" s="177">
        <f>MAX(0.6*CA51/$AJ$17,(CA51-0.4*0.3*$AJ$14^(2/3)/CB51*(1+$AJ$17/$AJ$15*CB51))/$AJ$17)</f>
        <v>3.843501044416838</v>
      </c>
      <c r="CE51" s="178">
        <f>CC51*CD51/1000</f>
        <v>3.7289552619514589E-2</v>
      </c>
      <c r="CF51" s="23" t="str">
        <f>IF(AND(AV51&gt;=BD51,AV51&gt;=BO51,CE51&lt;=(+IF(CO51="External",0.25,0.3))),"O.K", "Not O.K")</f>
        <v>O.K</v>
      </c>
      <c r="CG51" s="28"/>
      <c r="CH51" s="179" t="str">
        <f>IF(O51&lt;0.2*$AJ$14*R51*$O$12/1000,"N &lt; 0.2fckAc - OK!","TBA")</f>
        <v>N &lt; 0.2fckAc - OK!</v>
      </c>
      <c r="CI51" s="24">
        <v>86</v>
      </c>
      <c r="CJ51" s="25"/>
      <c r="CK51" s="6">
        <f t="shared" si="50"/>
        <v>104</v>
      </c>
      <c r="CL51" s="8" t="s">
        <v>72</v>
      </c>
      <c r="CM51" s="6">
        <f t="shared" si="51"/>
        <v>204</v>
      </c>
      <c r="CN51" s="26" t="s">
        <v>148</v>
      </c>
      <c r="CO51" s="15" t="str">
        <f>IF(VLOOKUP(CI51,'Summary-input'!A:C,3,0)="Outward",
IF(CP51&lt;0,"External","Internal"),
IF(CP51&lt;0,"Internal","External")
)</f>
        <v>Internal</v>
      </c>
      <c r="CP51">
        <f>VLOOKUP(CI51&amp;CN51,'Summary-output-ULS'!A:G,6,0)</f>
        <v>502.83262746123023</v>
      </c>
      <c r="CQ51">
        <f>VLOOKUP(CI51&amp;CN51,'Summary-output-ULS'!A:G,7,0)</f>
        <v>-1687.0558684865427</v>
      </c>
      <c r="CR51" s="3">
        <f>VLOOKUP(CI51&amp;CN51,'Summary-output-SLS'!A:G,6,0)</f>
        <v>589.49900980121015</v>
      </c>
      <c r="CS51" s="3">
        <f>VLOOKUP(CI51&amp;CN51,'Summary-output-SLS'!A:G,7,0)</f>
        <v>-1247.5565849996758</v>
      </c>
      <c r="CT51" s="20">
        <v>1000</v>
      </c>
      <c r="CU51" s="2">
        <f>VLOOKUP(CI51&amp;CN51,'Summary-output-ULS'!A:G,5,0)</f>
        <v>104</v>
      </c>
      <c r="CV51" s="15">
        <f>VLOOKUP(CI51&amp;CN51,'Summary-output-SLS'!A:G,5,0)</f>
        <v>204</v>
      </c>
      <c r="CW51" s="6"/>
      <c r="CX51" s="278"/>
      <c r="CY51" s="6"/>
      <c r="CZ51" s="6"/>
      <c r="DA51" s="6"/>
      <c r="DB51" s="6"/>
      <c r="DC51" s="6"/>
      <c r="DD51" s="6"/>
      <c r="DE51" s="6"/>
      <c r="DF51" s="6"/>
      <c r="DG51" s="6"/>
      <c r="DH51" s="6"/>
      <c r="DI51" s="6"/>
      <c r="DJ51" s="212"/>
      <c r="DK51" s="13"/>
      <c r="DL51" s="13"/>
      <c r="DM51" s="202"/>
      <c r="DN51" s="206">
        <f>IF(CO51="external",T51,0)</f>
        <v>0</v>
      </c>
      <c r="DO51" s="206">
        <f>IF(CO51="external",W51,0)</f>
        <v>0</v>
      </c>
      <c r="DP51" s="206">
        <f>IF(CO51="external",Z51,0)</f>
        <v>0</v>
      </c>
      <c r="DQ51" s="206">
        <f>IF(CO51="external",AC51,0)</f>
        <v>0</v>
      </c>
      <c r="DR51" s="206">
        <f>IF(CO51="external",AF51,0)</f>
        <v>0</v>
      </c>
      <c r="DS51" s="207">
        <f>IF(CO51="external",AI51,0)</f>
        <v>0</v>
      </c>
      <c r="DT51" s="208"/>
      <c r="DU51" s="207">
        <f>IF(CO51="internal",T51,0)</f>
        <v>20</v>
      </c>
      <c r="DV51" s="207">
        <f>IF(CO51="internal",W51,0)</f>
        <v>0</v>
      </c>
      <c r="DW51" s="207">
        <f>IF(CO51="internal",Z51,0)</f>
        <v>0</v>
      </c>
      <c r="DX51" s="207">
        <f>IF(CO51="internal",AC51,0)</f>
        <v>0</v>
      </c>
      <c r="DY51" s="207">
        <f>IF(CO51="internal",AF51,0)</f>
        <v>0</v>
      </c>
      <c r="DZ51" s="207">
        <f>IF(CO51="internal",AI51,0)</f>
        <v>0</v>
      </c>
    </row>
    <row r="52" spans="1:131" s="7" customFormat="1" x14ac:dyDescent="0.3">
      <c r="B52" s="19">
        <f>+CI52</f>
        <v>86</v>
      </c>
      <c r="C52" s="6">
        <f t="shared" si="52"/>
        <v>0</v>
      </c>
      <c r="D52" s="6">
        <f t="shared" si="53"/>
        <v>101</v>
      </c>
      <c r="E52" s="6" t="str">
        <f t="shared" si="54"/>
        <v>--</v>
      </c>
      <c r="F52" s="6">
        <f>+CM52</f>
        <v>201</v>
      </c>
      <c r="G52" s="174" t="str">
        <f t="shared" si="55"/>
        <v>Max Fx</v>
      </c>
      <c r="H52" s="6" t="str">
        <f t="shared" si="56"/>
        <v>Internal</v>
      </c>
      <c r="I52" s="156"/>
      <c r="J52" s="10">
        <f t="shared" si="57"/>
        <v>1828.9833092017802</v>
      </c>
      <c r="K52" s="10">
        <f t="shared" si="58"/>
        <v>-1840.5747684878345</v>
      </c>
      <c r="L52" s="10">
        <f t="shared" si="59"/>
        <v>1320.1681011424964</v>
      </c>
      <c r="M52" s="10">
        <f t="shared" si="60"/>
        <v>-1332.8449776894051</v>
      </c>
      <c r="N52" s="10">
        <f>IF(I52*J52&gt;=0,J52*$J$19+I52*$J$18,J52)</f>
        <v>1828.9833092017802</v>
      </c>
      <c r="O52" s="10">
        <f>(K52)*$J$19</f>
        <v>-1840.5747684878345</v>
      </c>
      <c r="P52" s="14">
        <f>IF(I52*L52&gt;=0,(L52)+I52,L52)</f>
        <v>1320.1681011424964</v>
      </c>
      <c r="Q52" s="3">
        <f>(M52)</f>
        <v>-1332.8449776894051</v>
      </c>
      <c r="R52" s="20">
        <f t="shared" si="73"/>
        <v>1000</v>
      </c>
      <c r="S52" s="23"/>
      <c r="T52" s="12">
        <v>20</v>
      </c>
      <c r="U52" s="28"/>
      <c r="V52" s="28"/>
      <c r="W52" s="12"/>
      <c r="X52" s="28"/>
      <c r="Y52" s="28"/>
      <c r="Z52" s="12"/>
      <c r="AA52" s="28"/>
      <c r="AB52" s="28"/>
      <c r="AC52" s="158"/>
      <c r="AD52" s="28"/>
      <c r="AE52" s="28"/>
      <c r="AF52" s="158"/>
      <c r="AG52" s="28"/>
      <c r="AH52" s="28"/>
      <c r="AI52" s="29"/>
      <c r="AJ52" s="6">
        <f>PI()/4*T52^2*$O$12/$AX$16</f>
        <v>2094.3951023931954</v>
      </c>
      <c r="AK52" s="28" t="str">
        <f>IF(W52=0,"","+")</f>
        <v/>
      </c>
      <c r="AL52" s="6">
        <f>PI()/4*W52^2*$O$12/$AX$16</f>
        <v>0</v>
      </c>
      <c r="AM52" s="28" t="str">
        <f>IF(Z52=0,"","+")</f>
        <v/>
      </c>
      <c r="AN52" s="6">
        <f>PI()/4*Z52^2*$O$12/$AX$16</f>
        <v>0</v>
      </c>
      <c r="AO52" s="28" t="str">
        <f>IF(AC52=0,"","+")</f>
        <v/>
      </c>
      <c r="AP52" s="6">
        <f>PI()/4*AC52^2*$O$12/$AX$16</f>
        <v>0</v>
      </c>
      <c r="AQ52" s="28" t="str">
        <f>IF(AF52=0,"","+")</f>
        <v/>
      </c>
      <c r="AR52" s="6">
        <f>PI()/4*AF52^2*$O$12/$AX$16</f>
        <v>0</v>
      </c>
      <c r="AS52" s="28" t="str">
        <f>IF(AI52=0,"","+")</f>
        <v/>
      </c>
      <c r="AT52" s="6">
        <f>PI()/4*AI52^2*$O$12/$AX$16</f>
        <v>0</v>
      </c>
      <c r="AU52" s="28" t="s">
        <v>24</v>
      </c>
      <c r="AV52" s="15">
        <f>VALUE(AJ52)+VALUE(AL52)+VALUE(AN52)+VALUE(AP52)+VALUE(AR52)+VALUE(AT52)</f>
        <v>2094.3951023931954</v>
      </c>
      <c r="AW52" s="228">
        <f>MAX(0.3*$AJ$14^(2/3)/$AJ$16*0.26*100,0.13)</f>
        <v>0.15723814702688016</v>
      </c>
      <c r="AX52" s="6">
        <f>AW52/100*$O$12*BK52</f>
        <v>1426.1499935338031</v>
      </c>
      <c r="AY52" s="6"/>
      <c r="AZ52" s="6"/>
      <c r="BA52" s="24" t="str">
        <f>IF(BB52=0,"","+")</f>
        <v/>
      </c>
      <c r="BB52" s="24"/>
      <c r="BC52" s="28" t="s">
        <v>24</v>
      </c>
      <c r="BD52" s="15">
        <f>AX52+AZ52+BB52</f>
        <v>1426.1499935338031</v>
      </c>
      <c r="BE52" s="2">
        <f>(R52-($AX$14+$O$16+T52/2))</f>
        <v>907</v>
      </c>
      <c r="BF52" s="3">
        <f>IF(W52=0,0,(R52-($AX$14+T52/2+$O$16+$BI$16)))</f>
        <v>0</v>
      </c>
      <c r="BG52" s="3">
        <f>IF(Z52=0,0,(R52-($AX$14+T52/2+$BI$16+$O$16+$BI$17)))</f>
        <v>0</v>
      </c>
      <c r="BH52" s="3">
        <f>IF(AC52=0,0,(R52-($AX$14+T52/2+$O$16+$BI$16+$BI$17+$BI$18)))</f>
        <v>0</v>
      </c>
      <c r="BI52" s="3">
        <f>IF(AF52=0,0,(R52-($AX$14+T52/2+$O$16+$BI$16+$BI$17+$BI$18+$BL$16)))</f>
        <v>0</v>
      </c>
      <c r="BJ52" s="3">
        <f>IF(AI52=0,0,(R52-($AX$14+T52/2+$O$16+$BI$16+$BI$17+$BI$18+$BL$16+$BL$17)))</f>
        <v>0</v>
      </c>
      <c r="BK52" s="6">
        <f>(BE52*AJ52+BF52*AL52+BG52*AN52+BH52*AP52+BI52*AR52+BJ52*AT52)/AV52</f>
        <v>907</v>
      </c>
      <c r="BL52" s="175">
        <f>ABS(N52)*1000000/$O$12/BK52^2</f>
        <v>2.2232851546671548</v>
      </c>
      <c r="BM52" s="175">
        <f>BL52/$AJ$14</f>
        <v>6.9477661083348588E-2</v>
      </c>
      <c r="BN52" s="21">
        <f>IF(BM52&lt;0.167,0.5+SQRT(0.25-(BM52/1.134)),0.82)</f>
        <v>0.93443321842014848</v>
      </c>
      <c r="BO52" s="15">
        <f>ABS(N52)/(0.87*$AJ$16*BN52*BK52)*10^6</f>
        <v>4960.9509070401764</v>
      </c>
      <c r="BP52" s="22">
        <v>1971.7081973485892</v>
      </c>
      <c r="BQ52" s="175">
        <f>IF(Q52=0,2*ABS(P52*10^6)/$O$12/BP52/(BK52-BP52/3),Q52*BP52*1000/($O$12/2*BP52^2-(BE52-BP52)*AJ52*$AJ$18-(BF52-BP52)*AL52*$AJ$18-(BG52-BP52)*AN52*$AJ$18-(BH52-BP52)*AP52*$AJ$18-(BI52-BP52)*AR52*$AJ$18-(BJ52-BP52)*AT52*$AJ$18))</f>
        <v>-1.3273116913246796</v>
      </c>
      <c r="BR52" s="3">
        <f>0.5*$O$12*BP52*BQ52 /1000</f>
        <v>-1308.5356711107459</v>
      </c>
      <c r="BS52" s="3">
        <f>($BQ52/$BP52)*(BE52-$BP52)*$AJ$18*AJ52/1000</f>
        <v>24.309306578659523</v>
      </c>
      <c r="BT52" s="3">
        <f>($BQ52/$BP52)*(BF52-$BP52)*$AJ$18*AL52/1000</f>
        <v>0</v>
      </c>
      <c r="BU52" s="3">
        <f>($BQ52/$BP52)*(BG52-$BP52)*$AJ$18*AN52/1000</f>
        <v>0</v>
      </c>
      <c r="BV52" s="3">
        <f>($BQ52/$BP52)*(BH52-$BP52)*$AJ$18*AP52/1000</f>
        <v>0</v>
      </c>
      <c r="BW52" s="3">
        <f>($BQ52/$BP52)*(BI52-$BP52)*$AJ$18*AR52/1000</f>
        <v>0</v>
      </c>
      <c r="BX52" s="3">
        <f>($BQ52/$BP52)*(BJ52-$BP52)*$AJ$18*AT52/1000</f>
        <v>0</v>
      </c>
      <c r="BY52" s="175">
        <f>IF(Q52=0,0,(0.5*$O$12*BP52*BQ52/1000*(R52/2-$BP52/3)+BS52*(BE52-R52/2)+BT52*(BF52-R52/2)+BU52*(BG52-R52/2)+BV52*(BH52-R52/2)+BW52*(BI52-R52/2)+BX52*(BJ52-R52/2))/1000-ABS(P52))</f>
        <v>-1104.5252125029899</v>
      </c>
      <c r="BZ52" s="10"/>
      <c r="CA52" s="176">
        <f>ABS(P52)/(BK52-BP52/3)/AV52*10^6-Q52*(R52/2-BP52/3)/(BK52-BP52/3)/AV52*1000</f>
        <v>2123.0884011811027</v>
      </c>
      <c r="CB52" s="177">
        <f>(AV52/($O$12*MIN(2.5*(R52-BK52),(R52-BP52)/3,R52/2)-AV52))</f>
        <v>-6.424581462177492E-3</v>
      </c>
      <c r="CC52" s="177">
        <f>3.4*($O$16+$AX$14)+0.425*0.8*0.5*(T52^2+W52^2+Z52^2+AC52^2+AF52^2+AI52^2)/(T52+W52+Z52+AC52+AF52+AI52)/CB52</f>
        <v>-247.01735369320596</v>
      </c>
      <c r="CD52" s="177">
        <f>MAX(0.6*CA52/$AJ$17,(CA52-0.4*0.3*$AJ$14^(2/3)/CB52*(1+$AJ$17/$AJ$15*CB52))/$AJ$17)</f>
        <v>11.458832363223927</v>
      </c>
      <c r="CE52" s="178">
        <f>CC52*CD52/1000</f>
        <v>-2.8305304467776402</v>
      </c>
      <c r="CF52" s="23" t="str">
        <f>IF(AND(AV52&gt;=BD52,AV52&gt;=BO52,CE52&lt;=(+IF(CO52="External",0.25,0.3))),"O.K", "Not O.K")</f>
        <v>Not O.K</v>
      </c>
      <c r="CG52" s="28"/>
      <c r="CH52" s="179" t="str">
        <f>IF(O52&lt;0.2*$AJ$14*R52*$O$12/1000,"N &lt; 0.2fckAc - OK!","TBA")</f>
        <v>N &lt; 0.2fckAc - OK!</v>
      </c>
      <c r="CI52" s="24">
        <v>86</v>
      </c>
      <c r="CJ52" s="25"/>
      <c r="CK52" s="6">
        <f t="shared" si="50"/>
        <v>101</v>
      </c>
      <c r="CL52" s="8" t="s">
        <v>72</v>
      </c>
      <c r="CM52" s="6">
        <f t="shared" si="51"/>
        <v>201</v>
      </c>
      <c r="CN52" s="26" t="s">
        <v>145</v>
      </c>
      <c r="CO52" s="15" t="str">
        <f>IF(VLOOKUP(CI52,'Summary-input'!A:C,3,0)="Outward",
IF(CP52&lt;0,"External","Internal"),
IF(CP52&lt;0,"Internal","External")
)</f>
        <v>Internal</v>
      </c>
      <c r="CP52">
        <f>VLOOKUP(CI52&amp;CN52,'Summary-output-ULS'!A:G,6,0)</f>
        <v>1828.9833092017802</v>
      </c>
      <c r="CQ52">
        <f>VLOOKUP(CI52&amp;CN52,'Summary-output-ULS'!A:G,7,0)</f>
        <v>-1840.5747684878345</v>
      </c>
      <c r="CR52" s="3">
        <f>VLOOKUP(CI52&amp;CN52,'Summary-output-SLS'!A:G,6,0)</f>
        <v>1320.1681011424964</v>
      </c>
      <c r="CS52" s="3">
        <f>VLOOKUP(CI52&amp;CN52,'Summary-output-SLS'!A:G,7,0)</f>
        <v>-1332.8449776894051</v>
      </c>
      <c r="CT52" s="20">
        <v>1000</v>
      </c>
      <c r="CU52" s="2">
        <f>VLOOKUP(CI52&amp;CN52,'Summary-output-ULS'!A:G,5,0)</f>
        <v>101</v>
      </c>
      <c r="CV52" s="15">
        <f>VLOOKUP(CI52&amp;CN52,'Summary-output-SLS'!A:G,5,0)</f>
        <v>201</v>
      </c>
      <c r="CW52" s="6"/>
      <c r="CX52" s="278"/>
      <c r="CY52" s="6"/>
      <c r="CZ52" s="6"/>
      <c r="DA52" s="6"/>
      <c r="DB52" s="6"/>
      <c r="DC52" s="6"/>
      <c r="DD52" s="6"/>
      <c r="DE52" s="6"/>
      <c r="DF52" s="6"/>
      <c r="DG52" s="6"/>
      <c r="DH52" s="6"/>
      <c r="DI52" s="6"/>
      <c r="DJ52" s="212"/>
      <c r="DK52" s="13"/>
      <c r="DL52" s="13"/>
      <c r="DM52" s="202"/>
      <c r="DN52" s="206">
        <f>IF(CO52="external",T52,0)</f>
        <v>0</v>
      </c>
      <c r="DO52" s="206">
        <f>IF(CO52="external",W52,0)</f>
        <v>0</v>
      </c>
      <c r="DP52" s="206">
        <f>IF(CO52="external",Z52,0)</f>
        <v>0</v>
      </c>
      <c r="DQ52" s="206">
        <f>IF(CO52="external",AC52,0)</f>
        <v>0</v>
      </c>
      <c r="DR52" s="206">
        <f>IF(CO52="external",AF52,0)</f>
        <v>0</v>
      </c>
      <c r="DS52" s="207">
        <f>IF(CO52="external",AI52,0)</f>
        <v>0</v>
      </c>
      <c r="DT52" s="208"/>
      <c r="DU52" s="207">
        <f>IF(CO52="internal",T52,0)</f>
        <v>20</v>
      </c>
      <c r="DV52" s="207">
        <f>IF(CO52="internal",W52,0)</f>
        <v>0</v>
      </c>
      <c r="DW52" s="207">
        <f>IF(CO52="internal",Z52,0)</f>
        <v>0</v>
      </c>
      <c r="DX52" s="207">
        <f>IF(CO52="internal",AC52,0)</f>
        <v>0</v>
      </c>
      <c r="DY52" s="207">
        <f>IF(CO52="internal",AF52,0)</f>
        <v>0</v>
      </c>
      <c r="DZ52" s="207">
        <f>IF(CO52="internal",AI52,0)</f>
        <v>0</v>
      </c>
    </row>
    <row r="53" spans="1:131" s="7" customFormat="1" x14ac:dyDescent="0.3">
      <c r="B53" s="19">
        <f>+CI53</f>
        <v>86</v>
      </c>
      <c r="C53" s="6">
        <f t="shared" si="52"/>
        <v>0</v>
      </c>
      <c r="D53" s="6">
        <f t="shared" si="53"/>
        <v>106</v>
      </c>
      <c r="E53" s="6" t="str">
        <f t="shared" si="54"/>
        <v>--</v>
      </c>
      <c r="F53" s="6">
        <f>+CM53</f>
        <v>206</v>
      </c>
      <c r="G53" s="174" t="str">
        <f t="shared" si="55"/>
        <v>Min Fx</v>
      </c>
      <c r="H53" s="6" t="str">
        <f t="shared" si="56"/>
        <v>Internal</v>
      </c>
      <c r="I53" s="156"/>
      <c r="J53" s="10">
        <f t="shared" si="57"/>
        <v>1910.903713559308</v>
      </c>
      <c r="K53" s="10">
        <f t="shared" si="58"/>
        <v>-971.82353532044363</v>
      </c>
      <c r="L53" s="10">
        <f t="shared" si="59"/>
        <v>1313.1264191943371</v>
      </c>
      <c r="M53" s="10">
        <f t="shared" si="60"/>
        <v>-901.30013448192119</v>
      </c>
      <c r="N53" s="10">
        <f>IF(I53*J53&gt;=0,J53*$J$19+I53*$J$18,J53)</f>
        <v>1910.903713559308</v>
      </c>
      <c r="O53" s="10">
        <f>(K53)*$J$19</f>
        <v>-971.82353532044363</v>
      </c>
      <c r="P53" s="14">
        <f>IF(I53*L53&gt;=0,(L53)+I53,L53)</f>
        <v>1313.1264191943371</v>
      </c>
      <c r="Q53" s="3">
        <f>(M53)</f>
        <v>-901.30013448192119</v>
      </c>
      <c r="R53" s="20">
        <f t="shared" si="73"/>
        <v>1000</v>
      </c>
      <c r="S53" s="23"/>
      <c r="T53" s="12">
        <v>25</v>
      </c>
      <c r="U53" s="28"/>
      <c r="V53" s="28"/>
      <c r="W53" s="12"/>
      <c r="X53" s="28"/>
      <c r="Y53" s="28"/>
      <c r="Z53" s="12"/>
      <c r="AA53" s="28"/>
      <c r="AB53" s="28"/>
      <c r="AC53" s="158"/>
      <c r="AD53" s="28"/>
      <c r="AE53" s="28"/>
      <c r="AF53" s="158"/>
      <c r="AG53" s="28"/>
      <c r="AH53" s="28"/>
      <c r="AI53" s="29"/>
      <c r="AJ53" s="6">
        <f>PI()/4*T53^2*$O$12/$AX$16</f>
        <v>3272.4923474893681</v>
      </c>
      <c r="AK53" s="28" t="str">
        <f>IF(W53=0,"","+")</f>
        <v/>
      </c>
      <c r="AL53" s="6">
        <f>PI()/4*W53^2*$O$12/$AX$16</f>
        <v>0</v>
      </c>
      <c r="AM53" s="28" t="str">
        <f>IF(Z53=0,"","+")</f>
        <v/>
      </c>
      <c r="AN53" s="6">
        <f>PI()/4*Z53^2*$O$12/$AX$16</f>
        <v>0</v>
      </c>
      <c r="AO53" s="28" t="str">
        <f>IF(AC53=0,"","+")</f>
        <v/>
      </c>
      <c r="AP53" s="6">
        <f>PI()/4*AC53^2*$O$12/$AX$16</f>
        <v>0</v>
      </c>
      <c r="AQ53" s="28" t="str">
        <f>IF(AF53=0,"","+")</f>
        <v/>
      </c>
      <c r="AR53" s="6">
        <f>PI()/4*AF53^2*$O$12/$AX$16</f>
        <v>0</v>
      </c>
      <c r="AS53" s="28" t="str">
        <f>IF(AI53=0,"","+")</f>
        <v/>
      </c>
      <c r="AT53" s="6">
        <f>PI()/4*AI53^2*$O$12/$AX$16</f>
        <v>0</v>
      </c>
      <c r="AU53" s="28" t="s">
        <v>24</v>
      </c>
      <c r="AV53" s="15">
        <f>VALUE(AJ53)+VALUE(AL53)+VALUE(AN53)+VALUE(AP53)+VALUE(AR53)+VALUE(AT53)</f>
        <v>3272.4923474893681</v>
      </c>
      <c r="AW53" s="228">
        <f>MAX(0.3*$AJ$14^(2/3)/$AJ$16*0.26*100,0.13)</f>
        <v>0.15723814702688016</v>
      </c>
      <c r="AX53" s="6">
        <f>AW53/100*$O$12*BK53</f>
        <v>1422.2190398581311</v>
      </c>
      <c r="AY53" s="6"/>
      <c r="AZ53" s="6"/>
      <c r="BA53" s="24" t="str">
        <f>IF(BB53=0,"","+")</f>
        <v/>
      </c>
      <c r="BB53" s="24"/>
      <c r="BC53" s="28" t="s">
        <v>24</v>
      </c>
      <c r="BD53" s="15">
        <f>AX53+AZ53+BB53</f>
        <v>1422.2190398581311</v>
      </c>
      <c r="BE53" s="2">
        <f>(R53-($AX$14+$O$16+T53/2))</f>
        <v>904.5</v>
      </c>
      <c r="BF53" s="3">
        <f>IF(W53=0,0,(R53-($AX$14+T53/2+$O$16+$BI$16)))</f>
        <v>0</v>
      </c>
      <c r="BG53" s="3">
        <f>IF(Z53=0,0,(R53-($AX$14+T53/2+$BI$16+$O$16+$BI$17)))</f>
        <v>0</v>
      </c>
      <c r="BH53" s="3">
        <f>IF(AC53=0,0,(R53-($AX$14+T53/2+$O$16+$BI$16+$BI$17+$BI$18)))</f>
        <v>0</v>
      </c>
      <c r="BI53" s="3">
        <f>IF(AF53=0,0,(R53-($AX$14+T53/2+$O$16+$BI$16+$BI$17+$BI$18+$BL$16)))</f>
        <v>0</v>
      </c>
      <c r="BJ53" s="3">
        <f>IF(AI53=0,0,(R53-($AX$14+T53/2+$O$16+$BI$16+$BI$17+$BI$18+$BL$16+$BL$17)))</f>
        <v>0</v>
      </c>
      <c r="BK53" s="6">
        <f>(BE53*AJ53+BF53*AL53+BG53*AN53+BH53*AP53+BI53*AR53+BJ53*AT53)/AV53</f>
        <v>904.5</v>
      </c>
      <c r="BL53" s="175">
        <f>ABS(N53)*1000000/$O$12/BK53^2</f>
        <v>2.3357247465263304</v>
      </c>
      <c r="BM53" s="175">
        <f>BL53/$AJ$14</f>
        <v>7.2991398328947826E-2</v>
      </c>
      <c r="BN53" s="21">
        <f>IF(BM53&lt;0.167,0.5+SQRT(0.25-(BM53/1.134)),0.82)</f>
        <v>0.93085228041709422</v>
      </c>
      <c r="BO53" s="15">
        <f>ABS(N53)/(0.87*$AJ$16*BN53*BK53)*10^6</f>
        <v>5217.472987170223</v>
      </c>
      <c r="BP53" s="22">
        <v>3817.7875365615128</v>
      </c>
      <c r="BQ53" s="175">
        <f>IF(Q53=0,2*ABS(P53*10^6)/$O$12/BP53/(BK53-BP53/3),Q53*BP53*1000/($O$12/2*BP53^2-(BE53-BP53)*AJ53*$AJ$18-(BF53-BP53)*AL53*$AJ$18-(BG53-BP53)*AN53*$AJ$18-(BH53-BP53)*AP53*$AJ$18-(BI53-BP53)*AR53*$AJ$18-(BJ53-BP53)*AT53*$AJ$18))</f>
        <v>-0.4623633398660747</v>
      </c>
      <c r="BR53" s="3">
        <f>0.5*$O$12*BP53*BQ53 /1000</f>
        <v>-882.60249815182738</v>
      </c>
      <c r="BS53" s="3">
        <f>($BQ53/$BP53)*(BE53-$BP53)*$AJ$18*AJ53/1000</f>
        <v>18.69763633009368</v>
      </c>
      <c r="BT53" s="3">
        <f>($BQ53/$BP53)*(BF53-$BP53)*$AJ$18*AL53/1000</f>
        <v>0</v>
      </c>
      <c r="BU53" s="3">
        <f>($BQ53/$BP53)*(BG53-$BP53)*$AJ$18*AN53/1000</f>
        <v>0</v>
      </c>
      <c r="BV53" s="3">
        <f>($BQ53/$BP53)*(BH53-$BP53)*$AJ$18*AP53/1000</f>
        <v>0</v>
      </c>
      <c r="BW53" s="3">
        <f>($BQ53/$BP53)*(BI53-$BP53)*$AJ$18*AR53/1000</f>
        <v>0</v>
      </c>
      <c r="BX53" s="3">
        <f>($BQ53/$BP53)*(BJ53-$BP53)*$AJ$18*AT53/1000</f>
        <v>0</v>
      </c>
      <c r="BY53" s="175">
        <f>IF(Q53=0,0,(0.5*$O$12*BP53*BQ53/1000*(R53/2-$BP53/3)+BS53*(BE53-R53/2)+BT53*(BF53-R53/2)+BU53*(BG53-R53/2)+BV53*(BH53-R53/2)+BW53*(BI53-R53/2)+BX53*(BJ53-R53/2))/1000-ABS(P53))</f>
        <v>-623.66820198069388</v>
      </c>
      <c r="BZ53" s="10"/>
      <c r="CA53" s="176">
        <f>ABS(P53)/(BK53-BP53/3)/AV53*10^6-Q53*(R53/2-BP53/3)/(BK53-BP53/3)/AV53*1000</f>
        <v>-512.02919735888213</v>
      </c>
      <c r="CB53" s="177">
        <f>(AV53/($O$12*MIN(2.5*(R53-BK53),(R53-BP53)/3,R53/2)-AV53))</f>
        <v>-3.4720114709214786E-3</v>
      </c>
      <c r="CC53" s="177">
        <f>3.4*($O$16+$AX$14)+0.425*0.8*0.5*(T53^2+W53^2+Z53^2+AC53^2+AF53^2+AI53^2)/(T53+W53+Z53+AC53+AF53+AI53)/CB53</f>
        <v>-941.87429687207873</v>
      </c>
      <c r="CD53" s="177">
        <f>MAX(0.6*CA53/$AJ$17,(CA53-0.4*0.3*$AJ$14^(2/3)/CB53*(1+$AJ$17/$AJ$15*CB53))/$AJ$17)</f>
        <v>-0.91626034280712221</v>
      </c>
      <c r="CE53" s="178">
        <f>CC53*CD53/1000</f>
        <v>0.86300206613322805</v>
      </c>
      <c r="CF53" s="23" t="str">
        <f>IF(AND(AV53&gt;=BD53,AV53&gt;=BO53,CE53&lt;=(+IF(CO53="External",0.25,0.3))),"O.K", "Not O.K")</f>
        <v>Not O.K</v>
      </c>
      <c r="CG53" s="28"/>
      <c r="CH53" s="179" t="str">
        <f>IF(O53&lt;0.2*$AJ$14*R53*$O$12/1000,"N &lt; 0.2fckAc - OK!","TBA")</f>
        <v>N &lt; 0.2fckAc - OK!</v>
      </c>
      <c r="CI53" s="24">
        <v>86</v>
      </c>
      <c r="CJ53" s="25"/>
      <c r="CK53" s="6">
        <f t="shared" si="50"/>
        <v>106</v>
      </c>
      <c r="CL53" s="8" t="s">
        <v>72</v>
      </c>
      <c r="CM53" s="6">
        <f t="shared" si="51"/>
        <v>206</v>
      </c>
      <c r="CN53" s="26" t="s">
        <v>146</v>
      </c>
      <c r="CO53" s="15" t="str">
        <f>IF(VLOOKUP(CI53,'Summary-input'!A:C,3,0)="Outward",
IF(CP53&lt;0,"External","Internal"),
IF(CP53&lt;0,"Internal","External")
)</f>
        <v>Internal</v>
      </c>
      <c r="CP53">
        <f>VLOOKUP(CI53&amp;CN53,'Summary-output-ULS'!A:G,6,0)</f>
        <v>1910.903713559308</v>
      </c>
      <c r="CQ53">
        <f>VLOOKUP(CI53&amp;CN53,'Summary-output-ULS'!A:G,7,0)</f>
        <v>-971.82353532044363</v>
      </c>
      <c r="CR53" s="3">
        <f>VLOOKUP(CI53&amp;CN53,'Summary-output-SLS'!A:G,6,0)</f>
        <v>1313.1264191943371</v>
      </c>
      <c r="CS53" s="3">
        <f>VLOOKUP(CI53&amp;CN53,'Summary-output-SLS'!A:G,7,0)</f>
        <v>-901.30013448192119</v>
      </c>
      <c r="CT53" s="20">
        <v>1000</v>
      </c>
      <c r="CU53" s="2">
        <f>VLOOKUP(CI53&amp;CN53,'Summary-output-ULS'!A:G,5,0)</f>
        <v>106</v>
      </c>
      <c r="CV53" s="15">
        <f>VLOOKUP(CI53&amp;CN53,'Summary-output-SLS'!A:G,5,0)</f>
        <v>206</v>
      </c>
      <c r="CW53" s="6"/>
      <c r="CX53" s="278"/>
      <c r="CY53" s="6"/>
      <c r="CZ53" s="6"/>
      <c r="DA53" s="6"/>
      <c r="DB53" s="6"/>
      <c r="DC53" s="6"/>
      <c r="DD53" s="6"/>
      <c r="DE53" s="6"/>
      <c r="DF53" s="6"/>
      <c r="DG53" s="6"/>
      <c r="DH53" s="6"/>
      <c r="DI53" s="6"/>
      <c r="DJ53" s="212"/>
      <c r="DK53" s="13"/>
      <c r="DL53" s="13"/>
      <c r="DM53" s="202"/>
      <c r="DN53" s="206">
        <f>IF(CO53="external",T53,0)</f>
        <v>0</v>
      </c>
      <c r="DO53" s="206">
        <f>IF(CO53="external",W53,0)</f>
        <v>0</v>
      </c>
      <c r="DP53" s="206">
        <f>IF(CO53="external",Z53,0)</f>
        <v>0</v>
      </c>
      <c r="DQ53" s="206">
        <f>IF(CO53="external",AC53,0)</f>
        <v>0</v>
      </c>
      <c r="DR53" s="206">
        <f>IF(CO53="external",AF53,0)</f>
        <v>0</v>
      </c>
      <c r="DS53" s="207">
        <f>IF(CO53="external",AI53,0)</f>
        <v>0</v>
      </c>
      <c r="DT53" s="208"/>
      <c r="DU53" s="207">
        <f>IF(CO53="internal",T53,0)</f>
        <v>25</v>
      </c>
      <c r="DV53" s="207">
        <f>IF(CO53="internal",W53,0)</f>
        <v>0</v>
      </c>
      <c r="DW53" s="207">
        <f>IF(CO53="internal",Z53,0)</f>
        <v>0</v>
      </c>
      <c r="DX53" s="207">
        <f>IF(CO53="internal",AC53,0)</f>
        <v>0</v>
      </c>
      <c r="DY53" s="207">
        <f>IF(CO53="internal",AF53,0)</f>
        <v>0</v>
      </c>
      <c r="DZ53" s="207">
        <f>IF(CO53="internal",AI53,0)</f>
        <v>0</v>
      </c>
    </row>
    <row r="54" spans="1:131" s="7" customFormat="1" x14ac:dyDescent="0.3">
      <c r="B54" s="242"/>
      <c r="C54" s="238"/>
      <c r="D54" s="237"/>
      <c r="E54" s="238"/>
      <c r="F54" s="238"/>
      <c r="G54" s="239"/>
      <c r="H54" s="67"/>
      <c r="I54" s="67"/>
      <c r="J54" s="67"/>
      <c r="K54" s="67"/>
      <c r="L54" s="67"/>
      <c r="M54" s="67"/>
      <c r="N54" s="67"/>
      <c r="O54" s="67"/>
      <c r="P54" s="67"/>
      <c r="Q54" s="67"/>
      <c r="R54" s="67"/>
      <c r="S54" s="67"/>
      <c r="T54" s="240"/>
      <c r="U54" s="67"/>
      <c r="V54" s="67"/>
      <c r="W54" s="240"/>
      <c r="X54" s="67"/>
      <c r="Y54" s="67"/>
      <c r="Z54" s="67"/>
      <c r="AA54" s="67"/>
      <c r="AB54" s="67"/>
      <c r="AC54" s="67"/>
      <c r="AD54" s="67"/>
      <c r="AE54" s="67"/>
      <c r="AF54" s="67"/>
      <c r="AG54" s="67"/>
      <c r="AH54" s="67"/>
      <c r="AI54" s="241"/>
      <c r="AJ54" s="67"/>
      <c r="AK54" s="67"/>
      <c r="AL54" s="67"/>
      <c r="AM54" s="67"/>
      <c r="AN54" s="67"/>
      <c r="AO54" s="67"/>
      <c r="AP54" s="67"/>
      <c r="AQ54" s="67"/>
      <c r="AR54" s="67"/>
      <c r="AS54" s="67"/>
      <c r="AT54" s="67"/>
      <c r="AU54" s="67"/>
      <c r="AV54" s="67"/>
      <c r="AW54" s="67"/>
      <c r="AX54" s="67"/>
      <c r="AY54" s="67"/>
      <c r="AZ54" s="67"/>
      <c r="BA54" s="67"/>
      <c r="BB54" s="67"/>
      <c r="BC54" s="67"/>
      <c r="BD54" s="67"/>
      <c r="BE54" s="67"/>
      <c r="BF54" s="67"/>
      <c r="BG54" s="67"/>
      <c r="BH54" s="67"/>
      <c r="BI54" s="67"/>
      <c r="BJ54" s="67"/>
      <c r="BK54" s="67"/>
      <c r="BL54" s="67"/>
      <c r="BM54" s="67"/>
      <c r="BN54" s="67"/>
      <c r="BO54" s="67"/>
      <c r="BP54" s="67"/>
      <c r="BQ54" s="67"/>
      <c r="BR54" s="67"/>
      <c r="BS54" s="67"/>
      <c r="BT54" s="67"/>
      <c r="BU54" s="67"/>
      <c r="BV54" s="67"/>
      <c r="BW54" s="67"/>
      <c r="BX54" s="67"/>
      <c r="BY54" s="67"/>
      <c r="BZ54" s="67"/>
      <c r="CA54" s="67"/>
      <c r="CB54" s="67"/>
      <c r="CC54" s="67"/>
      <c r="CD54" s="67"/>
      <c r="CE54" s="67"/>
      <c r="CH54" s="243"/>
      <c r="CI54" s="6"/>
      <c r="CJ54" s="37"/>
      <c r="CK54" s="6" t="e">
        <f t="shared" si="35"/>
        <v>#N/A</v>
      </c>
      <c r="CL54" s="8" t="s">
        <v>72</v>
      </c>
      <c r="CM54" s="6" t="e">
        <f t="shared" si="36"/>
        <v>#N/A</v>
      </c>
      <c r="CN54" s="39"/>
      <c r="CO54" s="15" t="e">
        <f>IF(VLOOKUP(CI54,'Summary-input'!A:C,3,0)="Outward",
IF(CP54&lt;0,"External","Internal"),
IF(CP54&lt;0,"Internal","External")
)</f>
        <v>#N/A</v>
      </c>
      <c r="CP54" t="e">
        <f>VLOOKUP(CI54&amp;CN54,'Summary-output-ULS'!A:G,6,0)</f>
        <v>#N/A</v>
      </c>
      <c r="CQ54" t="e">
        <f>VLOOKUP(CI54&amp;CN54,'Summary-output-ULS'!A:G,7,0)</f>
        <v>#N/A</v>
      </c>
      <c r="CR54" s="3" t="e">
        <f>VLOOKUP(CI54&amp;CN54,'Summary-output-SLS'!A:G,6,0)</f>
        <v>#N/A</v>
      </c>
      <c r="CS54" s="3" t="e">
        <f>VLOOKUP(CI54&amp;CN54,'Summary-output-SLS'!A:G,7,0)</f>
        <v>#N/A</v>
      </c>
      <c r="CU54" s="2" t="e">
        <f>VLOOKUP(CI54&amp;CN54,'Summary-output-ULS'!A:G,5,0)</f>
        <v>#N/A</v>
      </c>
      <c r="CV54" s="15" t="e">
        <f>VLOOKUP(CI54&amp;CN54,'Summary-output-SLS'!A:G,5,0)</f>
        <v>#N/A</v>
      </c>
      <c r="CW54" s="28"/>
      <c r="CX54" s="280"/>
      <c r="CY54" s="185"/>
      <c r="CZ54" s="185"/>
      <c r="DA54" s="185"/>
      <c r="DB54" s="185"/>
      <c r="DC54" s="185"/>
      <c r="DD54" s="185"/>
      <c r="DE54" s="185"/>
      <c r="DF54" s="185"/>
      <c r="DG54" s="185"/>
      <c r="DH54" s="185"/>
      <c r="DI54" s="185"/>
      <c r="DJ54" s="209"/>
      <c r="DK54" s="185"/>
      <c r="DL54" s="185"/>
      <c r="DM54" s="186"/>
      <c r="DN54" s="187"/>
      <c r="DO54" s="187"/>
      <c r="DP54" s="187"/>
      <c r="DQ54" s="187"/>
      <c r="DR54" s="187"/>
      <c r="DS54" s="187"/>
      <c r="DT54" s="188"/>
      <c r="DU54" s="187"/>
      <c r="DV54" s="187"/>
      <c r="DW54" s="187"/>
      <c r="DX54" s="187"/>
      <c r="DY54" s="187"/>
      <c r="DZ54" s="187"/>
      <c r="EA54" s="185"/>
    </row>
    <row r="55" spans="1:131" s="7" customFormat="1" ht="13.8" x14ac:dyDescent="0.25">
      <c r="A55" s="7" t="s">
        <v>141</v>
      </c>
      <c r="B55" s="19">
        <f>+CI55</f>
        <v>87</v>
      </c>
      <c r="C55" s="6">
        <f t="shared" ref="C55:E58" si="74">CJ55</f>
        <v>0</v>
      </c>
      <c r="D55" s="6">
        <f t="shared" si="74"/>
        <v>103</v>
      </c>
      <c r="E55" s="6" t="str">
        <f t="shared" si="74"/>
        <v>--</v>
      </c>
      <c r="F55" s="6">
        <f>+CM55</f>
        <v>203</v>
      </c>
      <c r="G55" s="174" t="str">
        <f t="shared" ref="G55:H58" si="75">CN55</f>
        <v>Max Mz</v>
      </c>
      <c r="H55" s="6" t="str">
        <f t="shared" si="75"/>
        <v>Internal</v>
      </c>
      <c r="I55" s="156"/>
      <c r="J55" s="10">
        <f t="shared" ref="J55:M58" si="76">(CP55)</f>
        <v>1976.3112085651403</v>
      </c>
      <c r="K55" s="10">
        <f t="shared" si="76"/>
        <v>-1721.9094140407578</v>
      </c>
      <c r="L55" s="10">
        <f t="shared" si="76"/>
        <v>1452.1662626303626</v>
      </c>
      <c r="M55" s="10">
        <f t="shared" si="76"/>
        <v>-1262.8320246037945</v>
      </c>
      <c r="N55" s="10">
        <f>IF(I55*J55&gt;=0,J55*$J$19+I55*$J$18,J55)</f>
        <v>1976.3112085651403</v>
      </c>
      <c r="O55" s="10">
        <f>(K55)*$J$19</f>
        <v>-1721.9094140407578</v>
      </c>
      <c r="P55" s="14">
        <f>IF(I55*L55&gt;=0,(L55)+I55,L55)</f>
        <v>1452.1662626303626</v>
      </c>
      <c r="Q55" s="3">
        <f>(M55)</f>
        <v>-1262.8320246037945</v>
      </c>
      <c r="R55" s="20">
        <f>CT55</f>
        <v>1000</v>
      </c>
      <c r="S55" s="23"/>
      <c r="T55" s="12">
        <v>40</v>
      </c>
      <c r="U55" s="28"/>
      <c r="V55" s="28"/>
      <c r="W55" s="12">
        <v>40</v>
      </c>
      <c r="X55" s="28"/>
      <c r="Y55" s="28"/>
      <c r="Z55" s="12">
        <v>40</v>
      </c>
      <c r="AA55" s="28"/>
      <c r="AB55" s="28"/>
      <c r="AC55" s="158"/>
      <c r="AD55" s="28"/>
      <c r="AE55" s="28"/>
      <c r="AF55" s="158"/>
      <c r="AG55" s="28"/>
      <c r="AH55" s="28"/>
      <c r="AI55" s="29"/>
      <c r="AJ55" s="6">
        <f>PI()/4*T55^2*$O$12/$AX$16</f>
        <v>8377.5804095727817</v>
      </c>
      <c r="AK55" s="28" t="str">
        <f>IF(W55=0,"","+")</f>
        <v>+</v>
      </c>
      <c r="AL55" s="6">
        <f>PI()/4*W55^2*$O$12/$AX$16</f>
        <v>8377.5804095727817</v>
      </c>
      <c r="AM55" s="28" t="str">
        <f>IF(Z55=0,"","+")</f>
        <v>+</v>
      </c>
      <c r="AN55" s="6">
        <f>PI()/4*Z55^2*$O$12/$AX$16</f>
        <v>8377.5804095727817</v>
      </c>
      <c r="AO55" s="28" t="str">
        <f>IF(AC55=0,"","+")</f>
        <v/>
      </c>
      <c r="AP55" s="6">
        <f>PI()/4*AC55^2*$O$12/$AX$16</f>
        <v>0</v>
      </c>
      <c r="AQ55" s="28" t="str">
        <f>IF(AF55=0,"","+")</f>
        <v/>
      </c>
      <c r="AR55" s="6">
        <f>PI()/4*AF55^2*$O$12/$AX$16</f>
        <v>0</v>
      </c>
      <c r="AS55" s="28" t="str">
        <f>IF(AI55=0,"","+")</f>
        <v/>
      </c>
      <c r="AT55" s="6">
        <f>PI()/4*AI55^2*$O$12/$AX$16</f>
        <v>0</v>
      </c>
      <c r="AU55" s="28" t="s">
        <v>24</v>
      </c>
      <c r="AV55" s="15">
        <f>VALUE(AJ55)+VALUE(AL55)+VALUE(AN55)+VALUE(AP55)+VALUE(AR55)+VALUE(AT55)</f>
        <v>25132.741228718347</v>
      </c>
      <c r="AW55" s="228">
        <f>MAX(0.3*$AJ$14^(2/3)/$AJ$16*0.26*100,0.13)</f>
        <v>0.15723814702688016</v>
      </c>
      <c r="AX55" s="6">
        <f>AW55/100*$O$12*BK55</f>
        <v>1284.6356612096108</v>
      </c>
      <c r="AY55" s="6"/>
      <c r="AZ55" s="6"/>
      <c r="BA55" s="24" t="str">
        <f>IF(BB55=0,"","+")</f>
        <v/>
      </c>
      <c r="BB55" s="24"/>
      <c r="BC55" s="28" t="s">
        <v>24</v>
      </c>
      <c r="BD55" s="15">
        <f>AX55+AZ55+BB55</f>
        <v>1284.6356612096108</v>
      </c>
      <c r="BE55" s="2">
        <f>(R55-($AX$14+$O$16+T55/2))</f>
        <v>897</v>
      </c>
      <c r="BF55" s="3">
        <f>IF(W55=0,0,(R55-($AX$14+T55/2+$O$16+$BI$16)))</f>
        <v>817</v>
      </c>
      <c r="BG55" s="3">
        <f>IF(Z55=0,0,(R55-($AX$14+T55/2+$BI$16+$O$16+$BI$17)))</f>
        <v>737</v>
      </c>
      <c r="BH55" s="3">
        <f>IF(AC55=0,0,(R55-($AX$14+T55/2+$O$16+$BI$16+$BI$17+$BI$18)))</f>
        <v>0</v>
      </c>
      <c r="BI55" s="3">
        <f>IF(AF55=0,0,(R55-($AX$14+T55/2+$O$16+$BI$16+$BI$17+$BI$18+$BL$16)))</f>
        <v>0</v>
      </c>
      <c r="BJ55" s="3">
        <f>IF(AI55=0,0,(R55-($AX$14+T55/2+$O$16+$BI$16+$BI$17+$BI$18+$BL$16+$BL$17)))</f>
        <v>0</v>
      </c>
      <c r="BK55" s="6">
        <f>(BE55*AJ55+BF55*AL55+BG55*AN55+BH55*AP55+BI55*AR55+BJ55*AT55)/AV55</f>
        <v>816.99999999999989</v>
      </c>
      <c r="BL55" s="175">
        <f>ABS(N55)*1000000/$O$12/BK55^2</f>
        <v>2.9608146479794288</v>
      </c>
      <c r="BM55" s="175">
        <f>BL55/$AJ$14</f>
        <v>9.2525457749357151E-2</v>
      </c>
      <c r="BN55" s="21">
        <f>IF(BM55&lt;0.167,0.5+SQRT(0.25-(BM55/1.134)),0.82)</f>
        <v>0.91037529845566656</v>
      </c>
      <c r="BO55" s="15">
        <f>ABS(N55)/(0.87*$AJ$16*BN55*BK55)*10^6</f>
        <v>6108.344955394271</v>
      </c>
      <c r="BP55" s="22">
        <v>-857.46632844177884</v>
      </c>
      <c r="BQ55" s="175">
        <f>IF(Q55=0,2*ABS(P55*10^6)/$O$12/BP55/(BK55-BP55/3),Q55*BP55*1000/($O$12/2*BP55^2-(BE55-BP55)*AJ55*$AJ$18-(BF55-BP55)*AL55*$AJ$18-(BG55-BP55)*AN55*$AJ$18-(BH55-BP55)*AP55*$AJ$18-(BI55-BP55)*AR55*$AJ$18-(BJ55-BP55)*AT55*$AJ$18))</f>
        <v>-3.4498268828325882</v>
      </c>
      <c r="BR55" s="3">
        <f>0.5*$O$12*BP55*BQ55 /1000</f>
        <v>1479.0551954911032</v>
      </c>
      <c r="BS55" s="3">
        <f>($BQ55/$BP55)*(BE55-$BP55)*$AJ$18*AJ55/1000</f>
        <v>957.62825491150568</v>
      </c>
      <c r="BT55" s="3">
        <f>($BQ55/$BP55)*(BF55-$BP55)*$AJ$18*AL55/1000</f>
        <v>913.96240669829911</v>
      </c>
      <c r="BU55" s="3">
        <f>($BQ55/$BP55)*(BG55-$BP55)*$AJ$18*AN55/1000</f>
        <v>870.29655848509265</v>
      </c>
      <c r="BV55" s="3">
        <f>($BQ55/$BP55)*(BH55-$BP55)*$AJ$18*AP55/1000</f>
        <v>0</v>
      </c>
      <c r="BW55" s="3">
        <f>($BQ55/$BP55)*(BI55-$BP55)*$AJ$18*AR55/1000</f>
        <v>0</v>
      </c>
      <c r="BX55" s="3">
        <f>($BQ55/$BP55)*(BJ55-$BP55)*$AJ$18*AT55/1000</f>
        <v>0</v>
      </c>
      <c r="BY55" s="175">
        <f>IF(Q55=0,0,(0.5*$O$12*BP55*BQ55/1000*(R55/2-$BP55/3)+BS55*(BE55-R55/2)+BT55*(BF55-R55/2)+BU55*(BG55-R55/2)+BV55*(BH55-R55/2)+BW55*(BI55-R55/2)+BX55*(BJ55-R55/2))/1000-ABS(P55))</f>
        <v>586.27279561288242</v>
      </c>
      <c r="BZ55" s="10"/>
      <c r="CA55" s="176">
        <f>ABS(P55)/(BK55-BP55/3)/AV55*10^6-Q55*(R55/2-BP55/3)/(BK55-BP55/3)/AV55*1000</f>
        <v>88.196148279460132</v>
      </c>
      <c r="CB55" s="177">
        <f>(AV55/($O$12*MIN(2.5*(R55-BK55),(R55-BP55)/3,R55/2)-AV55))</f>
        <v>5.8128224834002346E-2</v>
      </c>
      <c r="CC55" s="177">
        <f>3.4*($O$16+$AX$14)+0.425*0.8*0.5*(T55^2+W55^2+Z55^2+AC55^2+AF55^2+AI55^2)/(T55+W55+Z55+AC55+AF55+AI55)/CB55</f>
        <v>399.18275698972167</v>
      </c>
      <c r="CD55" s="177">
        <f>MAX(0.6*CA55/$AJ$17,(CA55-0.4*0.3*$AJ$14^(2/3)/CB55*(1+$AJ$17/$AJ$15*CB55))/$AJ$17)</f>
        <v>0.2645884448383804</v>
      </c>
      <c r="CE55" s="178">
        <f>CC55*CD55/1000</f>
        <v>0.10561914487820757</v>
      </c>
      <c r="CF55" s="23" t="str">
        <f>IF(AND(AV55&gt;=BD55,AV55&gt;=BO55,CE55&lt;=(+IF(CO55="External",0.25,0.3))),"O.K", "Not O.K")</f>
        <v>O.K</v>
      </c>
      <c r="CG55" s="28"/>
      <c r="CH55" s="179" t="str">
        <f>IF(O55&lt;0.2*$AJ$14*R55*$O$12/1000,"N &lt; 0.2fckAc - OK!","TBA")</f>
        <v>N &lt; 0.2fckAc - OK!</v>
      </c>
      <c r="CI55" s="24">
        <v>87</v>
      </c>
      <c r="CJ55" s="25"/>
      <c r="CK55" s="6">
        <f t="shared" si="35"/>
        <v>103</v>
      </c>
      <c r="CL55" s="8" t="s">
        <v>72</v>
      </c>
      <c r="CM55" s="6">
        <f t="shared" si="36"/>
        <v>203</v>
      </c>
      <c r="CN55" s="26" t="s">
        <v>147</v>
      </c>
      <c r="CO55" s="15" t="str">
        <f>IF(VLOOKUP(CI55,'Summary-input'!A:C,3,0)="Outward",
IF(CP55&lt;0,"External","Internal"),
IF(CP55&lt;0,"Internal","External")
)</f>
        <v>Internal</v>
      </c>
      <c r="CP55">
        <f>VLOOKUP(CI55&amp;CN55,'Summary-output-ULS'!A:G,6,0)</f>
        <v>1976.3112085651403</v>
      </c>
      <c r="CQ55">
        <f>VLOOKUP(CI55&amp;CN55,'Summary-output-ULS'!A:G,7,0)</f>
        <v>-1721.9094140407578</v>
      </c>
      <c r="CR55" s="3">
        <f>VLOOKUP(CI55&amp;CN55,'Summary-output-SLS'!A:G,6,0)</f>
        <v>1452.1662626303626</v>
      </c>
      <c r="CS55" s="3">
        <f>VLOOKUP(CI55&amp;CN55,'Summary-output-SLS'!A:G,7,0)</f>
        <v>-1262.8320246037945</v>
      </c>
      <c r="CT55" s="20">
        <v>1000</v>
      </c>
      <c r="CU55" s="2">
        <f>VLOOKUP(CI55&amp;CN55,'Summary-output-ULS'!A:G,5,0)</f>
        <v>103</v>
      </c>
      <c r="CV55" s="15">
        <f>VLOOKUP(CI55&amp;CN55,'Summary-output-SLS'!A:G,5,0)</f>
        <v>203</v>
      </c>
      <c r="CW55" s="6"/>
      <c r="CX55" s="278">
        <f>CI55</f>
        <v>87</v>
      </c>
      <c r="CY55" s="6">
        <f t="shared" ref="CY55:DD55" si="77">MAX(DN55:DN58)</f>
        <v>0</v>
      </c>
      <c r="CZ55" s="6">
        <f t="shared" si="77"/>
        <v>0</v>
      </c>
      <c r="DA55" s="6">
        <f t="shared" si="77"/>
        <v>0</v>
      </c>
      <c r="DB55" s="6">
        <f t="shared" si="77"/>
        <v>0</v>
      </c>
      <c r="DC55" s="6">
        <f t="shared" si="77"/>
        <v>0</v>
      </c>
      <c r="DD55" s="6">
        <f t="shared" si="77"/>
        <v>0</v>
      </c>
      <c r="DE55" s="6"/>
      <c r="DF55" s="6">
        <f t="shared" ref="DF55:DK55" si="78">MAX(DU55:DU58)</f>
        <v>40</v>
      </c>
      <c r="DG55" s="6">
        <f t="shared" si="78"/>
        <v>40</v>
      </c>
      <c r="DH55" s="6">
        <f t="shared" si="78"/>
        <v>40</v>
      </c>
      <c r="DI55" s="6">
        <f t="shared" si="78"/>
        <v>0</v>
      </c>
      <c r="DJ55" s="6">
        <f t="shared" si="78"/>
        <v>0</v>
      </c>
      <c r="DK55" s="6">
        <f t="shared" si="78"/>
        <v>0</v>
      </c>
      <c r="DL55" s="13"/>
      <c r="DM55" s="202">
        <f>CI55</f>
        <v>87</v>
      </c>
      <c r="DN55" s="206">
        <f>IF(CO55="external",T55,0)</f>
        <v>0</v>
      </c>
      <c r="DO55" s="206">
        <f>IF(CO55="external",W55,0)</f>
        <v>0</v>
      </c>
      <c r="DP55" s="206">
        <f>IF(CO55="external",Z55,0)</f>
        <v>0</v>
      </c>
      <c r="DQ55" s="206">
        <f>IF(CO55="external",AC55,0)</f>
        <v>0</v>
      </c>
      <c r="DR55" s="206">
        <f>IF(CO55="external",AF55,0)</f>
        <v>0</v>
      </c>
      <c r="DS55" s="207">
        <f>IF(CO55="external",AI55,0)</f>
        <v>0</v>
      </c>
      <c r="DT55" s="208"/>
      <c r="DU55" s="207">
        <f>IF(CO55="internal",T55,0)</f>
        <v>40</v>
      </c>
      <c r="DV55" s="207">
        <f>IF(CO55="internal",W55,0)</f>
        <v>40</v>
      </c>
      <c r="DW55" s="207">
        <f>IF(CO55="internal",Z55,0)</f>
        <v>40</v>
      </c>
      <c r="DX55" s="207">
        <f>IF(CO55="internal",AC55,0)</f>
        <v>0</v>
      </c>
      <c r="DY55" s="207">
        <f>IF(CO55="internal",AF55,0)</f>
        <v>0</v>
      </c>
      <c r="DZ55" s="207">
        <f>IF(CO55="internal",AI55,0)</f>
        <v>0</v>
      </c>
    </row>
    <row r="56" spans="1:131" s="7" customFormat="1" x14ac:dyDescent="0.3">
      <c r="B56" s="19">
        <f>+CI56</f>
        <v>87</v>
      </c>
      <c r="C56" s="6">
        <f t="shared" si="74"/>
        <v>0</v>
      </c>
      <c r="D56" s="6">
        <f t="shared" si="74"/>
        <v>104</v>
      </c>
      <c r="E56" s="6" t="str">
        <f t="shared" si="74"/>
        <v>--</v>
      </c>
      <c r="F56" s="6">
        <f>+CM56</f>
        <v>204</v>
      </c>
      <c r="G56" s="174" t="str">
        <f t="shared" si="75"/>
        <v>Min Mz</v>
      </c>
      <c r="H56" s="6" t="str">
        <f t="shared" si="75"/>
        <v>Internal</v>
      </c>
      <c r="I56" s="156"/>
      <c r="J56" s="10">
        <f t="shared" si="76"/>
        <v>62.757606608117158</v>
      </c>
      <c r="K56" s="10">
        <f t="shared" si="76"/>
        <v>-1651.1103264628898</v>
      </c>
      <c r="L56" s="10">
        <f t="shared" si="76"/>
        <v>235.96897035063634</v>
      </c>
      <c r="M56" s="10">
        <f t="shared" si="76"/>
        <v>-1220.9302575747474</v>
      </c>
      <c r="N56" s="10">
        <f>IF(I56*J56&gt;=0,J56*$J$19+I56*$J$18,J56)</f>
        <v>62.757606608117158</v>
      </c>
      <c r="O56" s="10">
        <f>(K56)*$J$19</f>
        <v>-1651.1103264628898</v>
      </c>
      <c r="P56" s="14">
        <f>IF(I56*L56&gt;=0,(L56)+I56,L56)</f>
        <v>235.96897035063634</v>
      </c>
      <c r="Q56" s="3">
        <f>(M56)</f>
        <v>-1220.9302575747474</v>
      </c>
      <c r="R56" s="20">
        <f t="shared" ref="R56:R63" si="79">CT56</f>
        <v>1000</v>
      </c>
      <c r="S56" s="23"/>
      <c r="T56" s="12">
        <v>20</v>
      </c>
      <c r="U56" s="28"/>
      <c r="V56" s="28"/>
      <c r="W56" s="12"/>
      <c r="X56" s="28"/>
      <c r="Y56" s="28"/>
      <c r="Z56" s="12"/>
      <c r="AA56" s="28"/>
      <c r="AB56" s="28"/>
      <c r="AC56" s="158"/>
      <c r="AD56" s="28"/>
      <c r="AE56" s="28"/>
      <c r="AF56" s="158"/>
      <c r="AG56" s="28"/>
      <c r="AH56" s="28"/>
      <c r="AI56" s="29"/>
      <c r="AJ56" s="6">
        <f>PI()/4*T56^2*$O$12/$AX$16</f>
        <v>2094.3951023931954</v>
      </c>
      <c r="AK56" s="28" t="str">
        <f>IF(W56=0,"","+")</f>
        <v/>
      </c>
      <c r="AL56" s="6">
        <f>PI()/4*W56^2*$O$12/$AX$16</f>
        <v>0</v>
      </c>
      <c r="AM56" s="28" t="str">
        <f>IF(Z56=0,"","+")</f>
        <v/>
      </c>
      <c r="AN56" s="6">
        <f>PI()/4*Z56^2*$O$12/$AX$16</f>
        <v>0</v>
      </c>
      <c r="AO56" s="28" t="str">
        <f>IF(AC56=0,"","+")</f>
        <v/>
      </c>
      <c r="AP56" s="6">
        <f>PI()/4*AC56^2*$O$12/$AX$16</f>
        <v>0</v>
      </c>
      <c r="AQ56" s="28" t="str">
        <f>IF(AF56=0,"","+")</f>
        <v/>
      </c>
      <c r="AR56" s="6">
        <f>PI()/4*AF56^2*$O$12/$AX$16</f>
        <v>0</v>
      </c>
      <c r="AS56" s="28" t="str">
        <f>IF(AI56=0,"","+")</f>
        <v/>
      </c>
      <c r="AT56" s="6">
        <f>PI()/4*AI56^2*$O$12/$AX$16</f>
        <v>0</v>
      </c>
      <c r="AU56" s="28" t="s">
        <v>24</v>
      </c>
      <c r="AV56" s="15">
        <f>VALUE(AJ56)+VALUE(AL56)+VALUE(AN56)+VALUE(AP56)+VALUE(AR56)+VALUE(AT56)</f>
        <v>2094.3951023931954</v>
      </c>
      <c r="AW56" s="228">
        <f>MAX(0.3*$AJ$14^(2/3)/$AJ$16*0.26*100,0.13)</f>
        <v>0.15723814702688016</v>
      </c>
      <c r="AX56" s="6">
        <f>AW56/100*$O$12*BK56</f>
        <v>1426.1499935338031</v>
      </c>
      <c r="AY56" s="6"/>
      <c r="AZ56" s="6"/>
      <c r="BA56" s="24" t="str">
        <f>IF(BB56=0,"","+")</f>
        <v/>
      </c>
      <c r="BB56" s="24"/>
      <c r="BC56" s="28" t="s">
        <v>24</v>
      </c>
      <c r="BD56" s="15">
        <f>AX56+AZ56+BB56</f>
        <v>1426.1499935338031</v>
      </c>
      <c r="BE56" s="2">
        <f>(R56-($AX$14+$O$16+T56/2))</f>
        <v>907</v>
      </c>
      <c r="BF56" s="3">
        <f>IF(W56=0,0,(R56-($AX$14+T56/2+$O$16+$BI$16)))</f>
        <v>0</v>
      </c>
      <c r="BG56" s="3">
        <f>IF(Z56=0,0,(R56-($AX$14+T56/2+$BI$16+$O$16+$BI$17)))</f>
        <v>0</v>
      </c>
      <c r="BH56" s="3">
        <f>IF(AC56=0,0,(R56-($AX$14+T56/2+$O$16+$BI$16+$BI$17+$BI$18)))</f>
        <v>0</v>
      </c>
      <c r="BI56" s="3">
        <f>IF(AF56=0,0,(R56-($AX$14+T56/2+$O$16+$BI$16+$BI$17+$BI$18+$BL$16)))</f>
        <v>0</v>
      </c>
      <c r="BJ56" s="3">
        <f>IF(AI56=0,0,(R56-($AX$14+T56/2+$O$16+$BI$16+$BI$17+$BI$18+$BL$16+$BL$17)))</f>
        <v>0</v>
      </c>
      <c r="BK56" s="6">
        <f>(BE56*AJ56+BF56*AL56+BG56*AN56+BH56*AP56+BI56*AR56+BJ56*AT56)/AV56</f>
        <v>907</v>
      </c>
      <c r="BL56" s="175">
        <f>ABS(N56)*1000000/$O$12/BK56^2</f>
        <v>7.6287221656036977E-2</v>
      </c>
      <c r="BM56" s="175">
        <f>BL56/$AJ$14</f>
        <v>2.3839756767511555E-3</v>
      </c>
      <c r="BN56" s="21">
        <f>IF(BM56&lt;0.167,0.5+SQRT(0.25-(BM56/1.134)),0.82)</f>
        <v>0.99789329045500663</v>
      </c>
      <c r="BO56" s="15">
        <f>ABS(N56)/(0.87*$AJ$16*BN56*BK56)*10^6</f>
        <v>159.39904897385685</v>
      </c>
      <c r="BP56" s="22">
        <v>1538.654937785029</v>
      </c>
      <c r="BQ56" s="175">
        <f>IF(Q56=0,2*ABS(P56*10^6)/$O$12/BP56/(BK56-BP56/3),Q56*BP56*1000/($O$12/2*BP56^2-(BE56-BP56)*AJ56*$AJ$18-(BF56-BP56)*AL56*$AJ$18-(BG56-BP56)*AN56*$AJ$18-(BH56-BP56)*AP56*$AJ$18-(BI56-BP56)*AR56*$AJ$18-(BJ56-BP56)*AT56*$AJ$18))</f>
        <v>-1.5587981493546805</v>
      </c>
      <c r="BR56" s="3">
        <f>0.5*$O$12*BP56*BQ56 /1000</f>
        <v>-1199.2262347573721</v>
      </c>
      <c r="BS56" s="3">
        <f>($BQ56/$BP56)*(BE56-$BP56)*$AJ$18*AJ56/1000</f>
        <v>21.704022817375201</v>
      </c>
      <c r="BT56" s="3">
        <f>($BQ56/$BP56)*(BF56-$BP56)*$AJ$18*AL56/1000</f>
        <v>0</v>
      </c>
      <c r="BU56" s="3">
        <f>($BQ56/$BP56)*(BG56-$BP56)*$AJ$18*AN56/1000</f>
        <v>0</v>
      </c>
      <c r="BV56" s="3">
        <f>($BQ56/$BP56)*(BH56-$BP56)*$AJ$18*AP56/1000</f>
        <v>0</v>
      </c>
      <c r="BW56" s="3">
        <f>($BQ56/$BP56)*(BI56-$BP56)*$AJ$18*AR56/1000</f>
        <v>0</v>
      </c>
      <c r="BX56" s="3">
        <f>($BQ56/$BP56)*(BJ56-$BP56)*$AJ$18*AT56/1000</f>
        <v>0</v>
      </c>
      <c r="BY56" s="175">
        <f>IF(Q56=0,0,(0.5*$O$12*BP56*BQ56/1000*(R56/2-$BP56/3)+BS56*(BE56-R56/2)+BT56*(BF56-R56/2)+BU56*(BG56-R56/2)+BV56*(BH56-R56/2)+BW56*(BI56-R56/2)+BX56*(BJ56-R56/2))/1000-ABS(P56))</f>
        <v>-211.6834278990577</v>
      </c>
      <c r="BZ56" s="10"/>
      <c r="CA56" s="176">
        <f>ABS(P56)/(BK56-BP56/3)/AV56*10^6-Q56*(R56/2-BP56/3)/(BK56-BP56/3)/AV56*1000</f>
        <v>266.8144164841537</v>
      </c>
      <c r="CB56" s="177">
        <f>(AV56/($O$12*MIN(2.5*(R56-BK56),(R56-BP56)/3,R56/2)-AV56))</f>
        <v>-1.1530089455892982E-2</v>
      </c>
      <c r="CC56" s="177">
        <f>3.4*($O$16+$AX$14)+0.425*0.8*0.5*(T56^2+W56^2+Z56^2+AC56^2+AF56^2+AI56^2)/(T56+W56+Z56+AC56+AF56+AI56)/CB56</f>
        <v>-12.680626295772072</v>
      </c>
      <c r="CD56" s="177">
        <f>MAX(0.6*CA56/$AJ$17,(CA56-0.4*0.3*$AJ$14^(2/3)/CB56*(1+$AJ$17/$AJ$15*CB56))/$AJ$17)</f>
        <v>1.7606448741699985</v>
      </c>
      <c r="CE56" s="178">
        <f>CC56*CD56/1000</f>
        <v>-2.2326079688916395E-2</v>
      </c>
      <c r="CF56" s="23" t="str">
        <f>IF(AND(AV56&gt;=BD56,AV56&gt;=BO56,CE56&lt;=(+IF(CO56="External",0.25,0.3))),"O.K", "Not O.K")</f>
        <v>O.K</v>
      </c>
      <c r="CG56" s="28"/>
      <c r="CH56" s="179" t="str">
        <f>IF(O56&lt;0.2*$AJ$14*R56*$O$12/1000,"N &lt; 0.2fckAc - OK!","TBA")</f>
        <v>N &lt; 0.2fckAc - OK!</v>
      </c>
      <c r="CI56" s="24">
        <v>87</v>
      </c>
      <c r="CJ56" s="25"/>
      <c r="CK56" s="6">
        <f t="shared" si="35"/>
        <v>104</v>
      </c>
      <c r="CL56" s="8" t="s">
        <v>72</v>
      </c>
      <c r="CM56" s="6">
        <f t="shared" si="36"/>
        <v>204</v>
      </c>
      <c r="CN56" s="26" t="s">
        <v>148</v>
      </c>
      <c r="CO56" s="15" t="str">
        <f>IF(VLOOKUP(CI56,'Summary-input'!A:C,3,0)="Outward",
IF(CP56&lt;0,"External","Internal"),
IF(CP56&lt;0,"Internal","External")
)</f>
        <v>Internal</v>
      </c>
      <c r="CP56">
        <f>VLOOKUP(CI56&amp;CN56,'Summary-output-ULS'!A:G,6,0)</f>
        <v>62.757606608117158</v>
      </c>
      <c r="CQ56">
        <f>VLOOKUP(CI56&amp;CN56,'Summary-output-ULS'!A:G,7,0)</f>
        <v>-1651.1103264628898</v>
      </c>
      <c r="CR56" s="3">
        <f>VLOOKUP(CI56&amp;CN56,'Summary-output-SLS'!A:G,6,0)</f>
        <v>235.96897035063634</v>
      </c>
      <c r="CS56" s="3">
        <f>VLOOKUP(CI56&amp;CN56,'Summary-output-SLS'!A:G,7,0)</f>
        <v>-1220.9302575747474</v>
      </c>
      <c r="CT56" s="20">
        <v>1000</v>
      </c>
      <c r="CU56" s="2">
        <f>VLOOKUP(CI56&amp;CN56,'Summary-output-ULS'!A:G,5,0)</f>
        <v>104</v>
      </c>
      <c r="CV56" s="15">
        <f>VLOOKUP(CI56&amp;CN56,'Summary-output-SLS'!A:G,5,0)</f>
        <v>204</v>
      </c>
      <c r="CW56" s="6"/>
      <c r="CX56" s="278"/>
      <c r="CY56" s="6"/>
      <c r="CZ56" s="6"/>
      <c r="DA56" s="6"/>
      <c r="DB56" s="6"/>
      <c r="DC56" s="6"/>
      <c r="DD56" s="6"/>
      <c r="DE56" s="6"/>
      <c r="DF56" s="6"/>
      <c r="DG56" s="6"/>
      <c r="DH56" s="6"/>
      <c r="DI56" s="6"/>
      <c r="DJ56" s="212"/>
      <c r="DK56" s="13"/>
      <c r="DL56" s="13"/>
      <c r="DM56" s="202"/>
      <c r="DN56" s="206">
        <f>IF(CO56="external",T56,0)</f>
        <v>0</v>
      </c>
      <c r="DO56" s="206">
        <f>IF(CO56="external",W56,0)</f>
        <v>0</v>
      </c>
      <c r="DP56" s="206">
        <f>IF(CO56="external",Z56,0)</f>
        <v>0</v>
      </c>
      <c r="DQ56" s="206">
        <f>IF(CO56="external",AC56,0)</f>
        <v>0</v>
      </c>
      <c r="DR56" s="206">
        <f>IF(CO56="external",AF56,0)</f>
        <v>0</v>
      </c>
      <c r="DS56" s="207">
        <f>IF(CO56="external",AI56,0)</f>
        <v>0</v>
      </c>
      <c r="DT56" s="208"/>
      <c r="DU56" s="207">
        <f>IF(CO56="internal",T56,0)</f>
        <v>20</v>
      </c>
      <c r="DV56" s="207">
        <f>IF(CO56="internal",W56,0)</f>
        <v>0</v>
      </c>
      <c r="DW56" s="207">
        <f>IF(CO56="internal",Z56,0)</f>
        <v>0</v>
      </c>
      <c r="DX56" s="207">
        <f>IF(CO56="internal",AC56,0)</f>
        <v>0</v>
      </c>
      <c r="DY56" s="207">
        <f>IF(CO56="internal",AF56,0)</f>
        <v>0</v>
      </c>
      <c r="DZ56" s="207">
        <f>IF(CO56="internal",AI56,0)</f>
        <v>0</v>
      </c>
    </row>
    <row r="57" spans="1:131" s="7" customFormat="1" x14ac:dyDescent="0.3">
      <c r="B57" s="19">
        <f>+CI57</f>
        <v>87</v>
      </c>
      <c r="C57" s="6">
        <f t="shared" si="74"/>
        <v>0</v>
      </c>
      <c r="D57" s="6">
        <f t="shared" si="74"/>
        <v>101</v>
      </c>
      <c r="E57" s="6" t="str">
        <f t="shared" si="74"/>
        <v>--</v>
      </c>
      <c r="F57" s="6">
        <f>+CM57</f>
        <v>201</v>
      </c>
      <c r="G57" s="174" t="str">
        <f t="shared" si="75"/>
        <v>Max Fx</v>
      </c>
      <c r="H57" s="6" t="str">
        <f t="shared" si="75"/>
        <v>Internal</v>
      </c>
      <c r="I57" s="156"/>
      <c r="J57" s="10">
        <f t="shared" si="76"/>
        <v>1773.2158701729022</v>
      </c>
      <c r="K57" s="10">
        <f t="shared" si="76"/>
        <v>-1804.6292264641847</v>
      </c>
      <c r="L57" s="10">
        <f t="shared" si="76"/>
        <v>1284.113929742442</v>
      </c>
      <c r="M57" s="10">
        <f t="shared" si="76"/>
        <v>-1306.2186502644786</v>
      </c>
      <c r="N57" s="10">
        <f>IF(I57*J57&gt;=0,J57*$J$19+I57*$J$18,J57)</f>
        <v>1773.2158701729022</v>
      </c>
      <c r="O57" s="10">
        <f>(K57)*$J$19</f>
        <v>-1804.6292264641847</v>
      </c>
      <c r="P57" s="14">
        <f>IF(I57*L57&gt;=0,(L57)+I57,L57)</f>
        <v>1284.113929742442</v>
      </c>
      <c r="Q57" s="3">
        <f>(M57)</f>
        <v>-1306.2186502644786</v>
      </c>
      <c r="R57" s="20">
        <f t="shared" si="79"/>
        <v>1000</v>
      </c>
      <c r="S57" s="23"/>
      <c r="T57" s="12">
        <v>40</v>
      </c>
      <c r="U57" s="28"/>
      <c r="V57" s="28"/>
      <c r="W57" s="12">
        <v>40</v>
      </c>
      <c r="X57" s="28"/>
      <c r="Y57" s="28"/>
      <c r="Z57" s="12">
        <v>40</v>
      </c>
      <c r="AA57" s="28"/>
      <c r="AB57" s="28"/>
      <c r="AC57" s="158"/>
      <c r="AD57" s="28"/>
      <c r="AE57" s="28"/>
      <c r="AF57" s="158"/>
      <c r="AG57" s="28"/>
      <c r="AH57" s="28"/>
      <c r="AI57" s="29"/>
      <c r="AJ57" s="6">
        <f>PI()/4*T57^2*$O$12/$AX$16</f>
        <v>8377.5804095727817</v>
      </c>
      <c r="AK57" s="28" t="str">
        <f>IF(W57=0,"","+")</f>
        <v>+</v>
      </c>
      <c r="AL57" s="6">
        <f>PI()/4*W57^2*$O$12/$AX$16</f>
        <v>8377.5804095727817</v>
      </c>
      <c r="AM57" s="28" t="str">
        <f>IF(Z57=0,"","+")</f>
        <v>+</v>
      </c>
      <c r="AN57" s="6">
        <f>PI()/4*Z57^2*$O$12/$AX$16</f>
        <v>8377.5804095727817</v>
      </c>
      <c r="AO57" s="28" t="str">
        <f>IF(AC57=0,"","+")</f>
        <v/>
      </c>
      <c r="AP57" s="6">
        <f>PI()/4*AC57^2*$O$12/$AX$16</f>
        <v>0</v>
      </c>
      <c r="AQ57" s="28" t="str">
        <f>IF(AF57=0,"","+")</f>
        <v/>
      </c>
      <c r="AR57" s="6">
        <f>PI()/4*AF57^2*$O$12/$AX$16</f>
        <v>0</v>
      </c>
      <c r="AS57" s="28" t="str">
        <f>IF(AI57=0,"","+")</f>
        <v/>
      </c>
      <c r="AT57" s="6">
        <f>PI()/4*AI57^2*$O$12/$AX$16</f>
        <v>0</v>
      </c>
      <c r="AU57" s="28" t="s">
        <v>24</v>
      </c>
      <c r="AV57" s="15">
        <f>VALUE(AJ57)+VALUE(AL57)+VALUE(AN57)+VALUE(AP57)+VALUE(AR57)+VALUE(AT57)</f>
        <v>25132.741228718347</v>
      </c>
      <c r="AW57" s="228">
        <f>MAX(0.3*$AJ$14^(2/3)/$AJ$16*0.26*100,0.13)</f>
        <v>0.15723814702688016</v>
      </c>
      <c r="AX57" s="6">
        <f>AW57/100*$O$12*BK57</f>
        <v>1284.6356612096108</v>
      </c>
      <c r="AY57" s="6"/>
      <c r="AZ57" s="6"/>
      <c r="BA57" s="24" t="str">
        <f>IF(BB57=0,"","+")</f>
        <v/>
      </c>
      <c r="BB57" s="24"/>
      <c r="BC57" s="28" t="s">
        <v>24</v>
      </c>
      <c r="BD57" s="15">
        <f>AX57+AZ57+BB57</f>
        <v>1284.6356612096108</v>
      </c>
      <c r="BE57" s="2">
        <f>(R57-($AX$14+$O$16+T57/2))</f>
        <v>897</v>
      </c>
      <c r="BF57" s="3">
        <f>IF(W57=0,0,(R57-($AX$14+T57/2+$O$16+$BI$16)))</f>
        <v>817</v>
      </c>
      <c r="BG57" s="3">
        <f>IF(Z57=0,0,(R57-($AX$14+T57/2+$BI$16+$O$16+$BI$17)))</f>
        <v>737</v>
      </c>
      <c r="BH57" s="3">
        <f>IF(AC57=0,0,(R57-($AX$14+T57/2+$O$16+$BI$16+$BI$17+$BI$18)))</f>
        <v>0</v>
      </c>
      <c r="BI57" s="3">
        <f>IF(AF57=0,0,(R57-($AX$14+T57/2+$O$16+$BI$16+$BI$17+$BI$18+$BL$16)))</f>
        <v>0</v>
      </c>
      <c r="BJ57" s="3">
        <f>IF(AI57=0,0,(R57-($AX$14+T57/2+$O$16+$BI$16+$BI$17+$BI$18+$BL$16+$BL$17)))</f>
        <v>0</v>
      </c>
      <c r="BK57" s="6">
        <f>(BE57*AJ57+BF57*AL57+BG57*AN57+BH57*AP57+BI57*AR57+BJ57*AT57)/AV57</f>
        <v>816.99999999999989</v>
      </c>
      <c r="BL57" s="175">
        <f>ABS(N57)*1000000/$O$12/BK57^2</f>
        <v>2.656546954590866</v>
      </c>
      <c r="BM57" s="175">
        <f>BL57/$AJ$14</f>
        <v>8.3017092330964562E-2</v>
      </c>
      <c r="BN57" s="21">
        <f>IF(BM57&lt;0.167,0.5+SQRT(0.25-(BM57/1.134)),0.82)</f>
        <v>0.92046722528495839</v>
      </c>
      <c r="BO57" s="15">
        <f>ABS(N57)/(0.87*$AJ$16*BN57*BK57)*10^6</f>
        <v>5420.5326751221937</v>
      </c>
      <c r="BP57" s="22">
        <v>-857.46632844177884</v>
      </c>
      <c r="BQ57" s="175">
        <f>IF(Q57=0,2*ABS(P57*10^6)/$O$12/BP57/(BK57-BP57/3),Q57*BP57*1000/($O$12/2*BP57^2-(BE57-BP57)*AJ57*$AJ$18-(BF57-BP57)*AL57*$AJ$18-(BG57-BP57)*AN57*$AJ$18-(BH57-BP57)*AP57*$AJ$18-(BI57-BP57)*AR57*$AJ$18-(BJ57-BP57)*AT57*$AJ$18))</f>
        <v>-3.5683512349581861</v>
      </c>
      <c r="BR57" s="3">
        <f>0.5*$O$12*BP57*BQ57 /1000</f>
        <v>1529.8705160151417</v>
      </c>
      <c r="BS57" s="3">
        <f>($BQ57/$BP57)*(BE57-$BP57)*$AJ$18*AJ57/1000</f>
        <v>990.5291140982016</v>
      </c>
      <c r="BT57" s="3">
        <f>($BQ57/$BP57)*(BF57-$BP57)*$AJ$18*AL57/1000</f>
        <v>945.36305542653997</v>
      </c>
      <c r="BU57" s="3">
        <f>($BQ57/$BP57)*(BG57-$BP57)*$AJ$18*AN57/1000</f>
        <v>900.19699675487823</v>
      </c>
      <c r="BV57" s="3">
        <f>($BQ57/$BP57)*(BH57-$BP57)*$AJ$18*AP57/1000</f>
        <v>0</v>
      </c>
      <c r="BW57" s="3">
        <f>($BQ57/$BP57)*(BI57-$BP57)*$AJ$18*AR57/1000</f>
        <v>0</v>
      </c>
      <c r="BX57" s="3">
        <f>($BQ57/$BP57)*(BJ57-$BP57)*$AJ$18*AT57/1000</f>
        <v>0</v>
      </c>
      <c r="BY57" s="175">
        <f>IF(Q57=0,0,(0.5*$O$12*BP57*BQ57/1000*(R57/2-$BP57/3)+BS57*(BE57-R57/2)+BT57*(BF57-R57/2)+BU57*(BG57-R57/2)+BV57*(BH57-R57/2)+BW57*(BI57-R57/2)+BX57*(BJ57-R57/2))/1000-ABS(P57))</f>
        <v>824.35898148284514</v>
      </c>
      <c r="BZ57" s="10"/>
      <c r="CA57" s="176">
        <f>ABS(P57)/(BK57-BP57/3)/AV57*10^6-Q57*(R57/2-BP57/3)/(BK57-BP57/3)/AV57*1000</f>
        <v>83.363069658801663</v>
      </c>
      <c r="CB57" s="177">
        <f>(AV57/($O$12*MIN(2.5*(R57-BK57),(R57-BP57)/3,R57/2)-AV57))</f>
        <v>5.8128224834002346E-2</v>
      </c>
      <c r="CC57" s="177">
        <f>3.4*($O$16+$AX$14)+0.425*0.8*0.5*(T57^2+W57^2+Z57^2+AC57^2+AF57^2+AI57^2)/(T57+W57+Z57+AC57+AF57+AI57)/CB57</f>
        <v>399.18275698972167</v>
      </c>
      <c r="CD57" s="177">
        <f>MAX(0.6*CA57/$AJ$17,(CA57-0.4*0.3*$AJ$14^(2/3)/CB57*(1+$AJ$17/$AJ$15*CB57))/$AJ$17)</f>
        <v>0.25008920897640496</v>
      </c>
      <c r="CE57" s="178">
        <f>CC57*CD57/1000</f>
        <v>9.9831299932579984E-2</v>
      </c>
      <c r="CF57" s="23" t="str">
        <f>IF(AND(AV57&gt;=BD57,AV57&gt;=BO57,CE57&lt;=(+IF(CO57="External",0.25,0.3))),"O.K", "Not O.K")</f>
        <v>O.K</v>
      </c>
      <c r="CG57" s="28"/>
      <c r="CH57" s="179" t="str">
        <f>IF(O57&lt;0.2*$AJ$14*R57*$O$12/1000,"N &lt; 0.2fckAc - OK!","TBA")</f>
        <v>N &lt; 0.2fckAc - OK!</v>
      </c>
      <c r="CI57" s="24">
        <v>87</v>
      </c>
      <c r="CJ57" s="25"/>
      <c r="CK57" s="6">
        <f t="shared" si="35"/>
        <v>101</v>
      </c>
      <c r="CL57" s="8" t="s">
        <v>72</v>
      </c>
      <c r="CM57" s="6">
        <f t="shared" si="36"/>
        <v>201</v>
      </c>
      <c r="CN57" s="26" t="s">
        <v>145</v>
      </c>
      <c r="CO57" s="15" t="str">
        <f>IF(VLOOKUP(CI57,'Summary-input'!A:C,3,0)="Outward",
IF(CP57&lt;0,"External","Internal"),
IF(CP57&lt;0,"Internal","External")
)</f>
        <v>Internal</v>
      </c>
      <c r="CP57">
        <f>VLOOKUP(CI57&amp;CN57,'Summary-output-ULS'!A:G,6,0)</f>
        <v>1773.2158701729022</v>
      </c>
      <c r="CQ57">
        <f>VLOOKUP(CI57&amp;CN57,'Summary-output-ULS'!A:G,7,0)</f>
        <v>-1804.6292264641847</v>
      </c>
      <c r="CR57" s="3">
        <f>VLOOKUP(CI57&amp;CN57,'Summary-output-SLS'!A:G,6,0)</f>
        <v>1284.113929742442</v>
      </c>
      <c r="CS57" s="3">
        <f>VLOOKUP(CI57&amp;CN57,'Summary-output-SLS'!A:G,7,0)</f>
        <v>-1306.2186502644786</v>
      </c>
      <c r="CT57" s="20">
        <v>1000</v>
      </c>
      <c r="CU57" s="2">
        <f>VLOOKUP(CI57&amp;CN57,'Summary-output-ULS'!A:G,5,0)</f>
        <v>101</v>
      </c>
      <c r="CV57" s="15">
        <f>VLOOKUP(CI57&amp;CN57,'Summary-output-SLS'!A:G,5,0)</f>
        <v>201</v>
      </c>
      <c r="CW57" s="6"/>
      <c r="CX57" s="278"/>
      <c r="CY57" s="6"/>
      <c r="CZ57" s="6"/>
      <c r="DA57" s="6"/>
      <c r="DB57" s="6"/>
      <c r="DC57" s="6"/>
      <c r="DD57" s="6"/>
      <c r="DE57" s="6"/>
      <c r="DF57" s="6"/>
      <c r="DG57" s="6"/>
      <c r="DH57" s="6"/>
      <c r="DI57" s="6"/>
      <c r="DJ57" s="212"/>
      <c r="DK57" s="13"/>
      <c r="DL57" s="13"/>
      <c r="DM57" s="202"/>
      <c r="DN57" s="206">
        <f>IF(CO57="external",T57,0)</f>
        <v>0</v>
      </c>
      <c r="DO57" s="206">
        <f>IF(CO57="external",W57,0)</f>
        <v>0</v>
      </c>
      <c r="DP57" s="206">
        <f>IF(CO57="external",Z57,0)</f>
        <v>0</v>
      </c>
      <c r="DQ57" s="206">
        <f>IF(CO57="external",AC57,0)</f>
        <v>0</v>
      </c>
      <c r="DR57" s="206">
        <f>IF(CO57="external",AF57,0)</f>
        <v>0</v>
      </c>
      <c r="DS57" s="207">
        <f>IF(CO57="external",AI57,0)</f>
        <v>0</v>
      </c>
      <c r="DT57" s="208"/>
      <c r="DU57" s="207">
        <f>IF(CO57="internal",T57,0)</f>
        <v>40</v>
      </c>
      <c r="DV57" s="207">
        <f>IF(CO57="internal",W57,0)</f>
        <v>40</v>
      </c>
      <c r="DW57" s="207">
        <f>IF(CO57="internal",Z57,0)</f>
        <v>40</v>
      </c>
      <c r="DX57" s="207">
        <f>IF(CO57="internal",AC57,0)</f>
        <v>0</v>
      </c>
      <c r="DY57" s="207">
        <f>IF(CO57="internal",AF57,0)</f>
        <v>0</v>
      </c>
      <c r="DZ57" s="207">
        <f>IF(CO57="internal",AI57,0)</f>
        <v>0</v>
      </c>
    </row>
    <row r="58" spans="1:131" s="7" customFormat="1" x14ac:dyDescent="0.3">
      <c r="B58" s="19">
        <f>+CI58</f>
        <v>87</v>
      </c>
      <c r="C58" s="6">
        <f t="shared" si="74"/>
        <v>0</v>
      </c>
      <c r="D58" s="6">
        <f t="shared" si="74"/>
        <v>106</v>
      </c>
      <c r="E58" s="6" t="str">
        <f t="shared" si="74"/>
        <v>--</v>
      </c>
      <c r="F58" s="6">
        <f>+CM58</f>
        <v>206</v>
      </c>
      <c r="G58" s="174" t="str">
        <f t="shared" si="75"/>
        <v>Min Fx</v>
      </c>
      <c r="H58" s="6" t="str">
        <f t="shared" si="75"/>
        <v>Internal</v>
      </c>
      <c r="I58" s="156"/>
      <c r="J58" s="10">
        <f t="shared" si="76"/>
        <v>1538.5716924138403</v>
      </c>
      <c r="K58" s="10">
        <f t="shared" si="76"/>
        <v>-945.19720789551582</v>
      </c>
      <c r="L58" s="10">
        <f t="shared" si="76"/>
        <v>1029.7815618504931</v>
      </c>
      <c r="M58" s="10">
        <f t="shared" si="76"/>
        <v>-874.67380705699406</v>
      </c>
      <c r="N58" s="10">
        <f>IF(I58*J58&gt;=0,J58*$J$19+I58*$J$18,J58)</f>
        <v>1538.5716924138403</v>
      </c>
      <c r="O58" s="10">
        <f>(K58)*$J$19</f>
        <v>-945.19720789551582</v>
      </c>
      <c r="P58" s="14">
        <f>IF(I58*L58&gt;=0,(L58)+I58,L58)</f>
        <v>1029.7815618504931</v>
      </c>
      <c r="Q58" s="3">
        <f>(M58)</f>
        <v>-874.67380705699406</v>
      </c>
      <c r="R58" s="20">
        <f t="shared" si="79"/>
        <v>1000</v>
      </c>
      <c r="S58" s="23"/>
      <c r="T58" s="12">
        <v>40</v>
      </c>
      <c r="U58" s="28"/>
      <c r="V58" s="28"/>
      <c r="W58" s="12">
        <v>40</v>
      </c>
      <c r="X58" s="28"/>
      <c r="Y58" s="28"/>
      <c r="Z58" s="12"/>
      <c r="AA58" s="28"/>
      <c r="AB58" s="28"/>
      <c r="AC58" s="158"/>
      <c r="AD58" s="28"/>
      <c r="AE58" s="28"/>
      <c r="AF58" s="158"/>
      <c r="AG58" s="28"/>
      <c r="AH58" s="28"/>
      <c r="AI58" s="29"/>
      <c r="AJ58" s="6">
        <f>PI()/4*T58^2*$O$12/$AX$16</f>
        <v>8377.5804095727817</v>
      </c>
      <c r="AK58" s="28" t="str">
        <f>IF(W58=0,"","+")</f>
        <v>+</v>
      </c>
      <c r="AL58" s="6">
        <f>PI()/4*W58^2*$O$12/$AX$16</f>
        <v>8377.5804095727817</v>
      </c>
      <c r="AM58" s="28" t="str">
        <f>IF(Z58=0,"","+")</f>
        <v/>
      </c>
      <c r="AN58" s="6">
        <f>PI()/4*Z58^2*$O$12/$AX$16</f>
        <v>0</v>
      </c>
      <c r="AO58" s="28" t="str">
        <f>IF(AC58=0,"","+")</f>
        <v/>
      </c>
      <c r="AP58" s="6">
        <f>PI()/4*AC58^2*$O$12/$AX$16</f>
        <v>0</v>
      </c>
      <c r="AQ58" s="28" t="str">
        <f>IF(AF58=0,"","+")</f>
        <v/>
      </c>
      <c r="AR58" s="6">
        <f>PI()/4*AF58^2*$O$12/$AX$16</f>
        <v>0</v>
      </c>
      <c r="AS58" s="28" t="str">
        <f>IF(AI58=0,"","+")</f>
        <v/>
      </c>
      <c r="AT58" s="6">
        <f>PI()/4*AI58^2*$O$12/$AX$16</f>
        <v>0</v>
      </c>
      <c r="AU58" s="28" t="s">
        <v>24</v>
      </c>
      <c r="AV58" s="15">
        <f>VALUE(AJ58)+VALUE(AL58)+VALUE(AN58)+VALUE(AP58)+VALUE(AR58)+VALUE(AT58)</f>
        <v>16755.160819145563</v>
      </c>
      <c r="AW58" s="228">
        <f>MAX(0.3*$AJ$14^(2/3)/$AJ$16*0.26*100,0.13)</f>
        <v>0.15723814702688016</v>
      </c>
      <c r="AX58" s="6">
        <f>AW58/100*$O$12*BK58</f>
        <v>1347.5309200203631</v>
      </c>
      <c r="AY58" s="6"/>
      <c r="AZ58" s="6"/>
      <c r="BA58" s="24" t="str">
        <f>IF(BB58=0,"","+")</f>
        <v/>
      </c>
      <c r="BB58" s="24"/>
      <c r="BC58" s="28" t="s">
        <v>24</v>
      </c>
      <c r="BD58" s="15">
        <f>AX58+AZ58+BB58</f>
        <v>1347.5309200203631</v>
      </c>
      <c r="BE58" s="2">
        <f>(R58-($AX$14+$O$16+T58/2))</f>
        <v>897</v>
      </c>
      <c r="BF58" s="3">
        <f>IF(W58=0,0,(R58-($AX$14+T58/2+$O$16+$BI$16)))</f>
        <v>817</v>
      </c>
      <c r="BG58" s="3">
        <f>IF(Z58=0,0,(R58-($AX$14+T58/2+$BI$16+$O$16+$BI$17)))</f>
        <v>0</v>
      </c>
      <c r="BH58" s="3">
        <f>IF(AC58=0,0,(R58-($AX$14+T58/2+$O$16+$BI$16+$BI$17+$BI$18)))</f>
        <v>0</v>
      </c>
      <c r="BI58" s="3">
        <f>IF(AF58=0,0,(R58-($AX$14+T58/2+$O$16+$BI$16+$BI$17+$BI$18+$BL$16)))</f>
        <v>0</v>
      </c>
      <c r="BJ58" s="3">
        <f>IF(AI58=0,0,(R58-($AX$14+T58/2+$O$16+$BI$16+$BI$17+$BI$18+$BL$16+$BL$17)))</f>
        <v>0</v>
      </c>
      <c r="BK58" s="6">
        <f>(BE58*AJ58+BF58*AL58+BG58*AN58+BH58*AP58+BI58*AR58+BJ58*AT58)/AV58</f>
        <v>857</v>
      </c>
      <c r="BL58" s="175">
        <f>ABS(N58)*1000000/$O$12/BK58^2</f>
        <v>2.0948652560134744</v>
      </c>
      <c r="BM58" s="175">
        <f>BL58/$AJ$14</f>
        <v>6.5464539250421075E-2</v>
      </c>
      <c r="BN58" s="21">
        <f>IF(BM58&lt;0.167,0.5+SQRT(0.25-(BM58/1.134)),0.82)</f>
        <v>0.93848731955302855</v>
      </c>
      <c r="BO58" s="15">
        <f>ABS(N58)/(0.87*$AJ$16*BN58*BK58)*10^6</f>
        <v>4397.635703188882</v>
      </c>
      <c r="BP58" s="22">
        <v>402.33094216969988</v>
      </c>
      <c r="BQ58" s="175">
        <f>IF(Q58=0,2*ABS(P58*10^6)/$O$12/BP58/(BK58-BP58/3),Q58*BP58*1000/($O$12/2*BP58^2-(BE58-BP58)*AJ58*$AJ$18-(BF58-BP58)*AL58*$AJ$18-(BG58-BP58)*AN58*$AJ$18-(BH58-BP58)*AP58*$AJ$18-(BI58-BP58)*AR58*$AJ$18-(BJ58-BP58)*AT58*$AJ$18))</f>
        <v>8.2935906962437773</v>
      </c>
      <c r="BR58" s="3">
        <f>0.5*$O$12*BP58*BQ58 /1000</f>
        <v>1668.3840793948079</v>
      </c>
      <c r="BS58" s="3">
        <f>($BQ58/$BP58)*(BE58-$BP58)*$AJ$18*AJ58/1000</f>
        <v>1383.3930713276627</v>
      </c>
      <c r="BT58" s="3">
        <f>($BQ58/$BP58)*(BF58-$BP58)*$AJ$18*AL58/1000</f>
        <v>1159.6648151241393</v>
      </c>
      <c r="BU58" s="3">
        <f>($BQ58/$BP58)*(BG58-$BP58)*$AJ$18*AN58/1000</f>
        <v>0</v>
      </c>
      <c r="BV58" s="3">
        <f>($BQ58/$BP58)*(BH58-$BP58)*$AJ$18*AP58/1000</f>
        <v>0</v>
      </c>
      <c r="BW58" s="3">
        <f>($BQ58/$BP58)*(BI58-$BP58)*$AJ$18*AR58/1000</f>
        <v>0</v>
      </c>
      <c r="BX58" s="3">
        <f>($BQ58/$BP58)*(BJ58-$BP58)*$AJ$18*AT58/1000</f>
        <v>0</v>
      </c>
      <c r="BY58" s="175">
        <f>IF(Q58=0,0,(0.5*$O$12*BP58*BQ58/1000*(R58/2-$BP58/3)+BS58*(BE58-R58/2)+BT58*(BF58-R58/2)+BU58*(BG58-R58/2)+BV58*(BH58-R58/2)+BW58*(BI58-R58/2)+BX58*(BJ58-R58/2))/1000-ABS(P58))</f>
        <v>497.4837607037316</v>
      </c>
      <c r="BZ58" s="10"/>
      <c r="CA58" s="176">
        <f>ABS(P58)/(BK58-BP58/3)/AV58*10^6-Q58*(R58/2-BP58/3)/(BK58-BP58/3)/AV58*1000</f>
        <v>111.44326873122272</v>
      </c>
      <c r="CB58" s="177">
        <f>(AV58/($O$12*MIN(2.5*(R58-BK58),(R58-BP58)/3,R58/2)-AV58))</f>
        <v>9.1825272465928642E-2</v>
      </c>
      <c r="CC58" s="177">
        <f>3.4*($O$16+$AX$14)+0.425*0.8*0.5*(T58^2+W58^2+Z58^2+AC58^2+AF58^2+AI58^2)/(T58+W58+Z58+AC58+AF58+AI58)/CB58</f>
        <v>356.25368715375288</v>
      </c>
      <c r="CD58" s="177">
        <f>MAX(0.6*CA58/$AJ$17,(CA58-0.4*0.3*$AJ$14^(2/3)/CB58*(1+$AJ$17/$AJ$15*CB58))/$AJ$17)</f>
        <v>0.39342131247372236</v>
      </c>
      <c r="CE58" s="178">
        <f>CC58*CD58/1000</f>
        <v>0.14015779317363233</v>
      </c>
      <c r="CF58" s="23" t="str">
        <f>IF(AND(AV58&gt;=BD58,AV58&gt;=BO58,CE58&lt;=(+IF(CO58="External",0.25,0.3))),"O.K", "Not O.K")</f>
        <v>O.K</v>
      </c>
      <c r="CG58" s="28"/>
      <c r="CH58" s="179" t="str">
        <f>IF(O58&lt;0.2*$AJ$14*R58*$O$12/1000,"N &lt; 0.2fckAc - OK!","TBA")</f>
        <v>N &lt; 0.2fckAc - OK!</v>
      </c>
      <c r="CI58" s="24">
        <v>87</v>
      </c>
      <c r="CJ58" s="25"/>
      <c r="CK58" s="6">
        <f t="shared" si="35"/>
        <v>106</v>
      </c>
      <c r="CL58" s="8" t="s">
        <v>72</v>
      </c>
      <c r="CM58" s="6">
        <f t="shared" si="36"/>
        <v>206</v>
      </c>
      <c r="CN58" s="26" t="s">
        <v>146</v>
      </c>
      <c r="CO58" s="15" t="str">
        <f>IF(VLOOKUP(CI58,'Summary-input'!A:C,3,0)="Outward",
IF(CP58&lt;0,"External","Internal"),
IF(CP58&lt;0,"Internal","External")
)</f>
        <v>Internal</v>
      </c>
      <c r="CP58">
        <f>VLOOKUP(CI58&amp;CN58,'Summary-output-ULS'!A:G,6,0)</f>
        <v>1538.5716924138403</v>
      </c>
      <c r="CQ58">
        <f>VLOOKUP(CI58&amp;CN58,'Summary-output-ULS'!A:G,7,0)</f>
        <v>-945.19720789551582</v>
      </c>
      <c r="CR58" s="3">
        <f>VLOOKUP(CI58&amp;CN58,'Summary-output-SLS'!A:G,6,0)</f>
        <v>1029.7815618504931</v>
      </c>
      <c r="CS58" s="3">
        <f>VLOOKUP(CI58&amp;CN58,'Summary-output-SLS'!A:G,7,0)</f>
        <v>-874.67380705699406</v>
      </c>
      <c r="CT58" s="20">
        <v>1000</v>
      </c>
      <c r="CU58" s="2">
        <f>VLOOKUP(CI58&amp;CN58,'Summary-output-ULS'!A:G,5,0)</f>
        <v>106</v>
      </c>
      <c r="CV58" s="15">
        <f>VLOOKUP(CI58&amp;CN58,'Summary-output-SLS'!A:G,5,0)</f>
        <v>206</v>
      </c>
      <c r="CW58" s="6"/>
      <c r="CX58" s="278"/>
      <c r="CY58" s="6"/>
      <c r="CZ58" s="6"/>
      <c r="DA58" s="6"/>
      <c r="DB58" s="6"/>
      <c r="DC58" s="6"/>
      <c r="DD58" s="6"/>
      <c r="DE58" s="6"/>
      <c r="DF58" s="6"/>
      <c r="DG58" s="6"/>
      <c r="DH58" s="6"/>
      <c r="DI58" s="6"/>
      <c r="DJ58" s="212"/>
      <c r="DK58" s="13"/>
      <c r="DL58" s="13"/>
      <c r="DM58" s="202"/>
      <c r="DN58" s="206">
        <f>IF(CO58="external",T58,0)</f>
        <v>0</v>
      </c>
      <c r="DO58" s="206">
        <f>IF(CO58="external",W58,0)</f>
        <v>0</v>
      </c>
      <c r="DP58" s="206">
        <f>IF(CO58="external",Z58,0)</f>
        <v>0</v>
      </c>
      <c r="DQ58" s="206">
        <f>IF(CO58="external",AC58,0)</f>
        <v>0</v>
      </c>
      <c r="DR58" s="206">
        <f>IF(CO58="external",AF58,0)</f>
        <v>0</v>
      </c>
      <c r="DS58" s="207">
        <f>IF(CO58="external",AI58,0)</f>
        <v>0</v>
      </c>
      <c r="DT58" s="208"/>
      <c r="DU58" s="207">
        <f>IF(CO58="internal",T58,0)</f>
        <v>40</v>
      </c>
      <c r="DV58" s="207">
        <f>IF(CO58="internal",W58,0)</f>
        <v>40</v>
      </c>
      <c r="DW58" s="207">
        <f>IF(CO58="internal",Z58,0)</f>
        <v>0</v>
      </c>
      <c r="DX58" s="207">
        <f>IF(CO58="internal",AC58,0)</f>
        <v>0</v>
      </c>
      <c r="DY58" s="207">
        <f>IF(CO58="internal",AF58,0)</f>
        <v>0</v>
      </c>
      <c r="DZ58" s="207">
        <f>IF(CO58="internal",AI58,0)</f>
        <v>0</v>
      </c>
    </row>
    <row r="59" spans="1:131" s="7" customFormat="1" x14ac:dyDescent="0.3">
      <c r="B59" s="298" t="s">
        <v>162</v>
      </c>
      <c r="C59" s="6"/>
      <c r="D59" s="6"/>
      <c r="E59" s="6"/>
      <c r="F59" s="6"/>
      <c r="G59" s="232"/>
      <c r="H59" s="6"/>
      <c r="I59" s="24"/>
      <c r="J59" s="6"/>
      <c r="K59" s="6"/>
      <c r="L59" s="6"/>
      <c r="M59" s="6"/>
      <c r="N59" s="6"/>
      <c r="O59" s="6"/>
      <c r="P59" s="24"/>
      <c r="Q59" s="6"/>
      <c r="R59" s="6"/>
      <c r="S59" s="28"/>
      <c r="T59" s="12"/>
      <c r="U59" s="28"/>
      <c r="V59" s="28"/>
      <c r="W59" s="12"/>
      <c r="X59" s="28"/>
      <c r="Y59" s="28"/>
      <c r="Z59" s="12"/>
      <c r="AA59" s="28"/>
      <c r="AB59" s="28"/>
      <c r="AC59" s="158"/>
      <c r="AD59" s="28"/>
      <c r="AE59" s="28"/>
      <c r="AF59" s="158"/>
      <c r="AG59" s="28"/>
      <c r="AH59" s="28"/>
      <c r="AI59" s="12"/>
      <c r="AJ59" s="6"/>
      <c r="AK59" s="28"/>
      <c r="AL59" s="6"/>
      <c r="AM59" s="28"/>
      <c r="AN59" s="6"/>
      <c r="AO59" s="28"/>
      <c r="AP59" s="6"/>
      <c r="AQ59" s="28"/>
      <c r="AR59" s="6"/>
      <c r="AS59" s="28"/>
      <c r="AT59" s="6"/>
      <c r="AU59" s="28"/>
      <c r="AV59" s="6"/>
      <c r="AW59" s="233"/>
      <c r="AX59" s="6"/>
      <c r="AY59" s="6"/>
      <c r="AZ59" s="6"/>
      <c r="BA59" s="24"/>
      <c r="BB59" s="24"/>
      <c r="BC59" s="28"/>
      <c r="BD59" s="6"/>
      <c r="BE59" s="6"/>
      <c r="BF59" s="6"/>
      <c r="BG59" s="6"/>
      <c r="BH59" s="6"/>
      <c r="BI59" s="6"/>
      <c r="BJ59" s="6"/>
      <c r="BK59" s="6"/>
      <c r="BL59" s="231"/>
      <c r="BM59" s="231"/>
      <c r="BN59" s="231"/>
      <c r="BO59" s="6"/>
      <c r="BP59" s="234"/>
      <c r="BQ59" s="231"/>
      <c r="BR59" s="6"/>
      <c r="BS59" s="6"/>
      <c r="BT59" s="6"/>
      <c r="BU59" s="6"/>
      <c r="BV59" s="6"/>
      <c r="BW59" s="6"/>
      <c r="BX59" s="6"/>
      <c r="BY59" s="231"/>
      <c r="BZ59" s="6"/>
      <c r="CA59" s="234"/>
      <c r="CB59" s="235"/>
      <c r="CC59" s="235"/>
      <c r="CD59" s="235"/>
      <c r="CE59" s="235"/>
      <c r="CF59" s="28"/>
      <c r="CG59" s="28"/>
      <c r="CH59" s="173"/>
      <c r="CI59" s="24"/>
      <c r="CJ59" s="25"/>
      <c r="CK59" s="6" t="e">
        <f t="shared" si="35"/>
        <v>#N/A</v>
      </c>
      <c r="CL59" s="8" t="s">
        <v>72</v>
      </c>
      <c r="CM59" s="6" t="e">
        <f t="shared" si="36"/>
        <v>#N/A</v>
      </c>
      <c r="CN59" s="236"/>
      <c r="CO59" s="15" t="e">
        <f>IF(VLOOKUP(CI59,'Summary-input'!A:C,3,0)="Outward",
IF(CP59&lt;0,"External","Internal"),
IF(CP59&lt;0,"Internal","External")
)</f>
        <v>#N/A</v>
      </c>
      <c r="CP59" t="e">
        <f>VLOOKUP(CI59&amp;CN59,'Summary-output-ULS'!A:G,6,0)</f>
        <v>#N/A</v>
      </c>
      <c r="CQ59" t="e">
        <f>VLOOKUP(CI59&amp;CN59,'Summary-output-ULS'!A:G,7,0)</f>
        <v>#N/A</v>
      </c>
      <c r="CR59" s="3" t="e">
        <f>VLOOKUP(CI59&amp;CN59,'Summary-output-SLS'!A:G,6,0)</f>
        <v>#N/A</v>
      </c>
      <c r="CS59" s="3" t="e">
        <f>VLOOKUP(CI59&amp;CN59,'Summary-output-SLS'!A:G,7,0)</f>
        <v>#N/A</v>
      </c>
      <c r="CT59" s="6"/>
      <c r="CU59" s="2" t="e">
        <f>VLOOKUP(CI59&amp;CN59,'Summary-output-ULS'!A:G,5,0)</f>
        <v>#N/A</v>
      </c>
      <c r="CV59" s="15" t="e">
        <f>VLOOKUP(CI59&amp;CN59,'Summary-output-SLS'!A:G,5,0)</f>
        <v>#N/A</v>
      </c>
      <c r="CW59" s="6"/>
      <c r="CX59" s="278"/>
      <c r="CY59" s="6"/>
      <c r="CZ59" s="6"/>
      <c r="DA59" s="6"/>
      <c r="DB59" s="6"/>
      <c r="DC59" s="6"/>
      <c r="DD59" s="6"/>
      <c r="DE59" s="6"/>
      <c r="DF59" s="6"/>
      <c r="DG59" s="6"/>
      <c r="DH59" s="6"/>
      <c r="DI59" s="6"/>
      <c r="DJ59" s="212"/>
      <c r="DK59" s="13"/>
      <c r="DL59" s="13"/>
      <c r="DM59" s="202"/>
      <c r="DN59" s="206"/>
      <c r="DO59" s="206"/>
      <c r="DP59" s="206"/>
      <c r="DQ59" s="206"/>
      <c r="DR59" s="206"/>
      <c r="DS59" s="207"/>
      <c r="DT59" s="208"/>
      <c r="DU59" s="207"/>
      <c r="DV59" s="207"/>
      <c r="DW59" s="207"/>
      <c r="DX59" s="207"/>
      <c r="DY59" s="207"/>
      <c r="DZ59" s="207"/>
    </row>
    <row r="60" spans="1:131" s="7" customFormat="1" ht="13.8" x14ac:dyDescent="0.25">
      <c r="A60" s="7" t="s">
        <v>141</v>
      </c>
      <c r="B60" s="19">
        <f>+CI60</f>
        <v>100</v>
      </c>
      <c r="C60" s="6">
        <f t="shared" ref="C60:E63" si="80">CJ60</f>
        <v>0</v>
      </c>
      <c r="D60" s="6" t="e">
        <f t="shared" si="80"/>
        <v>#N/A</v>
      </c>
      <c r="E60" s="6" t="str">
        <f t="shared" si="80"/>
        <v>--</v>
      </c>
      <c r="F60" s="6" t="e">
        <f>+CM60</f>
        <v>#N/A</v>
      </c>
      <c r="G60" s="174" t="str">
        <f t="shared" ref="G60:H63" si="81">CN60</f>
        <v>Max Mz</v>
      </c>
      <c r="H60" s="6" t="e">
        <f t="shared" si="81"/>
        <v>#N/A</v>
      </c>
      <c r="I60" s="156"/>
      <c r="J60" s="10" t="e">
        <f t="shared" ref="J60:M63" si="82">(CP60)</f>
        <v>#N/A</v>
      </c>
      <c r="K60" s="10" t="e">
        <f t="shared" si="82"/>
        <v>#N/A</v>
      </c>
      <c r="L60" s="10" t="e">
        <f t="shared" si="82"/>
        <v>#N/A</v>
      </c>
      <c r="M60" s="10" t="e">
        <f t="shared" si="82"/>
        <v>#N/A</v>
      </c>
      <c r="N60" s="10" t="e">
        <f>IF(I60*J60&gt;=0,J60*$J$19+I60*$J$18,J60)</f>
        <v>#N/A</v>
      </c>
      <c r="O60" s="10" t="e">
        <f>(K60)*$J$19</f>
        <v>#N/A</v>
      </c>
      <c r="P60" s="14" t="e">
        <f>IF(I60*L60&gt;=0,(L60)+I60,L60)</f>
        <v>#N/A</v>
      </c>
      <c r="Q60" s="3" t="e">
        <f>(M60)</f>
        <v>#N/A</v>
      </c>
      <c r="R60" s="20">
        <f t="shared" si="79"/>
        <v>1000</v>
      </c>
      <c r="S60" s="23"/>
      <c r="T60" s="12">
        <v>40</v>
      </c>
      <c r="U60" s="28"/>
      <c r="V60" s="28"/>
      <c r="W60" s="12">
        <v>40</v>
      </c>
      <c r="X60" s="28"/>
      <c r="Y60" s="28"/>
      <c r="Z60" s="12">
        <v>40</v>
      </c>
      <c r="AA60" s="28"/>
      <c r="AB60" s="28"/>
      <c r="AC60" s="158"/>
      <c r="AD60" s="28"/>
      <c r="AE60" s="28"/>
      <c r="AF60" s="158"/>
      <c r="AG60" s="28"/>
      <c r="AH60" s="28"/>
      <c r="AI60" s="29"/>
      <c r="AJ60" s="6">
        <f>PI()/4*T60^2*$O$12/$AX$16</f>
        <v>8377.5804095727817</v>
      </c>
      <c r="AK60" s="28" t="str">
        <f>IF(W60=0,"","+")</f>
        <v>+</v>
      </c>
      <c r="AL60" s="6">
        <f>PI()/4*W60^2*$O$12/$AX$16</f>
        <v>8377.5804095727817</v>
      </c>
      <c r="AM60" s="28" t="str">
        <f>IF(Z60=0,"","+")</f>
        <v>+</v>
      </c>
      <c r="AN60" s="6">
        <f>PI()/4*Z60^2*$O$12/$AX$16</f>
        <v>8377.5804095727817</v>
      </c>
      <c r="AO60" s="28" t="str">
        <f>IF(AC60=0,"","+")</f>
        <v/>
      </c>
      <c r="AP60" s="6">
        <f>PI()/4*AC60^2*$O$12/$AX$16</f>
        <v>0</v>
      </c>
      <c r="AQ60" s="28" t="str">
        <f>IF(AF60=0,"","+")</f>
        <v/>
      </c>
      <c r="AR60" s="6">
        <f>PI()/4*AF60^2*$O$12/$AX$16</f>
        <v>0</v>
      </c>
      <c r="AS60" s="28" t="str">
        <f>IF(AI60=0,"","+")</f>
        <v/>
      </c>
      <c r="AT60" s="6">
        <f>PI()/4*AI60^2*$O$12/$AX$16</f>
        <v>0</v>
      </c>
      <c r="AU60" s="28" t="s">
        <v>24</v>
      </c>
      <c r="AV60" s="15">
        <f>VALUE(AJ60)+VALUE(AL60)+VALUE(AN60)+VALUE(AP60)+VALUE(AR60)+VALUE(AT60)</f>
        <v>25132.741228718347</v>
      </c>
      <c r="AW60" s="228">
        <f>MAX(0.3*$AJ$14^(2/3)/$AJ$16*0.26*100,0.13)</f>
        <v>0.15723814702688016</v>
      </c>
      <c r="AX60" s="6">
        <f>AW60/100*$O$12*BK60</f>
        <v>1284.6356612096108</v>
      </c>
      <c r="AY60" s="6"/>
      <c r="AZ60" s="6"/>
      <c r="BA60" s="24" t="str">
        <f>IF(BB60=0,"","+")</f>
        <v/>
      </c>
      <c r="BB60" s="24"/>
      <c r="BC60" s="28" t="s">
        <v>24</v>
      </c>
      <c r="BD60" s="15">
        <f>AX60+AZ60+BB60</f>
        <v>1284.6356612096108</v>
      </c>
      <c r="BE60" s="2">
        <f>(R60-($AX$14+$O$16+T60/2))</f>
        <v>897</v>
      </c>
      <c r="BF60" s="3">
        <f>IF(W60=0,0,(R60-($AX$14+T60/2+$O$16+$BI$16)))</f>
        <v>817</v>
      </c>
      <c r="BG60" s="3">
        <f>IF(Z60=0,0,(R60-($AX$14+T60/2+$BI$16+$O$16+$BI$17)))</f>
        <v>737</v>
      </c>
      <c r="BH60" s="3">
        <f>IF(AC60=0,0,(R60-($AX$14+T60/2+$O$16+$BI$16+$BI$17+$BI$18)))</f>
        <v>0</v>
      </c>
      <c r="BI60" s="3">
        <f>IF(AF60=0,0,(R60-($AX$14+T60/2+$O$16+$BI$16+$BI$17+$BI$18+$BL$16)))</f>
        <v>0</v>
      </c>
      <c r="BJ60" s="3">
        <f>IF(AI60=0,0,(R60-($AX$14+T60/2+$O$16+$BI$16+$BI$17+$BI$18+$BL$16+$BL$17)))</f>
        <v>0</v>
      </c>
      <c r="BK60" s="6">
        <f>(BE60*AJ60+BF60*AL60+BG60*AN60+BH60*AP60+BI60*AR60+BJ60*AT60)/AV60</f>
        <v>816.99999999999989</v>
      </c>
      <c r="BL60" s="175" t="e">
        <f>ABS(N60)*1000000/$O$12/BK60^2</f>
        <v>#N/A</v>
      </c>
      <c r="BM60" s="175" t="e">
        <f>BL60/$AJ$14</f>
        <v>#N/A</v>
      </c>
      <c r="BN60" s="21" t="e">
        <f>IF(BM60&lt;0.167,0.5+SQRT(0.25-(BM60/1.134)),0.82)</f>
        <v>#N/A</v>
      </c>
      <c r="BO60" s="15" t="e">
        <f>ABS(N60)/(0.87*$AJ$16*BN60*BK60)*10^6</f>
        <v>#N/A</v>
      </c>
      <c r="BP60" s="22">
        <v>-893.72936621182919</v>
      </c>
      <c r="BQ60" s="175" t="e">
        <f>IF(Q60=0,2*ABS(P60*10^6)/$O$12/BP60/(BK60-BP60/3),Q60*BP60*1000/($O$12/2*BP60^2-(BE60-BP60)*AJ60*$AJ$18-(BF60-BP60)*AL60*$AJ$18-(BG60-BP60)*AN60*$AJ$18-(BH60-BP60)*AP60*$AJ$18-(BI60-BP60)*AR60*$AJ$18-(BJ60-BP60)*AT60*$AJ$18))</f>
        <v>#N/A</v>
      </c>
      <c r="BR60" s="3" t="e">
        <f>0.5*$O$12*BP60*BQ60 /1000</f>
        <v>#N/A</v>
      </c>
      <c r="BS60" s="3" t="e">
        <f>($BQ60/$BP60)*(BE60-$BP60)*$AJ$18*AJ60/1000</f>
        <v>#N/A</v>
      </c>
      <c r="BT60" s="3" t="e">
        <f>($BQ60/$BP60)*(BF60-$BP60)*$AJ$18*AL60/1000</f>
        <v>#N/A</v>
      </c>
      <c r="BU60" s="3" t="e">
        <f>($BQ60/$BP60)*(BG60-$BP60)*$AJ$18*AN60/1000</f>
        <v>#N/A</v>
      </c>
      <c r="BV60" s="3" t="e">
        <f>($BQ60/$BP60)*(BH60-$BP60)*$AJ$18*AP60/1000</f>
        <v>#N/A</v>
      </c>
      <c r="BW60" s="3" t="e">
        <f>($BQ60/$BP60)*(BI60-$BP60)*$AJ$18*AR60/1000</f>
        <v>#N/A</v>
      </c>
      <c r="BX60" s="3" t="e">
        <f>($BQ60/$BP60)*(BJ60-$BP60)*$AJ$18*AT60/1000</f>
        <v>#N/A</v>
      </c>
      <c r="BY60" s="175" t="e">
        <f>IF(Q60=0,0,(0.5*$O$12*BP60*BQ60/1000*(R60/2-$BP60/3)+BS60*(BE60-R60/2)+BT60*(BF60-R60/2)+BU60*(BG60-R60/2)+BV60*(BH60-R60/2)+BW60*(BI60-R60/2)+BX60*(BJ60-R60/2))/1000-ABS(P60))</f>
        <v>#N/A</v>
      </c>
      <c r="BZ60" s="10"/>
      <c r="CA60" s="176" t="e">
        <f>ABS(P60)/(BK60-BP60/3)/AV60*10^6-Q60*(R60/2-BP60/3)/(BK60-BP60/3)/AV60*1000</f>
        <v>#N/A</v>
      </c>
      <c r="CB60" s="177">
        <f>(AV60/($O$12*MIN(2.5*(R60-BK60),(R60-BP60)/3,R60/2)-AV60))</f>
        <v>5.8128224834002346E-2</v>
      </c>
      <c r="CC60" s="177">
        <f>3.4*($O$16+$AX$14)+0.425*0.8*0.5*(T60^2+W60^2+Z60^2+AC60^2+AF60^2+AI60^2)/(T60+W60+Z60+AC60+AF60+AI60)/CB60</f>
        <v>399.18275698972167</v>
      </c>
      <c r="CD60" s="177" t="e">
        <f>MAX(0.6*CA60/$AJ$17,(CA60-0.4*0.3*$AJ$14^(2/3)/CB60*(1+$AJ$17/$AJ$15*CB60))/$AJ$17)</f>
        <v>#N/A</v>
      </c>
      <c r="CE60" s="178" t="e">
        <f>CC60*CD60/1000</f>
        <v>#N/A</v>
      </c>
      <c r="CF60" s="23" t="e">
        <f>IF(AND(AV60&gt;=BD60,AV60&gt;=BO60,CE60&lt;=(+IF(CO60="External",0.25,0.3))),"O.K", "Not O.K")</f>
        <v>#N/A</v>
      </c>
      <c r="CG60" s="28"/>
      <c r="CH60" s="179" t="e">
        <f>IF(O60&lt;0.2*$AJ$14*R60*$O$12/1000,"N &lt; 0.2fckAc - OK!","TBA")</f>
        <v>#N/A</v>
      </c>
      <c r="CI60" s="24">
        <v>100</v>
      </c>
      <c r="CJ60" s="25"/>
      <c r="CK60" s="6" t="e">
        <f t="shared" si="35"/>
        <v>#N/A</v>
      </c>
      <c r="CL60" s="8" t="s">
        <v>72</v>
      </c>
      <c r="CM60" s="6" t="e">
        <f t="shared" si="36"/>
        <v>#N/A</v>
      </c>
      <c r="CN60" s="26" t="s">
        <v>147</v>
      </c>
      <c r="CO60" s="15" t="e">
        <f>IF(VLOOKUP(CI60,'Summary-input'!A:C,3,0)="Outward",
IF(CP60&lt;0,"External","Internal"),
IF(CP60&lt;0,"Internal","External")
)</f>
        <v>#N/A</v>
      </c>
      <c r="CP60" t="e">
        <f>VLOOKUP(CI60&amp;CN60,'Summary-output-ULS'!A:G,6,0)</f>
        <v>#N/A</v>
      </c>
      <c r="CQ60" t="e">
        <f>VLOOKUP(CI60&amp;CN60,'Summary-output-ULS'!A:G,7,0)</f>
        <v>#N/A</v>
      </c>
      <c r="CR60" s="3" t="e">
        <f>VLOOKUP(CI60&amp;CN60,'Summary-output-SLS'!A:G,6,0)</f>
        <v>#N/A</v>
      </c>
      <c r="CS60" s="3" t="e">
        <f>VLOOKUP(CI60&amp;CN60,'Summary-output-SLS'!A:G,7,0)</f>
        <v>#N/A</v>
      </c>
      <c r="CT60" s="20">
        <v>1000</v>
      </c>
      <c r="CU60" s="2" t="e">
        <f>VLOOKUP(CI60&amp;CN60,'Summary-output-ULS'!A:G,5,0)</f>
        <v>#N/A</v>
      </c>
      <c r="CV60" s="15" t="e">
        <f>VLOOKUP(CI60&amp;CN60,'Summary-output-SLS'!A:G,5,0)</f>
        <v>#N/A</v>
      </c>
      <c r="CW60" s="6"/>
      <c r="CX60" s="278">
        <f>CI60</f>
        <v>100</v>
      </c>
      <c r="CY60" s="6" t="e">
        <f t="shared" ref="CY60:DD60" si="83">MAX(DN60:DN63)</f>
        <v>#N/A</v>
      </c>
      <c r="CZ60" s="6" t="e">
        <f t="shared" si="83"/>
        <v>#N/A</v>
      </c>
      <c r="DA60" s="6" t="e">
        <f t="shared" si="83"/>
        <v>#N/A</v>
      </c>
      <c r="DB60" s="6" t="e">
        <f t="shared" si="83"/>
        <v>#N/A</v>
      </c>
      <c r="DC60" s="6" t="e">
        <f t="shared" si="83"/>
        <v>#N/A</v>
      </c>
      <c r="DD60" s="6" t="e">
        <f t="shared" si="83"/>
        <v>#N/A</v>
      </c>
      <c r="DE60" s="6"/>
      <c r="DF60" s="6" t="e">
        <f t="shared" ref="DF60:DK60" si="84">MAX(DU60:DU63)</f>
        <v>#N/A</v>
      </c>
      <c r="DG60" s="6" t="e">
        <f t="shared" si="84"/>
        <v>#N/A</v>
      </c>
      <c r="DH60" s="6" t="e">
        <f t="shared" si="84"/>
        <v>#N/A</v>
      </c>
      <c r="DI60" s="6" t="e">
        <f t="shared" si="84"/>
        <v>#N/A</v>
      </c>
      <c r="DJ60" s="6" t="e">
        <f t="shared" si="84"/>
        <v>#N/A</v>
      </c>
      <c r="DK60" s="6" t="e">
        <f t="shared" si="84"/>
        <v>#N/A</v>
      </c>
      <c r="DL60" s="13"/>
      <c r="DM60" s="202">
        <f>CI60</f>
        <v>100</v>
      </c>
      <c r="DN60" s="206" t="e">
        <f>IF(CO60="external",T60,0)</f>
        <v>#N/A</v>
      </c>
      <c r="DO60" s="206" t="e">
        <f>IF(CO60="external",W60,0)</f>
        <v>#N/A</v>
      </c>
      <c r="DP60" s="206" t="e">
        <f>IF(CO60="external",Z60,0)</f>
        <v>#N/A</v>
      </c>
      <c r="DQ60" s="206" t="e">
        <f>IF(CO60="external",AC60,0)</f>
        <v>#N/A</v>
      </c>
      <c r="DR60" s="206" t="e">
        <f>IF(CO60="external",AF60,0)</f>
        <v>#N/A</v>
      </c>
      <c r="DS60" s="207" t="e">
        <f>IF(CO60="external",AI60,0)</f>
        <v>#N/A</v>
      </c>
      <c r="DT60" s="208"/>
      <c r="DU60" s="207" t="e">
        <f>IF(CO60="internal",T60,0)</f>
        <v>#N/A</v>
      </c>
      <c r="DV60" s="207" t="e">
        <f>IF(CO60="internal",W60,0)</f>
        <v>#N/A</v>
      </c>
      <c r="DW60" s="207" t="e">
        <f>IF(CO60="internal",Z60,0)</f>
        <v>#N/A</v>
      </c>
      <c r="DX60" s="207" t="e">
        <f>IF(CO60="internal",AC60,0)</f>
        <v>#N/A</v>
      </c>
      <c r="DY60" s="207" t="e">
        <f>IF(CO60="internal",AF60,0)</f>
        <v>#N/A</v>
      </c>
      <c r="DZ60" s="207" t="e">
        <f>IF(CO60="internal",AI60,0)</f>
        <v>#N/A</v>
      </c>
    </row>
    <row r="61" spans="1:131" s="7" customFormat="1" x14ac:dyDescent="0.3">
      <c r="B61" s="19">
        <f>+CI61</f>
        <v>100</v>
      </c>
      <c r="C61" s="6">
        <f t="shared" si="80"/>
        <v>0</v>
      </c>
      <c r="D61" s="6" t="e">
        <f t="shared" si="80"/>
        <v>#N/A</v>
      </c>
      <c r="E61" s="6" t="str">
        <f t="shared" si="80"/>
        <v>--</v>
      </c>
      <c r="F61" s="6" t="e">
        <f>+CM61</f>
        <v>#N/A</v>
      </c>
      <c r="G61" s="174" t="str">
        <f t="shared" si="81"/>
        <v>Min Mz</v>
      </c>
      <c r="H61" s="6" t="e">
        <f t="shared" si="81"/>
        <v>#N/A</v>
      </c>
      <c r="I61" s="156"/>
      <c r="J61" s="10" t="e">
        <f t="shared" si="82"/>
        <v>#N/A</v>
      </c>
      <c r="K61" s="10" t="e">
        <f t="shared" si="82"/>
        <v>#N/A</v>
      </c>
      <c r="L61" s="10" t="e">
        <f t="shared" si="82"/>
        <v>#N/A</v>
      </c>
      <c r="M61" s="10" t="e">
        <f t="shared" si="82"/>
        <v>#N/A</v>
      </c>
      <c r="N61" s="10" t="e">
        <f>IF(I61*J61&gt;=0,J61*$J$19+I61*$J$18,J61)</f>
        <v>#N/A</v>
      </c>
      <c r="O61" s="10" t="e">
        <f>(K61)*$J$19</f>
        <v>#N/A</v>
      </c>
      <c r="P61" s="14" t="e">
        <f>IF(I61*L61&gt;=0,(L61)+I61,L61)</f>
        <v>#N/A</v>
      </c>
      <c r="Q61" s="3" t="e">
        <f>(M61)</f>
        <v>#N/A</v>
      </c>
      <c r="R61" s="20">
        <f t="shared" si="79"/>
        <v>1000</v>
      </c>
      <c r="S61" s="23"/>
      <c r="T61" s="12">
        <v>20</v>
      </c>
      <c r="U61" s="28"/>
      <c r="V61" s="28"/>
      <c r="W61" s="12"/>
      <c r="X61" s="28"/>
      <c r="Y61" s="28"/>
      <c r="Z61" s="12"/>
      <c r="AA61" s="28"/>
      <c r="AB61" s="28"/>
      <c r="AC61" s="158"/>
      <c r="AD61" s="28"/>
      <c r="AE61" s="28"/>
      <c r="AF61" s="158"/>
      <c r="AG61" s="28"/>
      <c r="AH61" s="28"/>
      <c r="AI61" s="29"/>
      <c r="AJ61" s="6">
        <f>PI()/4*T61^2*$O$12/$AX$16</f>
        <v>2094.3951023931954</v>
      </c>
      <c r="AK61" s="28" t="str">
        <f>IF(W61=0,"","+")</f>
        <v/>
      </c>
      <c r="AL61" s="6">
        <f>PI()/4*W61^2*$O$12/$AX$16</f>
        <v>0</v>
      </c>
      <c r="AM61" s="28" t="str">
        <f>IF(Z61=0,"","+")</f>
        <v/>
      </c>
      <c r="AN61" s="6">
        <f>PI()/4*Z61^2*$O$12/$AX$16</f>
        <v>0</v>
      </c>
      <c r="AO61" s="28" t="str">
        <f>IF(AC61=0,"","+")</f>
        <v/>
      </c>
      <c r="AP61" s="6">
        <f>PI()/4*AC61^2*$O$12/$AX$16</f>
        <v>0</v>
      </c>
      <c r="AQ61" s="28" t="str">
        <f>IF(AF61=0,"","+")</f>
        <v/>
      </c>
      <c r="AR61" s="6">
        <f>PI()/4*AF61^2*$O$12/$AX$16</f>
        <v>0</v>
      </c>
      <c r="AS61" s="28" t="str">
        <f>IF(AI61=0,"","+")</f>
        <v/>
      </c>
      <c r="AT61" s="6">
        <f>PI()/4*AI61^2*$O$12/$AX$16</f>
        <v>0</v>
      </c>
      <c r="AU61" s="28" t="s">
        <v>24</v>
      </c>
      <c r="AV61" s="15">
        <f>VALUE(AJ61)+VALUE(AL61)+VALUE(AN61)+VALUE(AP61)+VALUE(AR61)+VALUE(AT61)</f>
        <v>2094.3951023931954</v>
      </c>
      <c r="AW61" s="228">
        <f>MAX(0.3*$AJ$14^(2/3)/$AJ$16*0.26*100,0.13)</f>
        <v>0.15723814702688016</v>
      </c>
      <c r="AX61" s="6">
        <f>AW61/100*$O$12*BK61</f>
        <v>1426.1499935338031</v>
      </c>
      <c r="AY61" s="6"/>
      <c r="AZ61" s="6"/>
      <c r="BA61" s="24" t="str">
        <f>IF(BB61=0,"","+")</f>
        <v/>
      </c>
      <c r="BB61" s="24"/>
      <c r="BC61" s="28" t="s">
        <v>24</v>
      </c>
      <c r="BD61" s="15">
        <f>AX61+AZ61+BB61</f>
        <v>1426.1499935338031</v>
      </c>
      <c r="BE61" s="2">
        <f>(R61-($AX$14+$O$16+T61/2))</f>
        <v>907</v>
      </c>
      <c r="BF61" s="3">
        <f>IF(W61=0,0,(R61-($AX$14+T61/2+$O$16+$BI$16)))</f>
        <v>0</v>
      </c>
      <c r="BG61" s="3">
        <f>IF(Z61=0,0,(R61-($AX$14+T61/2+$BI$16+$O$16+$BI$17)))</f>
        <v>0</v>
      </c>
      <c r="BH61" s="3">
        <f>IF(AC61=0,0,(R61-($AX$14+T61/2+$O$16+$BI$16+$BI$17+$BI$18)))</f>
        <v>0</v>
      </c>
      <c r="BI61" s="3">
        <f>IF(AF61=0,0,(R61-($AX$14+T61/2+$O$16+$BI$16+$BI$17+$BI$18+$BL$16)))</f>
        <v>0</v>
      </c>
      <c r="BJ61" s="3">
        <f>IF(AI61=0,0,(R61-($AX$14+T61/2+$O$16+$BI$16+$BI$17+$BI$18+$BL$16+$BL$17)))</f>
        <v>0</v>
      </c>
      <c r="BK61" s="6">
        <f>(BE61*AJ61+BF61*AL61+BG61*AN61+BH61*AP61+BI61*AR61+BJ61*AT61)/AV61</f>
        <v>907</v>
      </c>
      <c r="BL61" s="175" t="e">
        <f>ABS(N61)*1000000/$O$12/BK61^2</f>
        <v>#N/A</v>
      </c>
      <c r="BM61" s="175" t="e">
        <f>BL61/$AJ$14</f>
        <v>#N/A</v>
      </c>
      <c r="BN61" s="21" t="e">
        <f>IF(BM61&lt;0.167,0.5+SQRT(0.25-(BM61/1.134)),0.82)</f>
        <v>#N/A</v>
      </c>
      <c r="BO61" s="15" t="e">
        <f>ABS(N61)/(0.87*$AJ$16*BN61*BK61)*10^6</f>
        <v>#N/A</v>
      </c>
      <c r="BP61" s="22">
        <v>2833.8598274863316</v>
      </c>
      <c r="BQ61" s="175" t="e">
        <f>IF(Q61=0,2*ABS(P61*10^6)/$O$12/BP61/(BK61-BP61/3),Q61*BP61*1000/($O$12/2*BP61^2-(BE61-BP61)*AJ61*$AJ$18-(BF61-BP61)*AL61*$AJ$18-(BG61-BP61)*AN61*$AJ$18-(BH61-BP61)*AP61*$AJ$18-(BI61-BP61)*AR61*$AJ$18-(BJ61-BP61)*AT61*$AJ$18))</f>
        <v>#N/A</v>
      </c>
      <c r="BR61" s="3" t="e">
        <f>0.5*$O$12*BP61*BQ61 /1000</f>
        <v>#N/A</v>
      </c>
      <c r="BS61" s="3" t="e">
        <f>($BQ61/$BP61)*(BE61-$BP61)*$AJ$18*AJ61/1000</f>
        <v>#N/A</v>
      </c>
      <c r="BT61" s="3" t="e">
        <f>($BQ61/$BP61)*(BF61-$BP61)*$AJ$18*AL61/1000</f>
        <v>#N/A</v>
      </c>
      <c r="BU61" s="3" t="e">
        <f>($BQ61/$BP61)*(BG61-$BP61)*$AJ$18*AN61/1000</f>
        <v>#N/A</v>
      </c>
      <c r="BV61" s="3" t="e">
        <f>($BQ61/$BP61)*(BH61-$BP61)*$AJ$18*AP61/1000</f>
        <v>#N/A</v>
      </c>
      <c r="BW61" s="3" t="e">
        <f>($BQ61/$BP61)*(BI61-$BP61)*$AJ$18*AR61/1000</f>
        <v>#N/A</v>
      </c>
      <c r="BX61" s="3" t="e">
        <f>($BQ61/$BP61)*(BJ61-$BP61)*$AJ$18*AT61/1000</f>
        <v>#N/A</v>
      </c>
      <c r="BY61" s="175" t="e">
        <f>IF(Q61=0,0,(0.5*$O$12*BP61*BQ61/1000*(R61/2-$BP61/3)+BS61*(BE61-R61/2)+BT61*(BF61-R61/2)+BU61*(BG61-R61/2)+BV61*(BH61-R61/2)+BW61*(BI61-R61/2)+BX61*(BJ61-R61/2))/1000-ABS(P61))</f>
        <v>#N/A</v>
      </c>
      <c r="BZ61" s="10"/>
      <c r="CA61" s="176" t="e">
        <f>ABS(P61)/(BK61-BP61/3)/AV61*10^6-Q61*(R61/2-BP61/3)/(BK61-BP61/3)/AV61*1000</f>
        <v>#N/A</v>
      </c>
      <c r="CB61" s="177">
        <f>(AV61/($O$12*MIN(2.5*(R61-BK61),(R61-BP61)/3,R61/2)-AV61))</f>
        <v>-3.4145092329759285E-3</v>
      </c>
      <c r="CC61" s="177">
        <f>3.4*($O$16+$AX$14)+0.425*0.8*0.5*(T61^2+W61^2+Z61^2+AC61^2+AF61^2+AI61^2)/(T61+W61+Z61+AC61+AF61+AI61)/CB61</f>
        <v>-713.55071203914031</v>
      </c>
      <c r="CD61" s="177" t="e">
        <f>MAX(0.6*CA61/$AJ$17,(CA61-0.4*0.3*$AJ$14^(2/3)/CB61*(1+$AJ$17/$AJ$15*CB61))/$AJ$17)</f>
        <v>#N/A</v>
      </c>
      <c r="CE61" s="178" t="e">
        <f>CC61*CD61/1000</f>
        <v>#N/A</v>
      </c>
      <c r="CF61" s="23" t="e">
        <f>IF(AND(AV61&gt;=BD61,AV61&gt;=BO61,CE61&lt;=(+IF(CO61="External",0.25,0.3))),"O.K", "Not O.K")</f>
        <v>#N/A</v>
      </c>
      <c r="CG61" s="28"/>
      <c r="CH61" s="179" t="e">
        <f>IF(O61&lt;0.2*$AJ$14*R61*$O$12/1000,"N &lt; 0.2fckAc - OK!","TBA")</f>
        <v>#N/A</v>
      </c>
      <c r="CI61" s="24">
        <v>100</v>
      </c>
      <c r="CJ61" s="25"/>
      <c r="CK61" s="6" t="e">
        <f t="shared" si="35"/>
        <v>#N/A</v>
      </c>
      <c r="CL61" s="8" t="s">
        <v>72</v>
      </c>
      <c r="CM61" s="6" t="e">
        <f t="shared" si="36"/>
        <v>#N/A</v>
      </c>
      <c r="CN61" s="26" t="s">
        <v>148</v>
      </c>
      <c r="CO61" s="15" t="e">
        <f>IF(VLOOKUP(CI61,'Summary-input'!A:C,3,0)="Outward",
IF(CP61&lt;0,"External","Internal"),
IF(CP61&lt;0,"Internal","External")
)</f>
        <v>#N/A</v>
      </c>
      <c r="CP61" t="e">
        <f>VLOOKUP(CI61&amp;CN61,'Summary-output-ULS'!A:G,6,0)</f>
        <v>#N/A</v>
      </c>
      <c r="CQ61" t="e">
        <f>VLOOKUP(CI61&amp;CN61,'Summary-output-ULS'!A:G,7,0)</f>
        <v>#N/A</v>
      </c>
      <c r="CR61" s="3" t="e">
        <f>VLOOKUP(CI61&amp;CN61,'Summary-output-SLS'!A:G,6,0)</f>
        <v>#N/A</v>
      </c>
      <c r="CS61" s="3" t="e">
        <f>VLOOKUP(CI61&amp;CN61,'Summary-output-SLS'!A:G,7,0)</f>
        <v>#N/A</v>
      </c>
      <c r="CT61" s="20">
        <v>1000</v>
      </c>
      <c r="CU61" s="2" t="e">
        <f>VLOOKUP(CI61&amp;CN61,'Summary-output-ULS'!A:G,5,0)</f>
        <v>#N/A</v>
      </c>
      <c r="CV61" s="15" t="e">
        <f>VLOOKUP(CI61&amp;CN61,'Summary-output-SLS'!A:G,5,0)</f>
        <v>#N/A</v>
      </c>
      <c r="CW61" s="6"/>
      <c r="CX61" s="278"/>
      <c r="CY61" s="6"/>
      <c r="CZ61" s="6"/>
      <c r="DA61" s="6"/>
      <c r="DB61" s="6"/>
      <c r="DC61" s="6"/>
      <c r="DD61" s="6"/>
      <c r="DE61" s="6"/>
      <c r="DF61" s="6"/>
      <c r="DG61" s="6"/>
      <c r="DH61" s="6"/>
      <c r="DI61" s="6"/>
      <c r="DJ61" s="212"/>
      <c r="DK61" s="13"/>
      <c r="DL61" s="13"/>
      <c r="DM61" s="202"/>
      <c r="DN61" s="206" t="e">
        <f>IF(CO61="external",T61,0)</f>
        <v>#N/A</v>
      </c>
      <c r="DO61" s="206" t="e">
        <f>IF(CO61="external",W61,0)</f>
        <v>#N/A</v>
      </c>
      <c r="DP61" s="206" t="e">
        <f>IF(CO61="external",Z61,0)</f>
        <v>#N/A</v>
      </c>
      <c r="DQ61" s="206" t="e">
        <f>IF(CO61="external",AC61,0)</f>
        <v>#N/A</v>
      </c>
      <c r="DR61" s="206" t="e">
        <f>IF(CO61="external",AF61,0)</f>
        <v>#N/A</v>
      </c>
      <c r="DS61" s="207" t="e">
        <f>IF(CO61="external",AI61,0)</f>
        <v>#N/A</v>
      </c>
      <c r="DT61" s="208"/>
      <c r="DU61" s="207" t="e">
        <f>IF(CO61="internal",T61,0)</f>
        <v>#N/A</v>
      </c>
      <c r="DV61" s="207" t="e">
        <f>IF(CO61="internal",W61,0)</f>
        <v>#N/A</v>
      </c>
      <c r="DW61" s="207" t="e">
        <f>IF(CO61="internal",Z61,0)</f>
        <v>#N/A</v>
      </c>
      <c r="DX61" s="207" t="e">
        <f>IF(CO61="internal",AC61,0)</f>
        <v>#N/A</v>
      </c>
      <c r="DY61" s="207" t="e">
        <f>IF(CO61="internal",AF61,0)</f>
        <v>#N/A</v>
      </c>
      <c r="DZ61" s="207" t="e">
        <f>IF(CO61="internal",AI61,0)</f>
        <v>#N/A</v>
      </c>
    </row>
    <row r="62" spans="1:131" s="7" customFormat="1" x14ac:dyDescent="0.3">
      <c r="B62" s="19">
        <f>+CI62</f>
        <v>100</v>
      </c>
      <c r="C62" s="6">
        <f t="shared" si="80"/>
        <v>0</v>
      </c>
      <c r="D62" s="6" t="e">
        <f t="shared" si="80"/>
        <v>#N/A</v>
      </c>
      <c r="E62" s="6" t="str">
        <f t="shared" si="80"/>
        <v>--</v>
      </c>
      <c r="F62" s="6" t="e">
        <f>+CM62</f>
        <v>#N/A</v>
      </c>
      <c r="G62" s="174" t="str">
        <f t="shared" si="81"/>
        <v>Max Fx</v>
      </c>
      <c r="H62" s="6" t="e">
        <f t="shared" si="81"/>
        <v>#N/A</v>
      </c>
      <c r="I62" s="156"/>
      <c r="J62" s="10" t="e">
        <f t="shared" si="82"/>
        <v>#N/A</v>
      </c>
      <c r="K62" s="10" t="e">
        <f t="shared" si="82"/>
        <v>#N/A</v>
      </c>
      <c r="L62" s="10" t="e">
        <f t="shared" si="82"/>
        <v>#N/A</v>
      </c>
      <c r="M62" s="10" t="e">
        <f t="shared" si="82"/>
        <v>#N/A</v>
      </c>
      <c r="N62" s="10" t="e">
        <f>IF(I62*J62&gt;=0,J62*$J$19+I62*$J$18,J62)</f>
        <v>#N/A</v>
      </c>
      <c r="O62" s="10" t="e">
        <f>(K62)*$J$19</f>
        <v>#N/A</v>
      </c>
      <c r="P62" s="14" t="e">
        <f>IF(I62*L62&gt;=0,(L62)+I62,L62)</f>
        <v>#N/A</v>
      </c>
      <c r="Q62" s="3" t="e">
        <f>(M62)</f>
        <v>#N/A</v>
      </c>
      <c r="R62" s="20">
        <f t="shared" si="79"/>
        <v>1000</v>
      </c>
      <c r="S62" s="23"/>
      <c r="T62" s="12">
        <v>25</v>
      </c>
      <c r="U62" s="28"/>
      <c r="V62" s="28"/>
      <c r="W62" s="12"/>
      <c r="X62" s="28"/>
      <c r="Y62" s="28"/>
      <c r="Z62" s="12"/>
      <c r="AA62" s="28"/>
      <c r="AB62" s="28"/>
      <c r="AC62" s="158"/>
      <c r="AD62" s="28"/>
      <c r="AE62" s="28"/>
      <c r="AF62" s="158"/>
      <c r="AG62" s="28"/>
      <c r="AH62" s="28"/>
      <c r="AI62" s="29"/>
      <c r="AJ62" s="6">
        <f>PI()/4*T62^2*$O$12/$AX$16</f>
        <v>3272.4923474893681</v>
      </c>
      <c r="AK62" s="28" t="str">
        <f>IF(W62=0,"","+")</f>
        <v/>
      </c>
      <c r="AL62" s="6">
        <f>PI()/4*W62^2*$O$12/$AX$16</f>
        <v>0</v>
      </c>
      <c r="AM62" s="28" t="str">
        <f>IF(Z62=0,"","+")</f>
        <v/>
      </c>
      <c r="AN62" s="6">
        <f>PI()/4*Z62^2*$O$12/$AX$16</f>
        <v>0</v>
      </c>
      <c r="AO62" s="28" t="str">
        <f>IF(AC62=0,"","+")</f>
        <v/>
      </c>
      <c r="AP62" s="6">
        <f>PI()/4*AC62^2*$O$12/$AX$16</f>
        <v>0</v>
      </c>
      <c r="AQ62" s="28" t="str">
        <f>IF(AF62=0,"","+")</f>
        <v/>
      </c>
      <c r="AR62" s="6">
        <f>PI()/4*AF62^2*$O$12/$AX$16</f>
        <v>0</v>
      </c>
      <c r="AS62" s="28" t="str">
        <f>IF(AI62=0,"","+")</f>
        <v/>
      </c>
      <c r="AT62" s="6">
        <f>PI()/4*AI62^2*$O$12/$AX$16</f>
        <v>0</v>
      </c>
      <c r="AU62" s="28" t="s">
        <v>24</v>
      </c>
      <c r="AV62" s="15">
        <f>VALUE(AJ62)+VALUE(AL62)+VALUE(AN62)+VALUE(AP62)+VALUE(AR62)+VALUE(AT62)</f>
        <v>3272.4923474893681</v>
      </c>
      <c r="AW62" s="228">
        <f>MAX(0.3*$AJ$14^(2/3)/$AJ$16*0.26*100,0.13)</f>
        <v>0.15723814702688016</v>
      </c>
      <c r="AX62" s="6">
        <f>AW62/100*$O$12*BK62</f>
        <v>1422.2190398581311</v>
      </c>
      <c r="AY62" s="6"/>
      <c r="AZ62" s="6"/>
      <c r="BA62" s="24" t="str">
        <f>IF(BB62=0,"","+")</f>
        <v/>
      </c>
      <c r="BB62" s="24"/>
      <c r="BC62" s="28" t="s">
        <v>24</v>
      </c>
      <c r="BD62" s="15">
        <f>AX62+AZ62+BB62</f>
        <v>1422.2190398581311</v>
      </c>
      <c r="BE62" s="2">
        <f>(R62-($AX$14+$O$16+T62/2))</f>
        <v>904.5</v>
      </c>
      <c r="BF62" s="3">
        <f>IF(W62=0,0,(R62-($AX$14+T62/2+$O$16+$BI$16)))</f>
        <v>0</v>
      </c>
      <c r="BG62" s="3">
        <f>IF(Z62=0,0,(R62-($AX$14+T62/2+$BI$16+$O$16+$BI$17)))</f>
        <v>0</v>
      </c>
      <c r="BH62" s="3">
        <f>IF(AC62=0,0,(R62-($AX$14+T62/2+$O$16+$BI$16+$BI$17+$BI$18)))</f>
        <v>0</v>
      </c>
      <c r="BI62" s="3">
        <f>IF(AF62=0,0,(R62-($AX$14+T62/2+$O$16+$BI$16+$BI$17+$BI$18+$BL$16)))</f>
        <v>0</v>
      </c>
      <c r="BJ62" s="3">
        <f>IF(AI62=0,0,(R62-($AX$14+T62/2+$O$16+$BI$16+$BI$17+$BI$18+$BL$16+$BL$17)))</f>
        <v>0</v>
      </c>
      <c r="BK62" s="6">
        <f>(BE62*AJ62+BF62*AL62+BG62*AN62+BH62*AP62+BI62*AR62+BJ62*AT62)/AV62</f>
        <v>904.5</v>
      </c>
      <c r="BL62" s="175" t="e">
        <f>ABS(N62)*1000000/$O$12/BK62^2</f>
        <v>#N/A</v>
      </c>
      <c r="BM62" s="175" t="e">
        <f>BL62/$AJ$14</f>
        <v>#N/A</v>
      </c>
      <c r="BN62" s="21" t="e">
        <f>IF(BM62&lt;0.167,0.5+SQRT(0.25-(BM62/1.134)),0.82)</f>
        <v>#N/A</v>
      </c>
      <c r="BO62" s="15" t="e">
        <f>ABS(N62)/(0.87*$AJ$16*BN62*BK62)*10^6</f>
        <v>#N/A</v>
      </c>
      <c r="BP62" s="22">
        <v>3420.0266215221659</v>
      </c>
      <c r="BQ62" s="175" t="e">
        <f>IF(Q62=0,2*ABS(P62*10^6)/$O$12/BP62/(BK62-BP62/3),Q62*BP62*1000/($O$12/2*BP62^2-(BE62-BP62)*AJ62*$AJ$18-(BF62-BP62)*AL62*$AJ$18-(BG62-BP62)*AN62*$AJ$18-(BH62-BP62)*AP62*$AJ$18-(BI62-BP62)*AR62*$AJ$18-(BJ62-BP62)*AT62*$AJ$18))</f>
        <v>#N/A</v>
      </c>
      <c r="BR62" s="3" t="e">
        <f>0.5*$O$12*BP62*BQ62 /1000</f>
        <v>#N/A</v>
      </c>
      <c r="BS62" s="3" t="e">
        <f>($BQ62/$BP62)*(BE62-$BP62)*$AJ$18*AJ62/1000</f>
        <v>#N/A</v>
      </c>
      <c r="BT62" s="3" t="e">
        <f>($BQ62/$BP62)*(BF62-$BP62)*$AJ$18*AL62/1000</f>
        <v>#N/A</v>
      </c>
      <c r="BU62" s="3" t="e">
        <f>($BQ62/$BP62)*(BG62-$BP62)*$AJ$18*AN62/1000</f>
        <v>#N/A</v>
      </c>
      <c r="BV62" s="3" t="e">
        <f>($BQ62/$BP62)*(BH62-$BP62)*$AJ$18*AP62/1000</f>
        <v>#N/A</v>
      </c>
      <c r="BW62" s="3" t="e">
        <f>($BQ62/$BP62)*(BI62-$BP62)*$AJ$18*AR62/1000</f>
        <v>#N/A</v>
      </c>
      <c r="BX62" s="3" t="e">
        <f>($BQ62/$BP62)*(BJ62-$BP62)*$AJ$18*AT62/1000</f>
        <v>#N/A</v>
      </c>
      <c r="BY62" s="175" t="e">
        <f>IF(Q62=0,0,(0.5*$O$12*BP62*BQ62/1000*(R62/2-$BP62/3)+BS62*(BE62-R62/2)+BT62*(BF62-R62/2)+BU62*(BG62-R62/2)+BV62*(BH62-R62/2)+BW62*(BI62-R62/2)+BX62*(BJ62-R62/2))/1000-ABS(P62))</f>
        <v>#N/A</v>
      </c>
      <c r="BZ62" s="10"/>
      <c r="CA62" s="176" t="e">
        <f>ABS(P62)/(BK62-BP62/3)/AV62*10^6-Q62*(R62/2-BP62/3)/(BK62-BP62/3)/AV62*1000</f>
        <v>#N/A</v>
      </c>
      <c r="CB62" s="177">
        <f>(AV62/($O$12*MIN(2.5*(R62-BK62),(R62-BP62)/3,R62/2)-AV62))</f>
        <v>-4.0403732273471861E-3</v>
      </c>
      <c r="CC62" s="177">
        <f>3.4*($O$16+$AX$14)+0.425*0.8*0.5*(T62^2+W62^2+Z62^2+AC62^2+AF62^2+AI62^2)/(T62+W62+Z62+AC62+AF62+AI62)/CB62</f>
        <v>-769.68302190351119</v>
      </c>
      <c r="CD62" s="177" t="e">
        <f>MAX(0.6*CA62/$AJ$17,(CA62-0.4*0.3*$AJ$14^(2/3)/CB62*(1+$AJ$17/$AJ$15*CB62))/$AJ$17)</f>
        <v>#N/A</v>
      </c>
      <c r="CE62" s="178" t="e">
        <f>CC62*CD62/1000</f>
        <v>#N/A</v>
      </c>
      <c r="CF62" s="23" t="e">
        <f>IF(AND(AV62&gt;=BD62,AV62&gt;=BO62,CE62&lt;=(+IF(CO62="External",0.25,0.3))),"O.K", "Not O.K")</f>
        <v>#N/A</v>
      </c>
      <c r="CG62" s="28"/>
      <c r="CH62" s="179" t="e">
        <f>IF(O62&lt;0.2*$AJ$14*R62*$O$12/1000,"N &lt; 0.2fckAc - OK!","TBA")</f>
        <v>#N/A</v>
      </c>
      <c r="CI62" s="24">
        <v>100</v>
      </c>
      <c r="CJ62" s="25"/>
      <c r="CK62" s="6" t="e">
        <f t="shared" si="35"/>
        <v>#N/A</v>
      </c>
      <c r="CL62" s="8" t="s">
        <v>72</v>
      </c>
      <c r="CM62" s="6" t="e">
        <f t="shared" si="36"/>
        <v>#N/A</v>
      </c>
      <c r="CN62" s="26" t="s">
        <v>145</v>
      </c>
      <c r="CO62" s="15" t="e">
        <f>IF(VLOOKUP(CI62,'Summary-input'!A:C,3,0)="Outward",
IF(CP62&lt;0,"External","Internal"),
IF(CP62&lt;0,"Internal","External")
)</f>
        <v>#N/A</v>
      </c>
      <c r="CP62" t="e">
        <f>VLOOKUP(CI62&amp;CN62,'Summary-output-ULS'!A:G,6,0)</f>
        <v>#N/A</v>
      </c>
      <c r="CQ62" t="e">
        <f>VLOOKUP(CI62&amp;CN62,'Summary-output-ULS'!A:G,7,0)</f>
        <v>#N/A</v>
      </c>
      <c r="CR62" s="3" t="e">
        <f>VLOOKUP(CI62&amp;CN62,'Summary-output-SLS'!A:G,6,0)</f>
        <v>#N/A</v>
      </c>
      <c r="CS62" s="3" t="e">
        <f>VLOOKUP(CI62&amp;CN62,'Summary-output-SLS'!A:G,7,0)</f>
        <v>#N/A</v>
      </c>
      <c r="CT62" s="20">
        <v>1000</v>
      </c>
      <c r="CU62" s="2" t="e">
        <f>VLOOKUP(CI62&amp;CN62,'Summary-output-ULS'!A:G,5,0)</f>
        <v>#N/A</v>
      </c>
      <c r="CV62" s="15" t="e">
        <f>VLOOKUP(CI62&amp;CN62,'Summary-output-SLS'!A:G,5,0)</f>
        <v>#N/A</v>
      </c>
      <c r="CW62" s="6"/>
      <c r="CX62" s="278"/>
      <c r="CY62" s="6"/>
      <c r="CZ62" s="6"/>
      <c r="DA62" s="6"/>
      <c r="DB62" s="6"/>
      <c r="DC62" s="6"/>
      <c r="DD62" s="6"/>
      <c r="DE62" s="6"/>
      <c r="DF62" s="6"/>
      <c r="DG62" s="6"/>
      <c r="DH62" s="6"/>
      <c r="DI62" s="6"/>
      <c r="DJ62" s="212"/>
      <c r="DK62" s="13"/>
      <c r="DL62" s="13"/>
      <c r="DM62" s="202"/>
      <c r="DN62" s="206" t="e">
        <f>IF(CO62="external",T62,0)</f>
        <v>#N/A</v>
      </c>
      <c r="DO62" s="206" t="e">
        <f>IF(CO62="external",W62,0)</f>
        <v>#N/A</v>
      </c>
      <c r="DP62" s="206" t="e">
        <f>IF(CO62="external",Z62,0)</f>
        <v>#N/A</v>
      </c>
      <c r="DQ62" s="206" t="e">
        <f>IF(CO62="external",AC62,0)</f>
        <v>#N/A</v>
      </c>
      <c r="DR62" s="206" t="e">
        <f>IF(CO62="external",AF62,0)</f>
        <v>#N/A</v>
      </c>
      <c r="DS62" s="207" t="e">
        <f>IF(CO62="external",AI62,0)</f>
        <v>#N/A</v>
      </c>
      <c r="DT62" s="208"/>
      <c r="DU62" s="207" t="e">
        <f>IF(CO62="internal",T62,0)</f>
        <v>#N/A</v>
      </c>
      <c r="DV62" s="207" t="e">
        <f>IF(CO62="internal",W62,0)</f>
        <v>#N/A</v>
      </c>
      <c r="DW62" s="207" t="e">
        <f>IF(CO62="internal",Z62,0)</f>
        <v>#N/A</v>
      </c>
      <c r="DX62" s="207" t="e">
        <f>IF(CO62="internal",AC62,0)</f>
        <v>#N/A</v>
      </c>
      <c r="DY62" s="207" t="e">
        <f>IF(CO62="internal",AF62,0)</f>
        <v>#N/A</v>
      </c>
      <c r="DZ62" s="207" t="e">
        <f>IF(CO62="internal",AI62,0)</f>
        <v>#N/A</v>
      </c>
    </row>
    <row r="63" spans="1:131" s="7" customFormat="1" x14ac:dyDescent="0.3">
      <c r="B63" s="19">
        <f>+CI63</f>
        <v>100</v>
      </c>
      <c r="C63" s="6">
        <f t="shared" si="80"/>
        <v>0</v>
      </c>
      <c r="D63" s="6" t="e">
        <f t="shared" si="80"/>
        <v>#N/A</v>
      </c>
      <c r="E63" s="6" t="str">
        <f t="shared" si="80"/>
        <v>--</v>
      </c>
      <c r="F63" s="6" t="e">
        <f>+CM63</f>
        <v>#N/A</v>
      </c>
      <c r="G63" s="174" t="str">
        <f t="shared" si="81"/>
        <v>Min Fx</v>
      </c>
      <c r="H63" s="6" t="e">
        <f t="shared" si="81"/>
        <v>#N/A</v>
      </c>
      <c r="I63" s="156"/>
      <c r="J63" s="10" t="e">
        <f t="shared" si="82"/>
        <v>#N/A</v>
      </c>
      <c r="K63" s="10" t="e">
        <f t="shared" si="82"/>
        <v>#N/A</v>
      </c>
      <c r="L63" s="10" t="e">
        <f t="shared" si="82"/>
        <v>#N/A</v>
      </c>
      <c r="M63" s="10" t="e">
        <f t="shared" si="82"/>
        <v>#N/A</v>
      </c>
      <c r="N63" s="10" t="e">
        <f>IF(I63*J63&gt;=0,J63*$J$19+I63*$J$18,J63)</f>
        <v>#N/A</v>
      </c>
      <c r="O63" s="10" t="e">
        <f>(K63)*$J$19</f>
        <v>#N/A</v>
      </c>
      <c r="P63" s="14" t="e">
        <f>IF(I63*L63&gt;=0,(L63)+I63,L63)</f>
        <v>#N/A</v>
      </c>
      <c r="Q63" s="3" t="e">
        <f>(M63)</f>
        <v>#N/A</v>
      </c>
      <c r="R63" s="20">
        <f t="shared" si="79"/>
        <v>1000</v>
      </c>
      <c r="S63" s="23"/>
      <c r="T63" s="12">
        <v>40</v>
      </c>
      <c r="U63" s="28"/>
      <c r="V63" s="28"/>
      <c r="W63" s="12">
        <v>32</v>
      </c>
      <c r="X63" s="28"/>
      <c r="Y63" s="28"/>
      <c r="Z63" s="12"/>
      <c r="AA63" s="28"/>
      <c r="AB63" s="28"/>
      <c r="AC63" s="158"/>
      <c r="AD63" s="28"/>
      <c r="AE63" s="28"/>
      <c r="AF63" s="158"/>
      <c r="AG63" s="28"/>
      <c r="AH63" s="28"/>
      <c r="AI63" s="29"/>
      <c r="AJ63" s="6">
        <f>PI()/4*T63^2*$O$12/$AX$16</f>
        <v>8377.5804095727817</v>
      </c>
      <c r="AK63" s="28" t="str">
        <f>IF(W63=0,"","+")</f>
        <v>+</v>
      </c>
      <c r="AL63" s="6">
        <f>PI()/4*W63^2*$O$12/$AX$16</f>
        <v>5361.6514621265796</v>
      </c>
      <c r="AM63" s="28" t="str">
        <f>IF(Z63=0,"","+")</f>
        <v/>
      </c>
      <c r="AN63" s="6">
        <f>PI()/4*Z63^2*$O$12/$AX$16</f>
        <v>0</v>
      </c>
      <c r="AO63" s="28" t="str">
        <f>IF(AC63=0,"","+")</f>
        <v/>
      </c>
      <c r="AP63" s="6">
        <f>PI()/4*AC63^2*$O$12/$AX$16</f>
        <v>0</v>
      </c>
      <c r="AQ63" s="28" t="str">
        <f>IF(AF63=0,"","+")</f>
        <v/>
      </c>
      <c r="AR63" s="6">
        <f>PI()/4*AF63^2*$O$12/$AX$16</f>
        <v>0</v>
      </c>
      <c r="AS63" s="28" t="str">
        <f>IF(AI63=0,"","+")</f>
        <v/>
      </c>
      <c r="AT63" s="6">
        <f>PI()/4*AI63^2*$O$12/$AX$16</f>
        <v>0</v>
      </c>
      <c r="AU63" s="28" t="s">
        <v>24</v>
      </c>
      <c r="AV63" s="15">
        <f>VALUE(AJ63)+VALUE(AL63)+VALUE(AN63)+VALUE(AP63)+VALUE(AR63)+VALUE(AT63)</f>
        <v>13739.231871699361</v>
      </c>
      <c r="AW63" s="228">
        <f>MAX(0.3*$AJ$14^(2/3)/$AJ$16*0.26*100,0.13)</f>
        <v>0.15723814702688016</v>
      </c>
      <c r="AX63" s="6">
        <f>AW63/100*$O$12*BK63</f>
        <v>1361.3371963446743</v>
      </c>
      <c r="AY63" s="6"/>
      <c r="AZ63" s="6"/>
      <c r="BA63" s="24" t="str">
        <f>IF(BB63=0,"","+")</f>
        <v/>
      </c>
      <c r="BB63" s="24"/>
      <c r="BC63" s="28" t="s">
        <v>24</v>
      </c>
      <c r="BD63" s="15">
        <f>AX63+AZ63+BB63</f>
        <v>1361.3371963446743</v>
      </c>
      <c r="BE63" s="2">
        <f>(R63-($AX$14+$O$16+T63/2))</f>
        <v>897</v>
      </c>
      <c r="BF63" s="3">
        <f>IF(W63=0,0,(R63-($AX$14+T63/2+$O$16+$BI$16)))</f>
        <v>817</v>
      </c>
      <c r="BG63" s="3">
        <f>IF(Z63=0,0,(R63-($AX$14+T63/2+$BI$16+$O$16+$BI$17)))</f>
        <v>0</v>
      </c>
      <c r="BH63" s="3">
        <f>IF(AC63=0,0,(R63-($AX$14+T63/2+$O$16+$BI$16+$BI$17+$BI$18)))</f>
        <v>0</v>
      </c>
      <c r="BI63" s="3">
        <f>IF(AF63=0,0,(R63-($AX$14+T63/2+$O$16+$BI$16+$BI$17+$BI$18+$BL$16)))</f>
        <v>0</v>
      </c>
      <c r="BJ63" s="3">
        <f>IF(AI63=0,0,(R63-($AX$14+T63/2+$O$16+$BI$16+$BI$17+$BI$18+$BL$16+$BL$17)))</f>
        <v>0</v>
      </c>
      <c r="BK63" s="6">
        <f>(BE63*AJ63+BF63*AL63+BG63*AN63+BH63*AP63+BI63*AR63+BJ63*AT63)/AV63</f>
        <v>865.78048780487802</v>
      </c>
      <c r="BL63" s="175" t="e">
        <f>ABS(N63)*1000000/$O$12/BK63^2</f>
        <v>#N/A</v>
      </c>
      <c r="BM63" s="175" t="e">
        <f>BL63/$AJ$14</f>
        <v>#N/A</v>
      </c>
      <c r="BN63" s="21" t="e">
        <f>IF(BM63&lt;0.167,0.5+SQRT(0.25-(BM63/1.134)),0.82)</f>
        <v>#N/A</v>
      </c>
      <c r="BO63" s="15" t="e">
        <f>ABS(N63)/(0.87*$AJ$16*BN63*BK63)*10^6</f>
        <v>#N/A</v>
      </c>
      <c r="BP63" s="22">
        <v>366.49457947397883</v>
      </c>
      <c r="BQ63" s="175" t="e">
        <f>IF(Q63=0,2*ABS(P63*10^6)/$O$12/BP63/(BK63-BP63/3),Q63*BP63*1000/($O$12/2*BP63^2-(BE63-BP63)*AJ63*$AJ$18-(BF63-BP63)*AL63*$AJ$18-(BG63-BP63)*AN63*$AJ$18-(BH63-BP63)*AP63*$AJ$18-(BI63-BP63)*AR63*$AJ$18-(BJ63-BP63)*AT63*$AJ$18))</f>
        <v>#N/A</v>
      </c>
      <c r="BR63" s="3" t="e">
        <f>0.5*$O$12*BP63*BQ63 /1000</f>
        <v>#N/A</v>
      </c>
      <c r="BS63" s="3" t="e">
        <f>($BQ63/$BP63)*(BE63-$BP63)*$AJ$18*AJ63/1000</f>
        <v>#N/A</v>
      </c>
      <c r="BT63" s="3" t="e">
        <f>($BQ63/$BP63)*(BF63-$BP63)*$AJ$18*AL63/1000</f>
        <v>#N/A</v>
      </c>
      <c r="BU63" s="3" t="e">
        <f>($BQ63/$BP63)*(BG63-$BP63)*$AJ$18*AN63/1000</f>
        <v>#N/A</v>
      </c>
      <c r="BV63" s="3" t="e">
        <f>($BQ63/$BP63)*(BH63-$BP63)*$AJ$18*AP63/1000</f>
        <v>#N/A</v>
      </c>
      <c r="BW63" s="3" t="e">
        <f>($BQ63/$BP63)*(BI63-$BP63)*$AJ$18*AR63/1000</f>
        <v>#N/A</v>
      </c>
      <c r="BX63" s="3" t="e">
        <f>($BQ63/$BP63)*(BJ63-$BP63)*$AJ$18*AT63/1000</f>
        <v>#N/A</v>
      </c>
      <c r="BY63" s="175" t="e">
        <f>IF(Q63=0,0,(0.5*$O$12*BP63*BQ63/1000*(R63/2-$BP63/3)+BS63*(BE63-R63/2)+BT63*(BF63-R63/2)+BU63*(BG63-R63/2)+BV63*(BH63-R63/2)+BW63*(BI63-R63/2)+BX63*(BJ63-R63/2))/1000-ABS(P63))</f>
        <v>#N/A</v>
      </c>
      <c r="BZ63" s="10"/>
      <c r="CA63" s="176" t="e">
        <f>ABS(P63)/(BK63-BP63/3)/AV63*10^6-Q63*(R63/2-BP63/3)/(BK63-BP63/3)/AV63*1000</f>
        <v>#N/A</v>
      </c>
      <c r="CB63" s="177">
        <f>(AV63/($O$12*MIN(2.5*(R63-BK63),(R63-BP63)/3,R63/2)-AV63))</f>
        <v>6.9590663256269572E-2</v>
      </c>
      <c r="CC63" s="177">
        <f>3.4*($O$16+$AX$14)+0.425*0.8*0.5*(T63^2+W63^2+Z63^2+AC63^2+AF63^2+AI63^2)/(T63+W63+Z63+AC63+AF63+AI63)/CB63</f>
        <v>371.22854586599135</v>
      </c>
      <c r="CD63" s="177" t="e">
        <f>MAX(0.6*CA63/$AJ$17,(CA63-0.4*0.3*$AJ$14^(2/3)/CB63*(1+$AJ$17/$AJ$15*CB63))/$AJ$17)</f>
        <v>#N/A</v>
      </c>
      <c r="CE63" s="178" t="e">
        <f>CC63*CD63/1000</f>
        <v>#N/A</v>
      </c>
      <c r="CF63" s="23" t="e">
        <f>IF(AND(AV63&gt;=BD63,AV63&gt;=BO63,CE63&lt;=(+IF(CO63="External",0.25,0.3))),"O.K", "Not O.K")</f>
        <v>#N/A</v>
      </c>
      <c r="CG63" s="28"/>
      <c r="CH63" s="179" t="e">
        <f>IF(O63&lt;0.2*$AJ$14*R63*$O$12/1000,"N &lt; 0.2fckAc - OK!","TBA")</f>
        <v>#N/A</v>
      </c>
      <c r="CI63" s="24">
        <v>100</v>
      </c>
      <c r="CJ63" s="25"/>
      <c r="CK63" s="6" t="e">
        <f t="shared" si="35"/>
        <v>#N/A</v>
      </c>
      <c r="CL63" s="8" t="s">
        <v>72</v>
      </c>
      <c r="CM63" s="6" t="e">
        <f t="shared" si="36"/>
        <v>#N/A</v>
      </c>
      <c r="CN63" s="26" t="s">
        <v>146</v>
      </c>
      <c r="CO63" s="15" t="e">
        <f>IF(VLOOKUP(CI63,'Summary-input'!A:C,3,0)="Outward",
IF(CP63&lt;0,"External","Internal"),
IF(CP63&lt;0,"Internal","External")
)</f>
        <v>#N/A</v>
      </c>
      <c r="CP63" t="e">
        <f>VLOOKUP(CI63&amp;CN63,'Summary-output-ULS'!A:G,6,0)</f>
        <v>#N/A</v>
      </c>
      <c r="CQ63" t="e">
        <f>VLOOKUP(CI63&amp;CN63,'Summary-output-ULS'!A:G,7,0)</f>
        <v>#N/A</v>
      </c>
      <c r="CR63" s="3" t="e">
        <f>VLOOKUP(CI63&amp;CN63,'Summary-output-SLS'!A:G,6,0)</f>
        <v>#N/A</v>
      </c>
      <c r="CS63" s="3" t="e">
        <f>VLOOKUP(CI63&amp;CN63,'Summary-output-SLS'!A:G,7,0)</f>
        <v>#N/A</v>
      </c>
      <c r="CT63" s="20">
        <v>1000</v>
      </c>
      <c r="CU63" s="2" t="e">
        <f>VLOOKUP(CI63&amp;CN63,'Summary-output-ULS'!A:G,5,0)</f>
        <v>#N/A</v>
      </c>
      <c r="CV63" s="15" t="e">
        <f>VLOOKUP(CI63&amp;CN63,'Summary-output-SLS'!A:G,5,0)</f>
        <v>#N/A</v>
      </c>
      <c r="CW63" s="6"/>
      <c r="CX63" s="278"/>
      <c r="CY63" s="6"/>
      <c r="CZ63" s="6"/>
      <c r="DA63" s="6"/>
      <c r="DB63" s="6"/>
      <c r="DC63" s="6"/>
      <c r="DD63" s="6"/>
      <c r="DE63" s="6"/>
      <c r="DF63" s="6"/>
      <c r="DG63" s="6"/>
      <c r="DH63" s="6"/>
      <c r="DI63" s="6"/>
      <c r="DJ63" s="212"/>
      <c r="DK63" s="13"/>
      <c r="DL63" s="13"/>
      <c r="DM63" s="202"/>
      <c r="DN63" s="206" t="e">
        <f>IF(CO63="external",T63,0)</f>
        <v>#N/A</v>
      </c>
      <c r="DO63" s="206" t="e">
        <f>IF(CO63="external",W63,0)</f>
        <v>#N/A</v>
      </c>
      <c r="DP63" s="206" t="e">
        <f>IF(CO63="external",Z63,0)</f>
        <v>#N/A</v>
      </c>
      <c r="DQ63" s="206" t="e">
        <f>IF(CO63="external",AC63,0)</f>
        <v>#N/A</v>
      </c>
      <c r="DR63" s="206" t="e">
        <f>IF(CO63="external",AF63,0)</f>
        <v>#N/A</v>
      </c>
      <c r="DS63" s="207" t="e">
        <f>IF(CO63="external",AI63,0)</f>
        <v>#N/A</v>
      </c>
      <c r="DT63" s="208"/>
      <c r="DU63" s="207" t="e">
        <f>IF(CO63="internal",T63,0)</f>
        <v>#N/A</v>
      </c>
      <c r="DV63" s="207" t="e">
        <f>IF(CO63="internal",W63,0)</f>
        <v>#N/A</v>
      </c>
      <c r="DW63" s="207" t="e">
        <f>IF(CO63="internal",Z63,0)</f>
        <v>#N/A</v>
      </c>
      <c r="DX63" s="207" t="e">
        <f>IF(CO63="internal",AC63,0)</f>
        <v>#N/A</v>
      </c>
      <c r="DY63" s="207" t="e">
        <f>IF(CO63="internal",AF63,0)</f>
        <v>#N/A</v>
      </c>
      <c r="DZ63" s="207" t="e">
        <f>IF(CO63="internal",AI63,0)</f>
        <v>#N/A</v>
      </c>
    </row>
    <row r="64" spans="1:131" s="7" customFormat="1" x14ac:dyDescent="0.3">
      <c r="B64" s="242"/>
      <c r="C64" s="238"/>
      <c r="D64" s="237"/>
      <c r="E64" s="238"/>
      <c r="F64" s="238"/>
      <c r="G64" s="239"/>
      <c r="H64" s="67"/>
      <c r="I64" s="67"/>
      <c r="J64" s="67"/>
      <c r="K64" s="67"/>
      <c r="L64" s="67"/>
      <c r="M64" s="67"/>
      <c r="N64" s="67"/>
      <c r="O64" s="67"/>
      <c r="P64" s="67"/>
      <c r="Q64" s="67"/>
      <c r="R64" s="67"/>
      <c r="S64" s="67"/>
      <c r="T64" s="240"/>
      <c r="U64" s="67"/>
      <c r="V64" s="67"/>
      <c r="W64" s="240"/>
      <c r="X64" s="67"/>
      <c r="Y64" s="67"/>
      <c r="Z64" s="67"/>
      <c r="AA64" s="67"/>
      <c r="AB64" s="67"/>
      <c r="AC64" s="67"/>
      <c r="AD64" s="67"/>
      <c r="AE64" s="67"/>
      <c r="AF64" s="67"/>
      <c r="AG64" s="67"/>
      <c r="AH64" s="67"/>
      <c r="AI64" s="241"/>
      <c r="AJ64" s="67"/>
      <c r="AK64" s="67"/>
      <c r="AL64" s="67"/>
      <c r="AM64" s="67"/>
      <c r="AN64" s="67"/>
      <c r="AO64" s="67"/>
      <c r="AP64" s="67"/>
      <c r="AQ64" s="67"/>
      <c r="AR64" s="67"/>
      <c r="AS64" s="67"/>
      <c r="AT64" s="67"/>
      <c r="AU64" s="67"/>
      <c r="AV64" s="67"/>
      <c r="AW64" s="67"/>
      <c r="AX64" s="67"/>
      <c r="AY64" s="67"/>
      <c r="AZ64" s="67"/>
      <c r="BA64" s="67"/>
      <c r="BB64" s="67"/>
      <c r="BC64" s="67"/>
      <c r="BD64" s="67"/>
      <c r="BE64" s="67"/>
      <c r="BF64" s="67"/>
      <c r="BG64" s="67"/>
      <c r="BH64" s="67"/>
      <c r="BI64" s="67"/>
      <c r="BJ64" s="67"/>
      <c r="BK64" s="67"/>
      <c r="BL64" s="67"/>
      <c r="BM64" s="67"/>
      <c r="BN64" s="67"/>
      <c r="BO64" s="67"/>
      <c r="BP64" s="67"/>
      <c r="BQ64" s="67"/>
      <c r="BR64" s="67"/>
      <c r="BS64" s="67"/>
      <c r="BT64" s="67"/>
      <c r="BU64" s="67"/>
      <c r="BV64" s="67"/>
      <c r="BW64" s="67"/>
      <c r="BX64" s="67"/>
      <c r="BY64" s="67"/>
      <c r="BZ64" s="67"/>
      <c r="CA64" s="67"/>
      <c r="CB64" s="67"/>
      <c r="CC64" s="67"/>
      <c r="CD64" s="67"/>
      <c r="CE64" s="67"/>
      <c r="CH64" s="243"/>
      <c r="CI64" s="6"/>
      <c r="CJ64" s="37"/>
      <c r="CK64" s="6" t="e">
        <f t="shared" si="35"/>
        <v>#N/A</v>
      </c>
      <c r="CL64" s="8" t="s">
        <v>72</v>
      </c>
      <c r="CM64" s="6" t="e">
        <f t="shared" si="36"/>
        <v>#N/A</v>
      </c>
      <c r="CN64" s="39"/>
      <c r="CO64" s="15" t="e">
        <f>IF(VLOOKUP(CI64,'Summary-input'!A:C,3,0)="Outward",
IF(CP64&lt;0,"External","Internal"),
IF(CP64&lt;0,"Internal","External")
)</f>
        <v>#N/A</v>
      </c>
      <c r="CP64" t="e">
        <f>VLOOKUP(CI64&amp;CN64,'Summary-output-ULS'!A:G,6,0)</f>
        <v>#N/A</v>
      </c>
      <c r="CQ64" t="e">
        <f>VLOOKUP(CI64&amp;CN64,'Summary-output-ULS'!A:G,7,0)</f>
        <v>#N/A</v>
      </c>
      <c r="CR64" s="3" t="e">
        <f>VLOOKUP(CI64&amp;CN64,'Summary-output-SLS'!A:G,6,0)</f>
        <v>#N/A</v>
      </c>
      <c r="CS64" s="3" t="e">
        <f>VLOOKUP(CI64&amp;CN64,'Summary-output-SLS'!A:G,7,0)</f>
        <v>#N/A</v>
      </c>
      <c r="CU64" s="2" t="e">
        <f>VLOOKUP(CI64&amp;CN64,'Summary-output-ULS'!A:G,5,0)</f>
        <v>#N/A</v>
      </c>
      <c r="CV64" s="15" t="e">
        <f>VLOOKUP(CI64&amp;CN64,'Summary-output-SLS'!A:G,5,0)</f>
        <v>#N/A</v>
      </c>
      <c r="CW64" s="28"/>
      <c r="CX64" s="280"/>
      <c r="CY64" s="185"/>
      <c r="CZ64" s="185"/>
      <c r="DA64" s="185"/>
      <c r="DB64" s="185"/>
      <c r="DC64" s="185"/>
      <c r="DD64" s="185"/>
      <c r="DE64" s="185"/>
      <c r="DF64" s="185"/>
      <c r="DG64" s="185"/>
      <c r="DH64" s="185"/>
      <c r="DI64" s="185"/>
      <c r="DJ64" s="209"/>
      <c r="DK64" s="185"/>
      <c r="DL64" s="185"/>
      <c r="DM64" s="186"/>
      <c r="DN64" s="187"/>
      <c r="DO64" s="187"/>
      <c r="DP64" s="187"/>
      <c r="DQ64" s="187"/>
      <c r="DR64" s="187"/>
      <c r="DS64" s="187"/>
      <c r="DT64" s="188"/>
      <c r="DU64" s="187"/>
      <c r="DV64" s="187"/>
      <c r="DW64" s="187"/>
      <c r="DX64" s="187"/>
      <c r="DY64" s="187"/>
      <c r="DZ64" s="187"/>
      <c r="EA64" s="185"/>
    </row>
    <row r="65" spans="1:131" s="7" customFormat="1" ht="13.8" x14ac:dyDescent="0.25">
      <c r="A65" s="7" t="s">
        <v>141</v>
      </c>
      <c r="B65" s="19">
        <f>+CI65</f>
        <v>104</v>
      </c>
      <c r="C65" s="6">
        <f t="shared" ref="C65:E68" si="85">CJ65</f>
        <v>0</v>
      </c>
      <c r="D65" s="6" t="e">
        <f t="shared" si="85"/>
        <v>#N/A</v>
      </c>
      <c r="E65" s="6" t="str">
        <f t="shared" si="85"/>
        <v>--</v>
      </c>
      <c r="F65" s="6" t="e">
        <f>+CM65</f>
        <v>#N/A</v>
      </c>
      <c r="G65" s="174" t="str">
        <f t="shared" ref="G65:H68" si="86">CN65</f>
        <v>Max Mz</v>
      </c>
      <c r="H65" s="6" t="e">
        <f t="shared" si="86"/>
        <v>#N/A</v>
      </c>
      <c r="I65" s="156"/>
      <c r="J65" s="10" t="e">
        <f t="shared" ref="J65:M68" si="87">(CP65)</f>
        <v>#N/A</v>
      </c>
      <c r="K65" s="10" t="e">
        <f t="shared" si="87"/>
        <v>#N/A</v>
      </c>
      <c r="L65" s="10" t="e">
        <f t="shared" si="87"/>
        <v>#N/A</v>
      </c>
      <c r="M65" s="10" t="e">
        <f t="shared" si="87"/>
        <v>#N/A</v>
      </c>
      <c r="N65" s="10" t="e">
        <f>IF(I65*J65&gt;=0,J65*$J$19+I65*$J$18,J65)</f>
        <v>#N/A</v>
      </c>
      <c r="O65" s="10" t="e">
        <f>(K65)*$J$19</f>
        <v>#N/A</v>
      </c>
      <c r="P65" s="14" t="e">
        <f>IF(I65*L65&gt;=0,(L65)+I65,L65)</f>
        <v>#N/A</v>
      </c>
      <c r="Q65" s="3" t="e">
        <f>(M65)</f>
        <v>#N/A</v>
      </c>
      <c r="R65" s="20">
        <f>CT65</f>
        <v>1000</v>
      </c>
      <c r="S65" s="23"/>
      <c r="T65" s="12">
        <v>40</v>
      </c>
      <c r="U65" s="28"/>
      <c r="V65" s="28"/>
      <c r="W65" s="12">
        <v>40</v>
      </c>
      <c r="X65" s="28"/>
      <c r="Y65" s="28"/>
      <c r="Z65" s="12"/>
      <c r="AA65" s="28"/>
      <c r="AB65" s="28"/>
      <c r="AC65" s="158"/>
      <c r="AD65" s="28"/>
      <c r="AE65" s="28"/>
      <c r="AF65" s="158"/>
      <c r="AG65" s="28"/>
      <c r="AH65" s="28"/>
      <c r="AI65" s="29"/>
      <c r="AJ65" s="6">
        <f>PI()/4*T65^2*$O$12/$AX$16</f>
        <v>8377.5804095727817</v>
      </c>
      <c r="AK65" s="28" t="str">
        <f>IF(W65=0,"","+")</f>
        <v>+</v>
      </c>
      <c r="AL65" s="6">
        <f>PI()/4*W65^2*$O$12/$AX$16</f>
        <v>8377.5804095727817</v>
      </c>
      <c r="AM65" s="28" t="str">
        <f>IF(Z65=0,"","+")</f>
        <v/>
      </c>
      <c r="AN65" s="6">
        <f>PI()/4*Z65^2*$O$12/$AX$16</f>
        <v>0</v>
      </c>
      <c r="AO65" s="28" t="str">
        <f>IF(AC65=0,"","+")</f>
        <v/>
      </c>
      <c r="AP65" s="6">
        <f>PI()/4*AC65^2*$O$12/$AX$16</f>
        <v>0</v>
      </c>
      <c r="AQ65" s="28" t="str">
        <f>IF(AF65=0,"","+")</f>
        <v/>
      </c>
      <c r="AR65" s="6">
        <f>PI()/4*AF65^2*$O$12/$AX$16</f>
        <v>0</v>
      </c>
      <c r="AS65" s="28" t="str">
        <f>IF(AI65=0,"","+")</f>
        <v/>
      </c>
      <c r="AT65" s="6">
        <f>PI()/4*AI65^2*$O$12/$AX$16</f>
        <v>0</v>
      </c>
      <c r="AU65" s="28" t="s">
        <v>24</v>
      </c>
      <c r="AV65" s="15">
        <f>VALUE(AJ65)+VALUE(AL65)+VALUE(AN65)+VALUE(AP65)+VALUE(AR65)+VALUE(AT65)</f>
        <v>16755.160819145563</v>
      </c>
      <c r="AW65" s="228">
        <f>MAX(0.3*$AJ$14^(2/3)/$AJ$16*0.26*100,0.13)</f>
        <v>0.15723814702688016</v>
      </c>
      <c r="AX65" s="6">
        <f>AW65/100*$O$12*BK65</f>
        <v>1347.5309200203631</v>
      </c>
      <c r="AY65" s="6"/>
      <c r="AZ65" s="6"/>
      <c r="BA65" s="24" t="str">
        <f>IF(BB65=0,"","+")</f>
        <v/>
      </c>
      <c r="BB65" s="24"/>
      <c r="BC65" s="28" t="s">
        <v>24</v>
      </c>
      <c r="BD65" s="15">
        <f>AX65+AZ65+BB65</f>
        <v>1347.5309200203631</v>
      </c>
      <c r="BE65" s="2">
        <f>(R65-($AX$14+$O$16+T65/2))</f>
        <v>897</v>
      </c>
      <c r="BF65" s="3">
        <f>IF(W65=0,0,(R65-($AX$14+T65/2+$O$16+$BI$16)))</f>
        <v>817</v>
      </c>
      <c r="BG65" s="3">
        <f>IF(Z65=0,0,(R65-($AX$14+T65/2+$BI$16+$O$16+$BI$17)))</f>
        <v>0</v>
      </c>
      <c r="BH65" s="3">
        <f>IF(AC65=0,0,(R65-($AX$14+T65/2+$O$16+$BI$16+$BI$17+$BI$18)))</f>
        <v>0</v>
      </c>
      <c r="BI65" s="3">
        <f>IF(AF65=0,0,(R65-($AX$14+T65/2+$O$16+$BI$16+$BI$17+$BI$18+$BL$16)))</f>
        <v>0</v>
      </c>
      <c r="BJ65" s="3">
        <f>IF(AI65=0,0,(R65-($AX$14+T65/2+$O$16+$BI$16+$BI$17+$BI$18+$BL$16+$BL$17)))</f>
        <v>0</v>
      </c>
      <c r="BK65" s="6">
        <f>(BE65*AJ65+BF65*AL65+BG65*AN65+BH65*AP65+BI65*AR65+BJ65*AT65)/AV65</f>
        <v>857</v>
      </c>
      <c r="BL65" s="175" t="e">
        <f>ABS(N65)*1000000/$O$12/BK65^2</f>
        <v>#N/A</v>
      </c>
      <c r="BM65" s="175" t="e">
        <f>BL65/$AJ$14</f>
        <v>#N/A</v>
      </c>
      <c r="BN65" s="21" t="e">
        <f>IF(BM65&lt;0.167,0.5+SQRT(0.25-(BM65/1.134)),0.82)</f>
        <v>#N/A</v>
      </c>
      <c r="BO65" s="15" t="e">
        <f>ABS(N65)/(0.87*$AJ$16*BN65*BK65)*10^6</f>
        <v>#N/A</v>
      </c>
      <c r="BP65" s="22">
        <v>375.21088981706936</v>
      </c>
      <c r="BQ65" s="175" t="e">
        <f>IF(Q65=0,2*ABS(P65*10^6)/$O$12/BP65/(BK65-BP65/3),Q65*BP65*1000/($O$12/2*BP65^2-(BE65-BP65)*AJ65*$AJ$18-(BF65-BP65)*AL65*$AJ$18-(BG65-BP65)*AN65*$AJ$18-(BH65-BP65)*AP65*$AJ$18-(BI65-BP65)*AR65*$AJ$18-(BJ65-BP65)*AT65*$AJ$18))</f>
        <v>#N/A</v>
      </c>
      <c r="BR65" s="3" t="e">
        <f>0.5*$O$12*BP65*BQ65 /1000</f>
        <v>#N/A</v>
      </c>
      <c r="BS65" s="3" t="e">
        <f>($BQ65/$BP65)*(BE65-$BP65)*$AJ$18*AJ65/1000</f>
        <v>#N/A</v>
      </c>
      <c r="BT65" s="3" t="e">
        <f>($BQ65/$BP65)*(BF65-$BP65)*$AJ$18*AL65/1000</f>
        <v>#N/A</v>
      </c>
      <c r="BU65" s="3" t="e">
        <f>($BQ65/$BP65)*(BG65-$BP65)*$AJ$18*AN65/1000</f>
        <v>#N/A</v>
      </c>
      <c r="BV65" s="3" t="e">
        <f>($BQ65/$BP65)*(BH65-$BP65)*$AJ$18*AP65/1000</f>
        <v>#N/A</v>
      </c>
      <c r="BW65" s="3" t="e">
        <f>($BQ65/$BP65)*(BI65-$BP65)*$AJ$18*AR65/1000</f>
        <v>#N/A</v>
      </c>
      <c r="BX65" s="3" t="e">
        <f>($BQ65/$BP65)*(BJ65-$BP65)*$AJ$18*AT65/1000</f>
        <v>#N/A</v>
      </c>
      <c r="BY65" s="175" t="e">
        <f>IF(Q65=0,0,(0.5*$O$12*BP65*BQ65/1000*(R65/2-$BP65/3)+BS65*(BE65-R65/2)+BT65*(BF65-R65/2)+BU65*(BG65-R65/2)+BV65*(BH65-R65/2)+BW65*(BI65-R65/2)+BX65*(BJ65-R65/2))/1000-ABS(P65))</f>
        <v>#N/A</v>
      </c>
      <c r="BZ65" s="10"/>
      <c r="CA65" s="176" t="e">
        <f>ABS(P65)/(BK65-BP65/3)/AV65*10^6-Q65*(R65/2-BP65/3)/(BK65-BP65/3)/AV65*1000</f>
        <v>#N/A</v>
      </c>
      <c r="CB65" s="177">
        <f>(AV65/($O$12*MIN(2.5*(R65-BK65),(R65-BP65)/3,R65/2)-AV65))</f>
        <v>8.7490714100714781E-2</v>
      </c>
      <c r="CC65" s="177">
        <f>3.4*($O$16+$AX$14)+0.425*0.8*0.5*(T65^2+W65^2+Z65^2+AC65^2+AF65^2+AI65^2)/(T65+W65+Z65+AC65+AF65+AI65)/CB65</f>
        <v>359.92253398426021</v>
      </c>
      <c r="CD65" s="177" t="e">
        <f>MAX(0.6*CA65/$AJ$17,(CA65-0.4*0.3*$AJ$14^(2/3)/CB65*(1+$AJ$17/$AJ$15*CB65))/$AJ$17)</f>
        <v>#N/A</v>
      </c>
      <c r="CE65" s="178" t="e">
        <f>CC65*CD65/1000</f>
        <v>#N/A</v>
      </c>
      <c r="CF65" s="23" t="e">
        <f>IF(AND(AV65&gt;=BD65,AV65&gt;=BO65,CE65&lt;=(+IF(CO65="External",0.25,0.3))),"O.K", "Not O.K")</f>
        <v>#N/A</v>
      </c>
      <c r="CG65" s="28"/>
      <c r="CH65" s="179" t="e">
        <f>IF(O65&lt;0.2*$AJ$14*R65*$O$12/1000,"N &lt; 0.2fckAc - OK!","TBA")</f>
        <v>#N/A</v>
      </c>
      <c r="CI65" s="24">
        <v>104</v>
      </c>
      <c r="CJ65" s="25"/>
      <c r="CK65" s="6" t="e">
        <f t="shared" si="35"/>
        <v>#N/A</v>
      </c>
      <c r="CL65" s="8" t="s">
        <v>72</v>
      </c>
      <c r="CM65" s="6" t="e">
        <f t="shared" si="36"/>
        <v>#N/A</v>
      </c>
      <c r="CN65" s="26" t="s">
        <v>147</v>
      </c>
      <c r="CO65" s="15" t="e">
        <f>IF(VLOOKUP(CI65,'Summary-input'!A:C,3,0)="Outward",
IF(CP65&lt;0,"External","Internal"),
IF(CP65&lt;0,"Internal","External")
)</f>
        <v>#N/A</v>
      </c>
      <c r="CP65" t="e">
        <f>VLOOKUP(CI65&amp;CN65,'Summary-output-ULS'!A:G,6,0)</f>
        <v>#N/A</v>
      </c>
      <c r="CQ65" t="e">
        <f>VLOOKUP(CI65&amp;CN65,'Summary-output-ULS'!A:G,7,0)</f>
        <v>#N/A</v>
      </c>
      <c r="CR65" s="3" t="e">
        <f>VLOOKUP(CI65&amp;CN65,'Summary-output-SLS'!A:G,6,0)</f>
        <v>#N/A</v>
      </c>
      <c r="CS65" s="3" t="e">
        <f>VLOOKUP(CI65&amp;CN65,'Summary-output-SLS'!A:G,7,0)</f>
        <v>#N/A</v>
      </c>
      <c r="CT65" s="20">
        <v>1000</v>
      </c>
      <c r="CU65" s="2" t="e">
        <f>VLOOKUP(CI65&amp;CN65,'Summary-output-ULS'!A:G,5,0)</f>
        <v>#N/A</v>
      </c>
      <c r="CV65" s="15" t="e">
        <f>VLOOKUP(CI65&amp;CN65,'Summary-output-SLS'!A:G,5,0)</f>
        <v>#N/A</v>
      </c>
      <c r="CW65" s="6"/>
      <c r="CX65" s="278">
        <f>CI65</f>
        <v>104</v>
      </c>
      <c r="CY65" s="6" t="e">
        <f t="shared" ref="CY65:DD65" si="88">MAX(DN65:DN68)</f>
        <v>#N/A</v>
      </c>
      <c r="CZ65" s="6" t="e">
        <f t="shared" si="88"/>
        <v>#N/A</v>
      </c>
      <c r="DA65" s="6" t="e">
        <f t="shared" si="88"/>
        <v>#N/A</v>
      </c>
      <c r="DB65" s="6" t="e">
        <f t="shared" si="88"/>
        <v>#N/A</v>
      </c>
      <c r="DC65" s="6" t="e">
        <f t="shared" si="88"/>
        <v>#N/A</v>
      </c>
      <c r="DD65" s="6" t="e">
        <f t="shared" si="88"/>
        <v>#N/A</v>
      </c>
      <c r="DE65" s="6"/>
      <c r="DF65" s="6" t="e">
        <f t="shared" ref="DF65:DK65" si="89">MAX(DU65:DU68)</f>
        <v>#N/A</v>
      </c>
      <c r="DG65" s="6" t="e">
        <f t="shared" si="89"/>
        <v>#N/A</v>
      </c>
      <c r="DH65" s="6" t="e">
        <f t="shared" si="89"/>
        <v>#N/A</v>
      </c>
      <c r="DI65" s="6" t="e">
        <f t="shared" si="89"/>
        <v>#N/A</v>
      </c>
      <c r="DJ65" s="6" t="e">
        <f t="shared" si="89"/>
        <v>#N/A</v>
      </c>
      <c r="DK65" s="6" t="e">
        <f t="shared" si="89"/>
        <v>#N/A</v>
      </c>
      <c r="DL65" s="13"/>
      <c r="DM65" s="202">
        <f>CI65</f>
        <v>104</v>
      </c>
      <c r="DN65" s="206" t="e">
        <f>IF(CO65="external",T65,0)</f>
        <v>#N/A</v>
      </c>
      <c r="DO65" s="206" t="e">
        <f>IF(CO65="external",W65,0)</f>
        <v>#N/A</v>
      </c>
      <c r="DP65" s="206" t="e">
        <f>IF(CO65="external",Z65,0)</f>
        <v>#N/A</v>
      </c>
      <c r="DQ65" s="206" t="e">
        <f>IF(CO65="external",AC65,0)</f>
        <v>#N/A</v>
      </c>
      <c r="DR65" s="206" t="e">
        <f>IF(CO65="external",AF65,0)</f>
        <v>#N/A</v>
      </c>
      <c r="DS65" s="207" t="e">
        <f>IF(CO65="external",AI65,0)</f>
        <v>#N/A</v>
      </c>
      <c r="DT65" s="208"/>
      <c r="DU65" s="207" t="e">
        <f>IF(CO65="internal",T65,0)</f>
        <v>#N/A</v>
      </c>
      <c r="DV65" s="207" t="e">
        <f>IF(CO65="internal",W65,0)</f>
        <v>#N/A</v>
      </c>
      <c r="DW65" s="207" t="e">
        <f>IF(CO65="internal",Z65,0)</f>
        <v>#N/A</v>
      </c>
      <c r="DX65" s="207" t="e">
        <f>IF(CO65="internal",AC65,0)</f>
        <v>#N/A</v>
      </c>
      <c r="DY65" s="207" t="e">
        <f>IF(CO65="internal",AF65,0)</f>
        <v>#N/A</v>
      </c>
      <c r="DZ65" s="207" t="e">
        <f>IF(CO65="internal",AI65,0)</f>
        <v>#N/A</v>
      </c>
    </row>
    <row r="66" spans="1:131" s="7" customFormat="1" x14ac:dyDescent="0.3">
      <c r="B66" s="19">
        <f>+CI66</f>
        <v>104</v>
      </c>
      <c r="C66" s="6">
        <f t="shared" si="85"/>
        <v>0</v>
      </c>
      <c r="D66" s="6" t="e">
        <f t="shared" si="85"/>
        <v>#N/A</v>
      </c>
      <c r="E66" s="6" t="str">
        <f t="shared" si="85"/>
        <v>--</v>
      </c>
      <c r="F66" s="6" t="e">
        <f>+CM66</f>
        <v>#N/A</v>
      </c>
      <c r="G66" s="174" t="str">
        <f t="shared" si="86"/>
        <v>Min Mz</v>
      </c>
      <c r="H66" s="6" t="e">
        <f t="shared" si="86"/>
        <v>#N/A</v>
      </c>
      <c r="I66" s="156"/>
      <c r="J66" s="10" t="e">
        <f t="shared" si="87"/>
        <v>#N/A</v>
      </c>
      <c r="K66" s="10" t="e">
        <f t="shared" si="87"/>
        <v>#N/A</v>
      </c>
      <c r="L66" s="10" t="e">
        <f t="shared" si="87"/>
        <v>#N/A</v>
      </c>
      <c r="M66" s="10" t="e">
        <f t="shared" si="87"/>
        <v>#N/A</v>
      </c>
      <c r="N66" s="10" t="e">
        <f>IF(I66*J66&gt;=0,J66*$J$19+I66*$J$18,J66)</f>
        <v>#N/A</v>
      </c>
      <c r="O66" s="10" t="e">
        <f>(K66)*$J$19</f>
        <v>#N/A</v>
      </c>
      <c r="P66" s="14" t="e">
        <f>IF(I66*L66&gt;=0,(L66)+I66,L66)</f>
        <v>#N/A</v>
      </c>
      <c r="Q66" s="3" t="e">
        <f>(M66)</f>
        <v>#N/A</v>
      </c>
      <c r="R66" s="20">
        <f t="shared" ref="R66:R78" si="90">CT66</f>
        <v>1000</v>
      </c>
      <c r="S66" s="23"/>
      <c r="T66" s="12">
        <v>20</v>
      </c>
      <c r="U66" s="28"/>
      <c r="V66" s="28"/>
      <c r="W66" s="12"/>
      <c r="X66" s="28"/>
      <c r="Y66" s="28"/>
      <c r="Z66" s="12"/>
      <c r="AA66" s="28"/>
      <c r="AB66" s="28"/>
      <c r="AC66" s="158"/>
      <c r="AD66" s="28"/>
      <c r="AE66" s="28"/>
      <c r="AF66" s="158"/>
      <c r="AG66" s="28"/>
      <c r="AH66" s="28"/>
      <c r="AI66" s="29"/>
      <c r="AJ66" s="6">
        <f>PI()/4*T66^2*$O$12/$AX$16</f>
        <v>2094.3951023931954</v>
      </c>
      <c r="AK66" s="28" t="str">
        <f>IF(W66=0,"","+")</f>
        <v/>
      </c>
      <c r="AL66" s="6">
        <f>PI()/4*W66^2*$O$12/$AX$16</f>
        <v>0</v>
      </c>
      <c r="AM66" s="28" t="str">
        <f>IF(Z66=0,"","+")</f>
        <v/>
      </c>
      <c r="AN66" s="6">
        <f>PI()/4*Z66^2*$O$12/$AX$16</f>
        <v>0</v>
      </c>
      <c r="AO66" s="28" t="str">
        <f>IF(AC66=0,"","+")</f>
        <v/>
      </c>
      <c r="AP66" s="6">
        <f>PI()/4*AC66^2*$O$12/$AX$16</f>
        <v>0</v>
      </c>
      <c r="AQ66" s="28" t="str">
        <f>IF(AF66=0,"","+")</f>
        <v/>
      </c>
      <c r="AR66" s="6">
        <f>PI()/4*AF66^2*$O$12/$AX$16</f>
        <v>0</v>
      </c>
      <c r="AS66" s="28" t="str">
        <f>IF(AI66=0,"","+")</f>
        <v/>
      </c>
      <c r="AT66" s="6">
        <f>PI()/4*AI66^2*$O$12/$AX$16</f>
        <v>0</v>
      </c>
      <c r="AU66" s="28" t="s">
        <v>24</v>
      </c>
      <c r="AV66" s="15">
        <f>VALUE(AJ66)+VALUE(AL66)+VALUE(AN66)+VALUE(AP66)+VALUE(AR66)+VALUE(AT66)</f>
        <v>2094.3951023931954</v>
      </c>
      <c r="AW66" s="228">
        <f>MAX(0.3*$AJ$14^(2/3)/$AJ$16*0.26*100,0.13)</f>
        <v>0.15723814702688016</v>
      </c>
      <c r="AX66" s="6">
        <f>AW66/100*$O$12*BK66</f>
        <v>1426.1499935338031</v>
      </c>
      <c r="AY66" s="6"/>
      <c r="AZ66" s="6"/>
      <c r="BA66" s="24" t="str">
        <f>IF(BB66=0,"","+")</f>
        <v/>
      </c>
      <c r="BB66" s="24"/>
      <c r="BC66" s="28" t="s">
        <v>24</v>
      </c>
      <c r="BD66" s="15">
        <f>AX66+AZ66+BB66</f>
        <v>1426.1499935338031</v>
      </c>
      <c r="BE66" s="2">
        <f>(R66-($AX$14+$O$16+T66/2))</f>
        <v>907</v>
      </c>
      <c r="BF66" s="3">
        <f>IF(W66=0,0,(R66-($AX$14+T66/2+$O$16+$BI$16)))</f>
        <v>0</v>
      </c>
      <c r="BG66" s="3">
        <f>IF(Z66=0,0,(R66-($AX$14+T66/2+$BI$16+$O$16+$BI$17)))</f>
        <v>0</v>
      </c>
      <c r="BH66" s="3">
        <f>IF(AC66=0,0,(R66-($AX$14+T66/2+$O$16+$BI$16+$BI$17+$BI$18)))</f>
        <v>0</v>
      </c>
      <c r="BI66" s="3">
        <f>IF(AF66=0,0,(R66-($AX$14+T66/2+$O$16+$BI$16+$BI$17+$BI$18+$BL$16)))</f>
        <v>0</v>
      </c>
      <c r="BJ66" s="3">
        <f>IF(AI66=0,0,(R66-($AX$14+T66/2+$O$16+$BI$16+$BI$17+$BI$18+$BL$16+$BL$17)))</f>
        <v>0</v>
      </c>
      <c r="BK66" s="6">
        <f>(BE66*AJ66+BF66*AL66+BG66*AN66+BH66*AP66+BI66*AR66+BJ66*AT66)/AV66</f>
        <v>907</v>
      </c>
      <c r="BL66" s="175" t="e">
        <f>ABS(N66)*1000000/$O$12/BK66^2</f>
        <v>#N/A</v>
      </c>
      <c r="BM66" s="175" t="e">
        <f>BL66/$AJ$14</f>
        <v>#N/A</v>
      </c>
      <c r="BN66" s="21" t="e">
        <f>IF(BM66&lt;0.167,0.5+SQRT(0.25-(BM66/1.134)),0.82)</f>
        <v>#N/A</v>
      </c>
      <c r="BO66" s="15" t="e">
        <f>ABS(N66)/(0.87*$AJ$16*BN66*BK66)*10^6</f>
        <v>#N/A</v>
      </c>
      <c r="BP66" s="22">
        <v>2530.1322352984325</v>
      </c>
      <c r="BQ66" s="175" t="e">
        <f>IF(Q66=0,2*ABS(P66*10^6)/$O$12/BP66/(BK66-BP66/3),Q66*BP66*1000/($O$12/2*BP66^2-(BE66-BP66)*AJ66*$AJ$18-(BF66-BP66)*AL66*$AJ$18-(BG66-BP66)*AN66*$AJ$18-(BH66-BP66)*AP66*$AJ$18-(BI66-BP66)*AR66*$AJ$18-(BJ66-BP66)*AT66*$AJ$18))</f>
        <v>#N/A</v>
      </c>
      <c r="BR66" s="3" t="e">
        <f>0.5*$O$12*BP66*BQ66 /1000</f>
        <v>#N/A</v>
      </c>
      <c r="BS66" s="3" t="e">
        <f>($BQ66/$BP66)*(BE66-$BP66)*$AJ$18*AJ66/1000</f>
        <v>#N/A</v>
      </c>
      <c r="BT66" s="3" t="e">
        <f>($BQ66/$BP66)*(BF66-$BP66)*$AJ$18*AL66/1000</f>
        <v>#N/A</v>
      </c>
      <c r="BU66" s="3" t="e">
        <f>($BQ66/$BP66)*(BG66-$BP66)*$AJ$18*AN66/1000</f>
        <v>#N/A</v>
      </c>
      <c r="BV66" s="3" t="e">
        <f>($BQ66/$BP66)*(BH66-$BP66)*$AJ$18*AP66/1000</f>
        <v>#N/A</v>
      </c>
      <c r="BW66" s="3" t="e">
        <f>($BQ66/$BP66)*(BI66-$BP66)*$AJ$18*AR66/1000</f>
        <v>#N/A</v>
      </c>
      <c r="BX66" s="3" t="e">
        <f>($BQ66/$BP66)*(BJ66-$BP66)*$AJ$18*AT66/1000</f>
        <v>#N/A</v>
      </c>
      <c r="BY66" s="175" t="e">
        <f>IF(Q66=0,0,(0.5*$O$12*BP66*BQ66/1000*(R66/2-$BP66/3)+BS66*(BE66-R66/2)+BT66*(BF66-R66/2)+BU66*(BG66-R66/2)+BV66*(BH66-R66/2)+BW66*(BI66-R66/2)+BX66*(BJ66-R66/2))/1000-ABS(P66))</f>
        <v>#N/A</v>
      </c>
      <c r="BZ66" s="10"/>
      <c r="CA66" s="176" t="e">
        <f>ABS(P66)/(BK66-BP66/3)/AV66*10^6-Q66*(R66/2-BP66/3)/(BK66-BP66/3)/AV66*1000</f>
        <v>#N/A</v>
      </c>
      <c r="CB66" s="177">
        <f>(AV66/($O$12*MIN(2.5*(R66-BK66),(R66-BP66)/3,R66/2)-AV66))</f>
        <v>-4.0895094015021864E-3</v>
      </c>
      <c r="CC66" s="177">
        <f>3.4*($O$16+$AX$14)+0.425*0.8*0.5*(T66^2+W66^2+Z66^2+AC66^2+AF66^2+AI66^2)/(T66+W66+Z66+AC66+AF66+AI66)/CB66</f>
        <v>-549.19557002878855</v>
      </c>
      <c r="CD66" s="177" t="e">
        <f>MAX(0.6*CA66/$AJ$17,(CA66-0.4*0.3*$AJ$14^(2/3)/CB66*(1+$AJ$17/$AJ$15*CB66))/$AJ$17)</f>
        <v>#N/A</v>
      </c>
      <c r="CE66" s="178" t="e">
        <f>CC66*CD66/1000</f>
        <v>#N/A</v>
      </c>
      <c r="CF66" s="23" t="e">
        <f>IF(AND(AV66&gt;=BD66,AV66&gt;=BO66,CE66&lt;=(+IF(CO66="External",0.25,0.3))),"O.K", "Not O.K")</f>
        <v>#N/A</v>
      </c>
      <c r="CG66" s="28"/>
      <c r="CH66" s="179" t="e">
        <f>IF(O66&lt;0.2*$AJ$14*R66*$O$12/1000,"N &lt; 0.2fckAc - OK!","TBA")</f>
        <v>#N/A</v>
      </c>
      <c r="CI66" s="24">
        <v>104</v>
      </c>
      <c r="CJ66" s="25"/>
      <c r="CK66" s="6" t="e">
        <f t="shared" si="35"/>
        <v>#N/A</v>
      </c>
      <c r="CL66" s="8" t="s">
        <v>72</v>
      </c>
      <c r="CM66" s="6" t="e">
        <f t="shared" si="36"/>
        <v>#N/A</v>
      </c>
      <c r="CN66" s="26" t="s">
        <v>148</v>
      </c>
      <c r="CO66" s="15" t="e">
        <f>IF(VLOOKUP(CI66,'Summary-input'!A:C,3,0)="Outward",
IF(CP66&lt;0,"External","Internal"),
IF(CP66&lt;0,"Internal","External")
)</f>
        <v>#N/A</v>
      </c>
      <c r="CP66" t="e">
        <f>VLOOKUP(CI66&amp;CN66,'Summary-output-ULS'!A:G,6,0)</f>
        <v>#N/A</v>
      </c>
      <c r="CQ66" t="e">
        <f>VLOOKUP(CI66&amp;CN66,'Summary-output-ULS'!A:G,7,0)</f>
        <v>#N/A</v>
      </c>
      <c r="CR66" s="3" t="e">
        <f>VLOOKUP(CI66&amp;CN66,'Summary-output-SLS'!A:G,6,0)</f>
        <v>#N/A</v>
      </c>
      <c r="CS66" s="3" t="e">
        <f>VLOOKUP(CI66&amp;CN66,'Summary-output-SLS'!A:G,7,0)</f>
        <v>#N/A</v>
      </c>
      <c r="CT66" s="20">
        <v>1000</v>
      </c>
      <c r="CU66" s="2" t="e">
        <f>VLOOKUP(CI66&amp;CN66,'Summary-output-ULS'!A:G,5,0)</f>
        <v>#N/A</v>
      </c>
      <c r="CV66" s="15" t="e">
        <f>VLOOKUP(CI66&amp;CN66,'Summary-output-SLS'!A:G,5,0)</f>
        <v>#N/A</v>
      </c>
      <c r="CW66" s="6"/>
      <c r="CX66" s="278"/>
      <c r="CY66" s="6"/>
      <c r="CZ66" s="6"/>
      <c r="DA66" s="6"/>
      <c r="DB66" s="6"/>
      <c r="DC66" s="6"/>
      <c r="DD66" s="6"/>
      <c r="DE66" s="6"/>
      <c r="DF66" s="6"/>
      <c r="DG66" s="6"/>
      <c r="DH66" s="6"/>
      <c r="DI66" s="6"/>
      <c r="DJ66" s="212"/>
      <c r="DK66" s="13"/>
      <c r="DL66" s="13"/>
      <c r="DM66" s="202"/>
      <c r="DN66" s="206" t="e">
        <f>IF(CO66="external",T66,0)</f>
        <v>#N/A</v>
      </c>
      <c r="DO66" s="206" t="e">
        <f>IF(CO66="external",W66,0)</f>
        <v>#N/A</v>
      </c>
      <c r="DP66" s="206" t="e">
        <f>IF(CO66="external",Z66,0)</f>
        <v>#N/A</v>
      </c>
      <c r="DQ66" s="206" t="e">
        <f>IF(CO66="external",AC66,0)</f>
        <v>#N/A</v>
      </c>
      <c r="DR66" s="206" t="e">
        <f>IF(CO66="external",AF66,0)</f>
        <v>#N/A</v>
      </c>
      <c r="DS66" s="207" t="e">
        <f>IF(CO66="external",AI66,0)</f>
        <v>#N/A</v>
      </c>
      <c r="DT66" s="208"/>
      <c r="DU66" s="207" t="e">
        <f>IF(CO66="internal",T66,0)</f>
        <v>#N/A</v>
      </c>
      <c r="DV66" s="207" t="e">
        <f>IF(CO66="internal",W66,0)</f>
        <v>#N/A</v>
      </c>
      <c r="DW66" s="207" t="e">
        <f>IF(CO66="internal",Z66,0)</f>
        <v>#N/A</v>
      </c>
      <c r="DX66" s="207" t="e">
        <f>IF(CO66="internal",AC66,0)</f>
        <v>#N/A</v>
      </c>
      <c r="DY66" s="207" t="e">
        <f>IF(CO66="internal",AF66,0)</f>
        <v>#N/A</v>
      </c>
      <c r="DZ66" s="207" t="e">
        <f>IF(CO66="internal",AI66,0)</f>
        <v>#N/A</v>
      </c>
    </row>
    <row r="67" spans="1:131" s="7" customFormat="1" x14ac:dyDescent="0.3">
      <c r="B67" s="19">
        <f>+CI67</f>
        <v>104</v>
      </c>
      <c r="C67" s="6">
        <f t="shared" si="85"/>
        <v>0</v>
      </c>
      <c r="D67" s="6" t="e">
        <f t="shared" si="85"/>
        <v>#N/A</v>
      </c>
      <c r="E67" s="6" t="str">
        <f t="shared" si="85"/>
        <v>--</v>
      </c>
      <c r="F67" s="6" t="e">
        <f>+CM67</f>
        <v>#N/A</v>
      </c>
      <c r="G67" s="174" t="str">
        <f t="shared" si="86"/>
        <v>Max Fx</v>
      </c>
      <c r="H67" s="6" t="e">
        <f t="shared" si="86"/>
        <v>#N/A</v>
      </c>
      <c r="I67" s="156"/>
      <c r="J67" s="10" t="e">
        <f t="shared" si="87"/>
        <v>#N/A</v>
      </c>
      <c r="K67" s="10" t="e">
        <f t="shared" si="87"/>
        <v>#N/A</v>
      </c>
      <c r="L67" s="10" t="e">
        <f t="shared" si="87"/>
        <v>#N/A</v>
      </c>
      <c r="M67" s="10" t="e">
        <f t="shared" si="87"/>
        <v>#N/A</v>
      </c>
      <c r="N67" s="10" t="e">
        <f>IF(I67*J67&gt;=0,J67*$J$19+I67*$J$18,J67)</f>
        <v>#N/A</v>
      </c>
      <c r="O67" s="10" t="e">
        <f>(K67)*$J$19</f>
        <v>#N/A</v>
      </c>
      <c r="P67" s="14" t="e">
        <f>IF(I67*L67&gt;=0,(L67)+I67,L67)</f>
        <v>#N/A</v>
      </c>
      <c r="Q67" s="3" t="e">
        <f>(M67)</f>
        <v>#N/A</v>
      </c>
      <c r="R67" s="20">
        <f t="shared" si="90"/>
        <v>1000</v>
      </c>
      <c r="S67" s="23"/>
      <c r="T67" s="12">
        <v>40</v>
      </c>
      <c r="U67" s="28"/>
      <c r="V67" s="28"/>
      <c r="W67" s="12"/>
      <c r="X67" s="28"/>
      <c r="Y67" s="28"/>
      <c r="Z67" s="12"/>
      <c r="AA67" s="28"/>
      <c r="AB67" s="28"/>
      <c r="AC67" s="158"/>
      <c r="AD67" s="28"/>
      <c r="AE67" s="28"/>
      <c r="AF67" s="158"/>
      <c r="AG67" s="28"/>
      <c r="AH67" s="28"/>
      <c r="AI67" s="29"/>
      <c r="AJ67" s="6">
        <f>PI()/4*T67^2*$O$12/$AX$16</f>
        <v>8377.5804095727817</v>
      </c>
      <c r="AK67" s="28" t="str">
        <f>IF(W67=0,"","+")</f>
        <v/>
      </c>
      <c r="AL67" s="6">
        <f>PI()/4*W67^2*$O$12/$AX$16</f>
        <v>0</v>
      </c>
      <c r="AM67" s="28" t="str">
        <f>IF(Z67=0,"","+")</f>
        <v/>
      </c>
      <c r="AN67" s="6">
        <f>PI()/4*Z67^2*$O$12/$AX$16</f>
        <v>0</v>
      </c>
      <c r="AO67" s="28" t="str">
        <f>IF(AC67=0,"","+")</f>
        <v/>
      </c>
      <c r="AP67" s="6">
        <f>PI()/4*AC67^2*$O$12/$AX$16</f>
        <v>0</v>
      </c>
      <c r="AQ67" s="28" t="str">
        <f>IF(AF67=0,"","+")</f>
        <v/>
      </c>
      <c r="AR67" s="6">
        <f>PI()/4*AF67^2*$O$12/$AX$16</f>
        <v>0</v>
      </c>
      <c r="AS67" s="28" t="str">
        <f>IF(AI67=0,"","+")</f>
        <v/>
      </c>
      <c r="AT67" s="6">
        <f>PI()/4*AI67^2*$O$12/$AX$16</f>
        <v>0</v>
      </c>
      <c r="AU67" s="28" t="s">
        <v>24</v>
      </c>
      <c r="AV67" s="15">
        <f>VALUE(AJ67)+VALUE(AL67)+VALUE(AN67)+VALUE(AP67)+VALUE(AR67)+VALUE(AT67)</f>
        <v>8377.5804095727817</v>
      </c>
      <c r="AW67" s="228">
        <f>MAX(0.3*$AJ$14^(2/3)/$AJ$16*0.26*100,0.13)</f>
        <v>0.15723814702688016</v>
      </c>
      <c r="AX67" s="6">
        <f>AW67/100*$O$12*BK67</f>
        <v>1410.4261788311151</v>
      </c>
      <c r="AY67" s="6"/>
      <c r="AZ67" s="6"/>
      <c r="BA67" s="24" t="str">
        <f>IF(BB67=0,"","+")</f>
        <v/>
      </c>
      <c r="BB67" s="24"/>
      <c r="BC67" s="28" t="s">
        <v>24</v>
      </c>
      <c r="BD67" s="15">
        <f>AX67+AZ67+BB67</f>
        <v>1410.4261788311151</v>
      </c>
      <c r="BE67" s="2">
        <f>(R67-($AX$14+$O$16+T67/2))</f>
        <v>897</v>
      </c>
      <c r="BF67" s="3">
        <f>IF(W67=0,0,(R67-($AX$14+T67/2+$O$16+$BI$16)))</f>
        <v>0</v>
      </c>
      <c r="BG67" s="3">
        <f>IF(Z67=0,0,(R67-($AX$14+T67/2+$BI$16+$O$16+$BI$17)))</f>
        <v>0</v>
      </c>
      <c r="BH67" s="3">
        <f>IF(AC67=0,0,(R67-($AX$14+T67/2+$O$16+$BI$16+$BI$17+$BI$18)))</f>
        <v>0</v>
      </c>
      <c r="BI67" s="3">
        <f>IF(AF67=0,0,(R67-($AX$14+T67/2+$O$16+$BI$16+$BI$17+$BI$18+$BL$16)))</f>
        <v>0</v>
      </c>
      <c r="BJ67" s="3">
        <f>IF(AI67=0,0,(R67-($AX$14+T67/2+$O$16+$BI$16+$BI$17+$BI$18+$BL$16+$BL$17)))</f>
        <v>0</v>
      </c>
      <c r="BK67" s="6">
        <f>(BE67*AJ67+BF67*AL67+BG67*AN67+BH67*AP67+BI67*AR67+BJ67*AT67)/AV67</f>
        <v>897</v>
      </c>
      <c r="BL67" s="175" t="e">
        <f>ABS(N67)*1000000/$O$12/BK67^2</f>
        <v>#N/A</v>
      </c>
      <c r="BM67" s="175" t="e">
        <f>BL67/$AJ$14</f>
        <v>#N/A</v>
      </c>
      <c r="BN67" s="21" t="e">
        <f>IF(BM67&lt;0.167,0.5+SQRT(0.25-(BM67/1.134)),0.82)</f>
        <v>#N/A</v>
      </c>
      <c r="BO67" s="15" t="e">
        <f>ABS(N67)/(0.87*$AJ$16*BN67*BK67)*10^6</f>
        <v>#N/A</v>
      </c>
      <c r="BP67" s="22">
        <v>4864.0218617588926</v>
      </c>
      <c r="BQ67" s="175" t="e">
        <f>IF(Q67=0,2*ABS(P67*10^6)/$O$12/BP67/(BK67-BP67/3),Q67*BP67*1000/($O$12/2*BP67^2-(BE67-BP67)*AJ67*$AJ$18-(BF67-BP67)*AL67*$AJ$18-(BG67-BP67)*AN67*$AJ$18-(BH67-BP67)*AP67*$AJ$18-(BI67-BP67)*AR67*$AJ$18-(BJ67-BP67)*AT67*$AJ$18))</f>
        <v>#N/A</v>
      </c>
      <c r="BR67" s="3" t="e">
        <f>0.5*$O$12*BP67*BQ67 /1000</f>
        <v>#N/A</v>
      </c>
      <c r="BS67" s="3" t="e">
        <f>($BQ67/$BP67)*(BE67-$BP67)*$AJ$18*AJ67/1000</f>
        <v>#N/A</v>
      </c>
      <c r="BT67" s="3" t="e">
        <f>($BQ67/$BP67)*(BF67-$BP67)*$AJ$18*AL67/1000</f>
        <v>#N/A</v>
      </c>
      <c r="BU67" s="3" t="e">
        <f>($BQ67/$BP67)*(BG67-$BP67)*$AJ$18*AN67/1000</f>
        <v>#N/A</v>
      </c>
      <c r="BV67" s="3" t="e">
        <f>($BQ67/$BP67)*(BH67-$BP67)*$AJ$18*AP67/1000</f>
        <v>#N/A</v>
      </c>
      <c r="BW67" s="3" t="e">
        <f>($BQ67/$BP67)*(BI67-$BP67)*$AJ$18*AR67/1000</f>
        <v>#N/A</v>
      </c>
      <c r="BX67" s="3" t="e">
        <f>($BQ67/$BP67)*(BJ67-$BP67)*$AJ$18*AT67/1000</f>
        <v>#N/A</v>
      </c>
      <c r="BY67" s="175" t="e">
        <f>IF(Q67=0,0,(0.5*$O$12*BP67*BQ67/1000*(R67/2-$BP67/3)+BS67*(BE67-R67/2)+BT67*(BF67-R67/2)+BU67*(BG67-R67/2)+BV67*(BH67-R67/2)+BW67*(BI67-R67/2)+BX67*(BJ67-R67/2))/1000-ABS(P67))</f>
        <v>#N/A</v>
      </c>
      <c r="BZ67" s="10"/>
      <c r="CA67" s="176" t="e">
        <f>ABS(P67)/(BK67-BP67/3)/AV67*10^6-Q67*(R67/2-BP67/3)/(BK67-BP67/3)/AV67*1000</f>
        <v>#N/A</v>
      </c>
      <c r="CB67" s="177">
        <f>(AV67/($O$12*MIN(2.5*(R67-BK67),(R67-BP67)/3,R67/2)-AV67))</f>
        <v>-6.4622633436612724E-3</v>
      </c>
      <c r="CC67" s="177">
        <f>3.4*($O$16+$AX$14)+0.425*0.8*0.5*(T67^2+W67^2+Z67^2+AC67^2+AF67^2+AI67^2)/(T67+W67+Z67+AC67+AF67+AI67)/CB67</f>
        <v>-770.06290517392904</v>
      </c>
      <c r="CD67" s="177" t="e">
        <f>MAX(0.6*CA67/$AJ$17,(CA67-0.4*0.3*$AJ$14^(2/3)/CB67*(1+$AJ$17/$AJ$15*CB67))/$AJ$17)</f>
        <v>#N/A</v>
      </c>
      <c r="CE67" s="178" t="e">
        <f>CC67*CD67/1000</f>
        <v>#N/A</v>
      </c>
      <c r="CF67" s="23" t="e">
        <f>IF(AND(AV67&gt;=BD67,AV67&gt;=BO67,CE67&lt;=(+IF(CO67="External",0.25,0.3))),"O.K", "Not O.K")</f>
        <v>#N/A</v>
      </c>
      <c r="CG67" s="28"/>
      <c r="CH67" s="179" t="e">
        <f>IF(O67&lt;0.2*$AJ$14*R67*$O$12/1000,"N &lt; 0.2fckAc - OK!","TBA")</f>
        <v>#N/A</v>
      </c>
      <c r="CI67" s="24">
        <v>104</v>
      </c>
      <c r="CJ67" s="25"/>
      <c r="CK67" s="6" t="e">
        <f t="shared" si="35"/>
        <v>#N/A</v>
      </c>
      <c r="CL67" s="8" t="s">
        <v>72</v>
      </c>
      <c r="CM67" s="6" t="e">
        <f t="shared" si="36"/>
        <v>#N/A</v>
      </c>
      <c r="CN67" s="26" t="s">
        <v>145</v>
      </c>
      <c r="CO67" s="15" t="e">
        <f>IF(VLOOKUP(CI67,'Summary-input'!A:C,3,0)="Outward",
IF(CP67&lt;0,"External","Internal"),
IF(CP67&lt;0,"Internal","External")
)</f>
        <v>#N/A</v>
      </c>
      <c r="CP67" t="e">
        <f>VLOOKUP(CI67&amp;CN67,'Summary-output-ULS'!A:G,6,0)</f>
        <v>#N/A</v>
      </c>
      <c r="CQ67" t="e">
        <f>VLOOKUP(CI67&amp;CN67,'Summary-output-ULS'!A:G,7,0)</f>
        <v>#N/A</v>
      </c>
      <c r="CR67" s="3" t="e">
        <f>VLOOKUP(CI67&amp;CN67,'Summary-output-SLS'!A:G,6,0)</f>
        <v>#N/A</v>
      </c>
      <c r="CS67" s="3" t="e">
        <f>VLOOKUP(CI67&amp;CN67,'Summary-output-SLS'!A:G,7,0)</f>
        <v>#N/A</v>
      </c>
      <c r="CT67" s="20">
        <v>1000</v>
      </c>
      <c r="CU67" s="2" t="e">
        <f>VLOOKUP(CI67&amp;CN67,'Summary-output-ULS'!A:G,5,0)</f>
        <v>#N/A</v>
      </c>
      <c r="CV67" s="15" t="e">
        <f>VLOOKUP(CI67&amp;CN67,'Summary-output-SLS'!A:G,5,0)</f>
        <v>#N/A</v>
      </c>
      <c r="CW67" s="6"/>
      <c r="CX67" s="278"/>
      <c r="CY67" s="6"/>
      <c r="CZ67" s="6"/>
      <c r="DA67" s="6"/>
      <c r="DB67" s="6"/>
      <c r="DC67" s="6"/>
      <c r="DD67" s="6"/>
      <c r="DE67" s="6"/>
      <c r="DF67" s="6"/>
      <c r="DG67" s="6"/>
      <c r="DH67" s="6"/>
      <c r="DI67" s="6"/>
      <c r="DJ67" s="212"/>
      <c r="DK67" s="13"/>
      <c r="DL67" s="13"/>
      <c r="DM67" s="202"/>
      <c r="DN67" s="206" t="e">
        <f>IF(CO67="external",T67,0)</f>
        <v>#N/A</v>
      </c>
      <c r="DO67" s="206" t="e">
        <f>IF(CO67="external",W67,0)</f>
        <v>#N/A</v>
      </c>
      <c r="DP67" s="206" t="e">
        <f>IF(CO67="external",Z67,0)</f>
        <v>#N/A</v>
      </c>
      <c r="DQ67" s="206" t="e">
        <f>IF(CO67="external",AC67,0)</f>
        <v>#N/A</v>
      </c>
      <c r="DR67" s="206" t="e">
        <f>IF(CO67="external",AF67,0)</f>
        <v>#N/A</v>
      </c>
      <c r="DS67" s="207" t="e">
        <f>IF(CO67="external",AI67,0)</f>
        <v>#N/A</v>
      </c>
      <c r="DT67" s="208"/>
      <c r="DU67" s="207" t="e">
        <f>IF(CO67="internal",T67,0)</f>
        <v>#N/A</v>
      </c>
      <c r="DV67" s="207" t="e">
        <f>IF(CO67="internal",W67,0)</f>
        <v>#N/A</v>
      </c>
      <c r="DW67" s="207" t="e">
        <f>IF(CO67="internal",Z67,0)</f>
        <v>#N/A</v>
      </c>
      <c r="DX67" s="207" t="e">
        <f>IF(CO67="internal",AC67,0)</f>
        <v>#N/A</v>
      </c>
      <c r="DY67" s="207" t="e">
        <f>IF(CO67="internal",AF67,0)</f>
        <v>#N/A</v>
      </c>
      <c r="DZ67" s="207" t="e">
        <f>IF(CO67="internal",AI67,0)</f>
        <v>#N/A</v>
      </c>
    </row>
    <row r="68" spans="1:131" s="7" customFormat="1" x14ac:dyDescent="0.3">
      <c r="B68" s="19">
        <f>+CI68</f>
        <v>104</v>
      </c>
      <c r="C68" s="6">
        <f t="shared" si="85"/>
        <v>0</v>
      </c>
      <c r="D68" s="6" t="e">
        <f t="shared" si="85"/>
        <v>#N/A</v>
      </c>
      <c r="E68" s="6" t="str">
        <f t="shared" si="85"/>
        <v>--</v>
      </c>
      <c r="F68" s="6" t="e">
        <f>+CM68</f>
        <v>#N/A</v>
      </c>
      <c r="G68" s="174" t="str">
        <f t="shared" si="86"/>
        <v>Min Fx</v>
      </c>
      <c r="H68" s="6" t="e">
        <f t="shared" si="86"/>
        <v>#N/A</v>
      </c>
      <c r="I68" s="156"/>
      <c r="J68" s="10" t="e">
        <f t="shared" si="87"/>
        <v>#N/A</v>
      </c>
      <c r="K68" s="10" t="e">
        <f t="shared" si="87"/>
        <v>#N/A</v>
      </c>
      <c r="L68" s="10" t="e">
        <f t="shared" si="87"/>
        <v>#N/A</v>
      </c>
      <c r="M68" s="10" t="e">
        <f t="shared" si="87"/>
        <v>#N/A</v>
      </c>
      <c r="N68" s="10" t="e">
        <f>IF(I68*J68&gt;=0,J68*$J$19+I68*$J$18,J68)</f>
        <v>#N/A</v>
      </c>
      <c r="O68" s="10" t="e">
        <f>(K68)*$J$19</f>
        <v>#N/A</v>
      </c>
      <c r="P68" s="14" t="e">
        <f>IF(I68*L68&gt;=0,(L68)+I68,L68)</f>
        <v>#N/A</v>
      </c>
      <c r="Q68" s="3" t="e">
        <f>(M68)</f>
        <v>#N/A</v>
      </c>
      <c r="R68" s="20">
        <f t="shared" si="90"/>
        <v>1000</v>
      </c>
      <c r="S68" s="23"/>
      <c r="T68" s="12">
        <v>40</v>
      </c>
      <c r="U68" s="28"/>
      <c r="V68" s="28"/>
      <c r="W68" s="12">
        <v>25</v>
      </c>
      <c r="X68" s="28"/>
      <c r="Y68" s="28"/>
      <c r="Z68" s="12"/>
      <c r="AA68" s="28"/>
      <c r="AB68" s="28"/>
      <c r="AC68" s="158"/>
      <c r="AD68" s="28"/>
      <c r="AE68" s="28"/>
      <c r="AF68" s="158"/>
      <c r="AG68" s="28"/>
      <c r="AH68" s="28"/>
      <c r="AI68" s="29"/>
      <c r="AJ68" s="6">
        <f>PI()/4*T68^2*$O$12/$AX$16</f>
        <v>8377.5804095727817</v>
      </c>
      <c r="AK68" s="28" t="str">
        <f>IF(W68=0,"","+")</f>
        <v>+</v>
      </c>
      <c r="AL68" s="6">
        <f>PI()/4*W68^2*$O$12/$AX$16</f>
        <v>3272.4923474893681</v>
      </c>
      <c r="AM68" s="28" t="str">
        <f>IF(Z68=0,"","+")</f>
        <v/>
      </c>
      <c r="AN68" s="6">
        <f>PI()/4*Z68^2*$O$12/$AX$16</f>
        <v>0</v>
      </c>
      <c r="AO68" s="28" t="str">
        <f>IF(AC68=0,"","+")</f>
        <v/>
      </c>
      <c r="AP68" s="6">
        <f>PI()/4*AC68^2*$O$12/$AX$16</f>
        <v>0</v>
      </c>
      <c r="AQ68" s="28" t="str">
        <f>IF(AF68=0,"","+")</f>
        <v/>
      </c>
      <c r="AR68" s="6">
        <f>PI()/4*AF68^2*$O$12/$AX$16</f>
        <v>0</v>
      </c>
      <c r="AS68" s="28" t="str">
        <f>IF(AI68=0,"","+")</f>
        <v/>
      </c>
      <c r="AT68" s="6">
        <f>PI()/4*AI68^2*$O$12/$AX$16</f>
        <v>0</v>
      </c>
      <c r="AU68" s="28" t="s">
        <v>24</v>
      </c>
      <c r="AV68" s="15">
        <f>VALUE(AJ68)+VALUE(AL68)+VALUE(AN68)+VALUE(AP68)+VALUE(AR68)+VALUE(AT68)</f>
        <v>11650.072757062149</v>
      </c>
      <c r="AW68" s="228">
        <f>MAX(0.3*$AJ$14^(2/3)/$AJ$16*0.26*100,0.13)</f>
        <v>0.15723814702688016</v>
      </c>
      <c r="AX68" s="6">
        <f>AW68/100*$O$12*BK68</f>
        <v>1375.0917637688949</v>
      </c>
      <c r="AY68" s="6"/>
      <c r="AZ68" s="6"/>
      <c r="BA68" s="24" t="str">
        <f>IF(BB68=0,"","+")</f>
        <v/>
      </c>
      <c r="BB68" s="24"/>
      <c r="BC68" s="28" t="s">
        <v>24</v>
      </c>
      <c r="BD68" s="15">
        <f>AX68+AZ68+BB68</f>
        <v>1375.0917637688949</v>
      </c>
      <c r="BE68" s="2">
        <f>(R68-($AX$14+$O$16+T68/2))</f>
        <v>897</v>
      </c>
      <c r="BF68" s="3">
        <f>IF(W68=0,0,(R68-($AX$14+T68/2+$O$16+$BI$16)))</f>
        <v>817</v>
      </c>
      <c r="BG68" s="3">
        <f>IF(Z68=0,0,(R68-($AX$14+T68/2+$BI$16+$O$16+$BI$17)))</f>
        <v>0</v>
      </c>
      <c r="BH68" s="3">
        <f>IF(AC68=0,0,(R68-($AX$14+T68/2+$O$16+$BI$16+$BI$17+$BI$18)))</f>
        <v>0</v>
      </c>
      <c r="BI68" s="3">
        <f>IF(AF68=0,0,(R68-($AX$14+T68/2+$O$16+$BI$16+$BI$17+$BI$18+$BL$16)))</f>
        <v>0</v>
      </c>
      <c r="BJ68" s="3">
        <f>IF(AI68=0,0,(R68-($AX$14+T68/2+$O$16+$BI$16+$BI$17+$BI$18+$BL$16+$BL$17)))</f>
        <v>0</v>
      </c>
      <c r="BK68" s="6">
        <f>(BE68*AJ68+BF68*AL68+BG68*AN68+BH68*AP68+BI68*AR68+BJ68*AT68)/AV68</f>
        <v>874.52808988764048</v>
      </c>
      <c r="BL68" s="175" t="e">
        <f>ABS(N68)*1000000/$O$12/BK68^2</f>
        <v>#N/A</v>
      </c>
      <c r="BM68" s="175" t="e">
        <f>BL68/$AJ$14</f>
        <v>#N/A</v>
      </c>
      <c r="BN68" s="21" t="e">
        <f>IF(BM68&lt;0.167,0.5+SQRT(0.25-(BM68/1.134)),0.82)</f>
        <v>#N/A</v>
      </c>
      <c r="BO68" s="15" t="e">
        <f>ABS(N68)/(0.87*$AJ$16*BN68*BK68)*10^6</f>
        <v>#N/A</v>
      </c>
      <c r="BP68" s="22">
        <v>339.78490680699036</v>
      </c>
      <c r="BQ68" s="175" t="e">
        <f>IF(Q68=0,2*ABS(P68*10^6)/$O$12/BP68/(BK68-BP68/3),Q68*BP68*1000/($O$12/2*BP68^2-(BE68-BP68)*AJ68*$AJ$18-(BF68-BP68)*AL68*$AJ$18-(BG68-BP68)*AN68*$AJ$18-(BH68-BP68)*AP68*$AJ$18-(BI68-BP68)*AR68*$AJ$18-(BJ68-BP68)*AT68*$AJ$18))</f>
        <v>#N/A</v>
      </c>
      <c r="BR68" s="3" t="e">
        <f>0.5*$O$12*BP68*BQ68 /1000</f>
        <v>#N/A</v>
      </c>
      <c r="BS68" s="3" t="e">
        <f>($BQ68/$BP68)*(BE68-$BP68)*$AJ$18*AJ68/1000</f>
        <v>#N/A</v>
      </c>
      <c r="BT68" s="3" t="e">
        <f>($BQ68/$BP68)*(BF68-$BP68)*$AJ$18*AL68/1000</f>
        <v>#N/A</v>
      </c>
      <c r="BU68" s="3" t="e">
        <f>($BQ68/$BP68)*(BG68-$BP68)*$AJ$18*AN68/1000</f>
        <v>#N/A</v>
      </c>
      <c r="BV68" s="3" t="e">
        <f>($BQ68/$BP68)*(BH68-$BP68)*$AJ$18*AP68/1000</f>
        <v>#N/A</v>
      </c>
      <c r="BW68" s="3" t="e">
        <f>($BQ68/$BP68)*(BI68-$BP68)*$AJ$18*AR68/1000</f>
        <v>#N/A</v>
      </c>
      <c r="BX68" s="3" t="e">
        <f>($BQ68/$BP68)*(BJ68-$BP68)*$AJ$18*AT68/1000</f>
        <v>#N/A</v>
      </c>
      <c r="BY68" s="175" t="e">
        <f>IF(Q68=0,0,(0.5*$O$12*BP68*BQ68/1000*(R68/2-$BP68/3)+BS68*(BE68-R68/2)+BT68*(BF68-R68/2)+BU68*(BG68-R68/2)+BV68*(BH68-R68/2)+BW68*(BI68-R68/2)+BX68*(BJ68-R68/2))/1000-ABS(P68))</f>
        <v>#N/A</v>
      </c>
      <c r="BZ68" s="10"/>
      <c r="CA68" s="176" t="e">
        <f>ABS(P68)/(BK68-BP68/3)/AV68*10^6-Q68*(R68/2-BP68/3)/(BK68-BP68/3)/AV68*1000</f>
        <v>#N/A</v>
      </c>
      <c r="CB68" s="177">
        <f>(AV68/($O$12*MIN(2.5*(R68-BK68),(R68-BP68)/3,R68/2)-AV68))</f>
        <v>5.5896660236281905E-2</v>
      </c>
      <c r="CC68" s="177">
        <f>3.4*($O$16+$AX$14)+0.425*0.8*0.5*(T68^2+W68^2+Z68^2+AC68^2+AF68^2+AI68^2)/(T68+W68+Z68+AC68+AF68+AI68)/CB68</f>
        <v>386.30694922795351</v>
      </c>
      <c r="CD68" s="177" t="e">
        <f>MAX(0.6*CA68/$AJ$17,(CA68-0.4*0.3*$AJ$14^(2/3)/CB68*(1+$AJ$17/$AJ$15*CB68))/$AJ$17)</f>
        <v>#N/A</v>
      </c>
      <c r="CE68" s="178" t="e">
        <f>CC68*CD68/1000</f>
        <v>#N/A</v>
      </c>
      <c r="CF68" s="23" t="e">
        <f>IF(AND(AV68&gt;=BD68,AV68&gt;=BO68,CE68&lt;=(+IF(CO68="External",0.25,0.3))),"O.K", "Not O.K")</f>
        <v>#N/A</v>
      </c>
      <c r="CG68" s="28"/>
      <c r="CH68" s="179" t="e">
        <f>IF(O68&lt;0.2*$AJ$14*R68*$O$12/1000,"N &lt; 0.2fckAc - OK!","TBA")</f>
        <v>#N/A</v>
      </c>
      <c r="CI68" s="24">
        <v>104</v>
      </c>
      <c r="CJ68" s="25"/>
      <c r="CK68" s="6" t="e">
        <f t="shared" si="35"/>
        <v>#N/A</v>
      </c>
      <c r="CL68" s="8" t="s">
        <v>72</v>
      </c>
      <c r="CM68" s="6" t="e">
        <f t="shared" si="36"/>
        <v>#N/A</v>
      </c>
      <c r="CN68" s="26" t="s">
        <v>146</v>
      </c>
      <c r="CO68" s="15" t="e">
        <f>IF(VLOOKUP(CI68,'Summary-input'!A:C,3,0)="Outward",
IF(CP68&lt;0,"External","Internal"),
IF(CP68&lt;0,"Internal","External")
)</f>
        <v>#N/A</v>
      </c>
      <c r="CP68" t="e">
        <f>VLOOKUP(CI68&amp;CN68,'Summary-output-ULS'!A:G,6,0)</f>
        <v>#N/A</v>
      </c>
      <c r="CQ68" t="e">
        <f>VLOOKUP(CI68&amp;CN68,'Summary-output-ULS'!A:G,7,0)</f>
        <v>#N/A</v>
      </c>
      <c r="CR68" s="3" t="e">
        <f>VLOOKUP(CI68&amp;CN68,'Summary-output-SLS'!A:G,6,0)</f>
        <v>#N/A</v>
      </c>
      <c r="CS68" s="3" t="e">
        <f>VLOOKUP(CI68&amp;CN68,'Summary-output-SLS'!A:G,7,0)</f>
        <v>#N/A</v>
      </c>
      <c r="CT68" s="20">
        <v>1000</v>
      </c>
      <c r="CU68" s="2" t="e">
        <f>VLOOKUP(CI68&amp;CN68,'Summary-output-ULS'!A:G,5,0)</f>
        <v>#N/A</v>
      </c>
      <c r="CV68" s="15" t="e">
        <f>VLOOKUP(CI68&amp;CN68,'Summary-output-SLS'!A:G,5,0)</f>
        <v>#N/A</v>
      </c>
      <c r="CW68" s="6"/>
      <c r="CX68" s="278"/>
      <c r="CY68" s="6"/>
      <c r="CZ68" s="6"/>
      <c r="DA68" s="6"/>
      <c r="DB68" s="6"/>
      <c r="DC68" s="6"/>
      <c r="DD68" s="6"/>
      <c r="DE68" s="6"/>
      <c r="DF68" s="6"/>
      <c r="DG68" s="6"/>
      <c r="DH68" s="6"/>
      <c r="DI68" s="6"/>
      <c r="DJ68" s="212"/>
      <c r="DK68" s="13"/>
      <c r="DL68" s="13"/>
      <c r="DM68" s="202"/>
      <c r="DN68" s="206" t="e">
        <f>IF(CO68="external",T68,0)</f>
        <v>#N/A</v>
      </c>
      <c r="DO68" s="206" t="e">
        <f>IF(CO68="external",W68,0)</f>
        <v>#N/A</v>
      </c>
      <c r="DP68" s="206" t="e">
        <f>IF(CO68="external",Z68,0)</f>
        <v>#N/A</v>
      </c>
      <c r="DQ68" s="206" t="e">
        <f>IF(CO68="external",AC68,0)</f>
        <v>#N/A</v>
      </c>
      <c r="DR68" s="206" t="e">
        <f>IF(CO68="external",AF68,0)</f>
        <v>#N/A</v>
      </c>
      <c r="DS68" s="207" t="e">
        <f>IF(CO68="external",AI68,0)</f>
        <v>#N/A</v>
      </c>
      <c r="DT68" s="208"/>
      <c r="DU68" s="207" t="e">
        <f>IF(CO68="internal",T68,0)</f>
        <v>#N/A</v>
      </c>
      <c r="DV68" s="207" t="e">
        <f>IF(CO68="internal",W68,0)</f>
        <v>#N/A</v>
      </c>
      <c r="DW68" s="207" t="e">
        <f>IF(CO68="internal",Z68,0)</f>
        <v>#N/A</v>
      </c>
      <c r="DX68" s="207" t="e">
        <f>IF(CO68="internal",AC68,0)</f>
        <v>#N/A</v>
      </c>
      <c r="DY68" s="207" t="e">
        <f>IF(CO68="internal",AF68,0)</f>
        <v>#N/A</v>
      </c>
      <c r="DZ68" s="207" t="e">
        <f>IF(CO68="internal",AI68,0)</f>
        <v>#N/A</v>
      </c>
    </row>
    <row r="69" spans="1:131" s="7" customFormat="1" x14ac:dyDescent="0.3">
      <c r="B69" s="242"/>
      <c r="C69" s="238"/>
      <c r="D69" s="237"/>
      <c r="E69" s="238"/>
      <c r="F69" s="238"/>
      <c r="G69" s="239"/>
      <c r="H69" s="67"/>
      <c r="I69" s="67"/>
      <c r="J69" s="67"/>
      <c r="K69" s="67"/>
      <c r="L69" s="67"/>
      <c r="M69" s="67"/>
      <c r="N69" s="67"/>
      <c r="O69" s="67"/>
      <c r="P69" s="67"/>
      <c r="Q69" s="67"/>
      <c r="R69" s="67"/>
      <c r="S69" s="67"/>
      <c r="T69" s="240"/>
      <c r="U69" s="67"/>
      <c r="V69" s="67"/>
      <c r="W69" s="240"/>
      <c r="X69" s="67"/>
      <c r="Y69" s="67"/>
      <c r="Z69" s="67"/>
      <c r="AA69" s="67"/>
      <c r="AB69" s="67"/>
      <c r="AC69" s="67"/>
      <c r="AD69" s="67"/>
      <c r="AE69" s="67"/>
      <c r="AF69" s="67"/>
      <c r="AG69" s="67"/>
      <c r="AH69" s="67"/>
      <c r="AI69" s="241"/>
      <c r="AJ69" s="67"/>
      <c r="AK69" s="67"/>
      <c r="AL69" s="67"/>
      <c r="AM69" s="67"/>
      <c r="AN69" s="67"/>
      <c r="AO69" s="67"/>
      <c r="AP69" s="67"/>
      <c r="AQ69" s="67"/>
      <c r="AR69" s="67"/>
      <c r="AS69" s="67"/>
      <c r="AT69" s="67"/>
      <c r="AU69" s="67"/>
      <c r="AV69" s="67"/>
      <c r="AW69" s="67"/>
      <c r="AX69" s="67"/>
      <c r="AY69" s="67"/>
      <c r="AZ69" s="67"/>
      <c r="BA69" s="67"/>
      <c r="BB69" s="67"/>
      <c r="BC69" s="67"/>
      <c r="BD69" s="67"/>
      <c r="BE69" s="67"/>
      <c r="BF69" s="67"/>
      <c r="BG69" s="67"/>
      <c r="BH69" s="67"/>
      <c r="BI69" s="67"/>
      <c r="BJ69" s="67"/>
      <c r="BK69" s="67"/>
      <c r="BL69" s="67"/>
      <c r="BM69" s="67"/>
      <c r="BN69" s="67"/>
      <c r="BO69" s="67"/>
      <c r="BP69" s="67"/>
      <c r="BQ69" s="67"/>
      <c r="BR69" s="67"/>
      <c r="BS69" s="67"/>
      <c r="BT69" s="67"/>
      <c r="BU69" s="67"/>
      <c r="BV69" s="67"/>
      <c r="BW69" s="67"/>
      <c r="BX69" s="67"/>
      <c r="BY69" s="67"/>
      <c r="BZ69" s="67"/>
      <c r="CA69" s="67"/>
      <c r="CB69" s="67"/>
      <c r="CC69" s="67"/>
      <c r="CD69" s="67"/>
      <c r="CE69" s="67"/>
      <c r="CH69" s="243"/>
      <c r="CI69" s="6"/>
      <c r="CJ69" s="37"/>
      <c r="CK69" s="6" t="e">
        <f t="shared" ref="CK69:CK73" si="91">CU69</f>
        <v>#N/A</v>
      </c>
      <c r="CL69" s="8" t="s">
        <v>72</v>
      </c>
      <c r="CM69" s="6" t="e">
        <f t="shared" ref="CM69:CM73" si="92">CV69</f>
        <v>#N/A</v>
      </c>
      <c r="CN69" s="39"/>
      <c r="CO69" s="15" t="e">
        <f>IF(VLOOKUP(CI69,'Summary-input'!A:C,3,0)="Outward",
IF(CP69&lt;0,"External","Internal"),
IF(CP69&lt;0,"Internal","External")
)</f>
        <v>#N/A</v>
      </c>
      <c r="CP69" t="e">
        <f>VLOOKUP(CI69&amp;CN69,'Summary-output-ULS'!A:G,6,0)</f>
        <v>#N/A</v>
      </c>
      <c r="CQ69" t="e">
        <f>VLOOKUP(CI69&amp;CN69,'Summary-output-ULS'!A:G,7,0)</f>
        <v>#N/A</v>
      </c>
      <c r="CR69" s="3" t="e">
        <f>VLOOKUP(CI69&amp;CN69,'Summary-output-SLS'!A:G,6,0)</f>
        <v>#N/A</v>
      </c>
      <c r="CS69" s="3" t="e">
        <f>VLOOKUP(CI69&amp;CN69,'Summary-output-SLS'!A:G,7,0)</f>
        <v>#N/A</v>
      </c>
      <c r="CU69" s="2" t="e">
        <f>VLOOKUP(CI69&amp;CN69,'Summary-output-ULS'!A:G,5,0)</f>
        <v>#N/A</v>
      </c>
      <c r="CV69" s="15" t="e">
        <f>VLOOKUP(CI69&amp;CN69,'Summary-output-SLS'!A:G,5,0)</f>
        <v>#N/A</v>
      </c>
      <c r="CW69" s="28"/>
      <c r="CX69" s="280"/>
      <c r="CY69" s="185"/>
      <c r="CZ69" s="185"/>
      <c r="DA69" s="185"/>
      <c r="DB69" s="185"/>
      <c r="DC69" s="185"/>
      <c r="DD69" s="185"/>
      <c r="DE69" s="185"/>
      <c r="DF69" s="185"/>
      <c r="DG69" s="185"/>
      <c r="DH69" s="185"/>
      <c r="DI69" s="185"/>
      <c r="DJ69" s="209"/>
      <c r="DK69" s="185"/>
      <c r="DL69" s="185"/>
      <c r="DM69" s="186"/>
      <c r="DN69" s="187"/>
      <c r="DO69" s="187"/>
      <c r="DP69" s="187"/>
      <c r="DQ69" s="187"/>
      <c r="DR69" s="187"/>
      <c r="DS69" s="187"/>
      <c r="DT69" s="188"/>
      <c r="DU69" s="187"/>
      <c r="DV69" s="187"/>
      <c r="DW69" s="187"/>
      <c r="DX69" s="187"/>
      <c r="DY69" s="187"/>
      <c r="DZ69" s="187"/>
      <c r="EA69" s="185"/>
    </row>
    <row r="70" spans="1:131" s="7" customFormat="1" ht="13.8" x14ac:dyDescent="0.25">
      <c r="A70" s="7" t="s">
        <v>141</v>
      </c>
      <c r="B70" s="19">
        <f>+CI70</f>
        <v>109</v>
      </c>
      <c r="C70" s="6">
        <f t="shared" ref="C70:C73" si="93">CJ70</f>
        <v>0</v>
      </c>
      <c r="D70" s="6" t="e">
        <f t="shared" ref="D70:D73" si="94">CK70</f>
        <v>#N/A</v>
      </c>
      <c r="E70" s="6" t="str">
        <f t="shared" ref="E70:E73" si="95">CL70</f>
        <v>--</v>
      </c>
      <c r="F70" s="6" t="e">
        <f>+CM70</f>
        <v>#N/A</v>
      </c>
      <c r="G70" s="174" t="str">
        <f t="shared" ref="G70:G73" si="96">CN70</f>
        <v>Max Mz</v>
      </c>
      <c r="H70" s="6" t="e">
        <f t="shared" ref="H70:H73" si="97">CO70</f>
        <v>#N/A</v>
      </c>
      <c r="I70" s="156"/>
      <c r="J70" s="10" t="e">
        <f t="shared" ref="J70:J73" si="98">(CP70)</f>
        <v>#N/A</v>
      </c>
      <c r="K70" s="10" t="e">
        <f t="shared" ref="K70:K73" si="99">(CQ70)</f>
        <v>#N/A</v>
      </c>
      <c r="L70" s="10" t="e">
        <f t="shared" ref="L70:L73" si="100">(CR70)</f>
        <v>#N/A</v>
      </c>
      <c r="M70" s="10" t="e">
        <f t="shared" ref="M70:M73" si="101">(CS70)</f>
        <v>#N/A</v>
      </c>
      <c r="N70" s="10" t="e">
        <f>IF(I70*J70&gt;=0,J70*$J$19+I70*$J$18,J70)</f>
        <v>#N/A</v>
      </c>
      <c r="O70" s="10" t="e">
        <f>(K70)*$J$19</f>
        <v>#N/A</v>
      </c>
      <c r="P70" s="14" t="e">
        <f>IF(I70*L70&gt;=0,(L70)+I70,L70)</f>
        <v>#N/A</v>
      </c>
      <c r="Q70" s="3" t="e">
        <f>(M70)</f>
        <v>#N/A</v>
      </c>
      <c r="R70" s="20">
        <f>CT70</f>
        <v>1000</v>
      </c>
      <c r="S70" s="23"/>
      <c r="T70" s="12">
        <v>40</v>
      </c>
      <c r="U70" s="28"/>
      <c r="V70" s="28"/>
      <c r="W70" s="12"/>
      <c r="X70" s="28"/>
      <c r="Y70" s="28"/>
      <c r="Z70" s="12"/>
      <c r="AA70" s="28"/>
      <c r="AB70" s="28"/>
      <c r="AC70" s="158"/>
      <c r="AD70" s="28"/>
      <c r="AE70" s="28"/>
      <c r="AF70" s="158"/>
      <c r="AG70" s="28"/>
      <c r="AH70" s="28"/>
      <c r="AI70" s="29"/>
      <c r="AJ70" s="6">
        <f>PI()/4*T70^2*$O$12/$AX$16</f>
        <v>8377.5804095727817</v>
      </c>
      <c r="AK70" s="28" t="str">
        <f>IF(W70=0,"","+")</f>
        <v/>
      </c>
      <c r="AL70" s="6">
        <f>PI()/4*W70^2*$O$12/$AX$16</f>
        <v>0</v>
      </c>
      <c r="AM70" s="28" t="str">
        <f>IF(Z70=0,"","+")</f>
        <v/>
      </c>
      <c r="AN70" s="6">
        <f>PI()/4*Z70^2*$O$12/$AX$16</f>
        <v>0</v>
      </c>
      <c r="AO70" s="28" t="str">
        <f>IF(AC70=0,"","+")</f>
        <v/>
      </c>
      <c r="AP70" s="6">
        <f>PI()/4*AC70^2*$O$12/$AX$16</f>
        <v>0</v>
      </c>
      <c r="AQ70" s="28" t="str">
        <f>IF(AF70=0,"","+")</f>
        <v/>
      </c>
      <c r="AR70" s="6">
        <f>PI()/4*AF70^2*$O$12/$AX$16</f>
        <v>0</v>
      </c>
      <c r="AS70" s="28" t="str">
        <f>IF(AI70=0,"","+")</f>
        <v/>
      </c>
      <c r="AT70" s="6">
        <f>PI()/4*AI70^2*$O$12/$AX$16</f>
        <v>0</v>
      </c>
      <c r="AU70" s="28" t="s">
        <v>24</v>
      </c>
      <c r="AV70" s="15">
        <f>VALUE(AJ70)+VALUE(AL70)+VALUE(AN70)+VALUE(AP70)+VALUE(AR70)+VALUE(AT70)</f>
        <v>8377.5804095727817</v>
      </c>
      <c r="AW70" s="228">
        <f>MAX(0.3*$AJ$14^(2/3)/$AJ$16*0.26*100,0.13)</f>
        <v>0.15723814702688016</v>
      </c>
      <c r="AX70" s="6">
        <f>AW70/100*$O$12*BK70</f>
        <v>1410.4261788311151</v>
      </c>
      <c r="AY70" s="6"/>
      <c r="AZ70" s="6"/>
      <c r="BA70" s="24" t="str">
        <f>IF(BB70=0,"","+")</f>
        <v/>
      </c>
      <c r="BB70" s="24"/>
      <c r="BC70" s="28" t="s">
        <v>24</v>
      </c>
      <c r="BD70" s="15">
        <f>AX70+AZ70+BB70</f>
        <v>1410.4261788311151</v>
      </c>
      <c r="BE70" s="2">
        <f>(R70-($AX$14+$O$16+T70/2))</f>
        <v>897</v>
      </c>
      <c r="BF70" s="3">
        <f>IF(W70=0,0,(R70-($AX$14+T70/2+$O$16+$BI$16)))</f>
        <v>0</v>
      </c>
      <c r="BG70" s="3">
        <f>IF(Z70=0,0,(R70-($AX$14+T70/2+$BI$16+$O$16+$BI$17)))</f>
        <v>0</v>
      </c>
      <c r="BH70" s="3">
        <f>IF(AC70=0,0,(R70-($AX$14+T70/2+$O$16+$BI$16+$BI$17+$BI$18)))</f>
        <v>0</v>
      </c>
      <c r="BI70" s="3">
        <f>IF(AF70=0,0,(R70-($AX$14+T70/2+$O$16+$BI$16+$BI$17+$BI$18+$BL$16)))</f>
        <v>0</v>
      </c>
      <c r="BJ70" s="3">
        <f>IF(AI70=0,0,(R70-($AX$14+T70/2+$O$16+$BI$16+$BI$17+$BI$18+$BL$16+$BL$17)))</f>
        <v>0</v>
      </c>
      <c r="BK70" s="6">
        <f>(BE70*AJ70+BF70*AL70+BG70*AN70+BH70*AP70+BI70*AR70+BJ70*AT70)/AV70</f>
        <v>897</v>
      </c>
      <c r="BL70" s="175" t="e">
        <f>ABS(N70)*1000000/$O$12/BK70^2</f>
        <v>#N/A</v>
      </c>
      <c r="BM70" s="175" t="e">
        <f>BL70/$AJ$14</f>
        <v>#N/A</v>
      </c>
      <c r="BN70" s="21" t="e">
        <f>IF(BM70&lt;0.167,0.5+SQRT(0.25-(BM70/1.134)),0.82)</f>
        <v>#N/A</v>
      </c>
      <c r="BO70" s="15" t="e">
        <f>ABS(N70)/(0.87*$AJ$16*BN70*BK70)*10^6</f>
        <v>#N/A</v>
      </c>
      <c r="BP70" s="22">
        <v>4627.5820259580878</v>
      </c>
      <c r="BQ70" s="175" t="e">
        <f>IF(Q70=0,2*ABS(P70*10^6)/$O$12/BP70/(BK70-BP70/3),Q70*BP70*1000/($O$12/2*BP70^2-(BE70-BP70)*AJ70*$AJ$18-(BF70-BP70)*AL70*$AJ$18-(BG70-BP70)*AN70*$AJ$18-(BH70-BP70)*AP70*$AJ$18-(BI70-BP70)*AR70*$AJ$18-(BJ70-BP70)*AT70*$AJ$18))</f>
        <v>#N/A</v>
      </c>
      <c r="BR70" s="3" t="e">
        <f>0.5*$O$12*BP70*BQ70 /1000</f>
        <v>#N/A</v>
      </c>
      <c r="BS70" s="3" t="e">
        <f>($BQ70/$BP70)*(BE70-$BP70)*$AJ$18*AJ70/1000</f>
        <v>#N/A</v>
      </c>
      <c r="BT70" s="3" t="e">
        <f>($BQ70/$BP70)*(BF70-$BP70)*$AJ$18*AL70/1000</f>
        <v>#N/A</v>
      </c>
      <c r="BU70" s="3" t="e">
        <f>($BQ70/$BP70)*(BG70-$BP70)*$AJ$18*AN70/1000</f>
        <v>#N/A</v>
      </c>
      <c r="BV70" s="3" t="e">
        <f>($BQ70/$BP70)*(BH70-$BP70)*$AJ$18*AP70/1000</f>
        <v>#N/A</v>
      </c>
      <c r="BW70" s="3" t="e">
        <f>($BQ70/$BP70)*(BI70-$BP70)*$AJ$18*AR70/1000</f>
        <v>#N/A</v>
      </c>
      <c r="BX70" s="3" t="e">
        <f>($BQ70/$BP70)*(BJ70-$BP70)*$AJ$18*AT70/1000</f>
        <v>#N/A</v>
      </c>
      <c r="BY70" s="175" t="e">
        <f>IF(Q70=0,0,(0.5*$O$12*BP70*BQ70/1000*(R70/2-$BP70/3)+BS70*(BE70-R70/2)+BT70*(BF70-R70/2)+BU70*(BG70-R70/2)+BV70*(BH70-R70/2)+BW70*(BI70-R70/2)+BX70*(BJ70-R70/2))/1000-ABS(P70))</f>
        <v>#N/A</v>
      </c>
      <c r="BZ70" s="10"/>
      <c r="CA70" s="176" t="e">
        <f>ABS(P70)/(BK70-BP70/3)/AV70*10^6-Q70*(R70/2-BP70/3)/(BK70-BP70/3)/AV70*1000</f>
        <v>#N/A</v>
      </c>
      <c r="CB70" s="177">
        <f>(AV70/($O$12*MIN(2.5*(R70-BK70),(R70-BP70)/3,R70/2)-AV70))</f>
        <v>-6.8805649580119584E-3</v>
      </c>
      <c r="CC70" s="177">
        <f>3.4*($O$16+$AX$14)+0.425*0.8*0.5*(T70^2+W70^2+Z70^2+AC70^2+AF70^2+AI70^2)/(T70+W70+Z70+AC70+AF70+AI70)/CB70</f>
        <v>-706.09093853432114</v>
      </c>
      <c r="CD70" s="177" t="e">
        <f>MAX(0.6*CA70/$AJ$17,(CA70-0.4*0.3*$AJ$14^(2/3)/CB70*(1+$AJ$17/$AJ$15*CB70))/$AJ$17)</f>
        <v>#N/A</v>
      </c>
      <c r="CE70" s="178" t="e">
        <f>CC70*CD70/1000</f>
        <v>#N/A</v>
      </c>
      <c r="CF70" s="23" t="e">
        <f>IF(AND(AV70&gt;=BD70,AV70&gt;=BO70,CE70&lt;=(+IF(CO70="External",0.25,0.3))),"O.K", "Not O.K")</f>
        <v>#N/A</v>
      </c>
      <c r="CG70" s="28"/>
      <c r="CH70" s="179" t="e">
        <f>IF(O70&lt;0.2*$AJ$14*R70*$O$12/1000,"N &lt; 0.2fckAc - OK!","TBA")</f>
        <v>#N/A</v>
      </c>
      <c r="CI70" s="24">
        <v>109</v>
      </c>
      <c r="CJ70" s="25"/>
      <c r="CK70" s="6" t="e">
        <f t="shared" si="91"/>
        <v>#N/A</v>
      </c>
      <c r="CL70" s="8" t="s">
        <v>72</v>
      </c>
      <c r="CM70" s="6" t="e">
        <f t="shared" si="92"/>
        <v>#N/A</v>
      </c>
      <c r="CN70" s="26" t="s">
        <v>147</v>
      </c>
      <c r="CO70" s="15" t="e">
        <f>IF(VLOOKUP(CI70,'Summary-input'!A:C,3,0)="Outward",
IF(CP70&lt;0,"External","Internal"),
IF(CP70&lt;0,"Internal","External")
)</f>
        <v>#N/A</v>
      </c>
      <c r="CP70" t="e">
        <f>VLOOKUP(CI70&amp;CN70,'Summary-output-ULS'!A:G,6,0)</f>
        <v>#N/A</v>
      </c>
      <c r="CQ70" t="e">
        <f>VLOOKUP(CI70&amp;CN70,'Summary-output-ULS'!A:G,7,0)</f>
        <v>#N/A</v>
      </c>
      <c r="CR70" s="3" t="e">
        <f>VLOOKUP(CI70&amp;CN70,'Summary-output-SLS'!A:G,6,0)</f>
        <v>#N/A</v>
      </c>
      <c r="CS70" s="3" t="e">
        <f>VLOOKUP(CI70&amp;CN70,'Summary-output-SLS'!A:G,7,0)</f>
        <v>#N/A</v>
      </c>
      <c r="CT70" s="20">
        <v>1000</v>
      </c>
      <c r="CU70" s="2" t="e">
        <f>VLOOKUP(CI70&amp;CN70,'Summary-output-ULS'!A:G,5,0)</f>
        <v>#N/A</v>
      </c>
      <c r="CV70" s="15" t="e">
        <f>VLOOKUP(CI70&amp;CN70,'Summary-output-SLS'!A:G,5,0)</f>
        <v>#N/A</v>
      </c>
      <c r="CW70" s="6"/>
      <c r="CX70" s="278">
        <f>CI70</f>
        <v>109</v>
      </c>
      <c r="CY70" s="6" t="e">
        <f t="shared" ref="CY70" si="102">MAX(DN70:DN73)</f>
        <v>#N/A</v>
      </c>
      <c r="CZ70" s="6" t="e">
        <f t="shared" ref="CZ70" si="103">MAX(DO70:DO73)</f>
        <v>#N/A</v>
      </c>
      <c r="DA70" s="6" t="e">
        <f t="shared" ref="DA70" si="104">MAX(DP70:DP73)</f>
        <v>#N/A</v>
      </c>
      <c r="DB70" s="6" t="e">
        <f t="shared" ref="DB70" si="105">MAX(DQ70:DQ73)</f>
        <v>#N/A</v>
      </c>
      <c r="DC70" s="6" t="e">
        <f t="shared" ref="DC70" si="106">MAX(DR70:DR73)</f>
        <v>#N/A</v>
      </c>
      <c r="DD70" s="6" t="e">
        <f t="shared" ref="DD70" si="107">MAX(DS70:DS73)</f>
        <v>#N/A</v>
      </c>
      <c r="DE70" s="6"/>
      <c r="DF70" s="6" t="e">
        <f t="shared" ref="DF70" si="108">MAX(DU70:DU73)</f>
        <v>#N/A</v>
      </c>
      <c r="DG70" s="6" t="e">
        <f t="shared" ref="DG70" si="109">MAX(DV70:DV73)</f>
        <v>#N/A</v>
      </c>
      <c r="DH70" s="6" t="e">
        <f t="shared" ref="DH70" si="110">MAX(DW70:DW73)</f>
        <v>#N/A</v>
      </c>
      <c r="DI70" s="6" t="e">
        <f t="shared" ref="DI70" si="111">MAX(DX70:DX73)</f>
        <v>#N/A</v>
      </c>
      <c r="DJ70" s="6" t="e">
        <f t="shared" ref="DJ70" si="112">MAX(DY70:DY73)</f>
        <v>#N/A</v>
      </c>
      <c r="DK70" s="6" t="e">
        <f t="shared" ref="DK70" si="113">MAX(DZ70:DZ73)</f>
        <v>#N/A</v>
      </c>
      <c r="DL70" s="13"/>
      <c r="DM70" s="202">
        <f>CI70</f>
        <v>109</v>
      </c>
      <c r="DN70" s="206" t="e">
        <f>IF(CO70="external",T70,0)</f>
        <v>#N/A</v>
      </c>
      <c r="DO70" s="206" t="e">
        <f>IF(CO70="external",W70,0)</f>
        <v>#N/A</v>
      </c>
      <c r="DP70" s="206" t="e">
        <f>IF(CO70="external",Z70,0)</f>
        <v>#N/A</v>
      </c>
      <c r="DQ70" s="206" t="e">
        <f>IF(CO70="external",AC70,0)</f>
        <v>#N/A</v>
      </c>
      <c r="DR70" s="206" t="e">
        <f>IF(CO70="external",AF70,0)</f>
        <v>#N/A</v>
      </c>
      <c r="DS70" s="207" t="e">
        <f>IF(CO70="external",AI70,0)</f>
        <v>#N/A</v>
      </c>
      <c r="DT70" s="208"/>
      <c r="DU70" s="207" t="e">
        <f>IF(CO70="internal",T70,0)</f>
        <v>#N/A</v>
      </c>
      <c r="DV70" s="207" t="e">
        <f>IF(CO70="internal",W70,0)</f>
        <v>#N/A</v>
      </c>
      <c r="DW70" s="207" t="e">
        <f>IF(CO70="internal",Z70,0)</f>
        <v>#N/A</v>
      </c>
      <c r="DX70" s="207" t="e">
        <f>IF(CO70="internal",AC70,0)</f>
        <v>#N/A</v>
      </c>
      <c r="DY70" s="207" t="e">
        <f>IF(CO70="internal",AF70,0)</f>
        <v>#N/A</v>
      </c>
      <c r="DZ70" s="207" t="e">
        <f>IF(CO70="internal",AI70,0)</f>
        <v>#N/A</v>
      </c>
    </row>
    <row r="71" spans="1:131" s="7" customFormat="1" x14ac:dyDescent="0.3">
      <c r="B71" s="19">
        <f>+CI71</f>
        <v>109</v>
      </c>
      <c r="C71" s="6">
        <f t="shared" si="93"/>
        <v>0</v>
      </c>
      <c r="D71" s="6" t="e">
        <f t="shared" si="94"/>
        <v>#N/A</v>
      </c>
      <c r="E71" s="6" t="str">
        <f t="shared" si="95"/>
        <v>--</v>
      </c>
      <c r="F71" s="6" t="e">
        <f>+CM71</f>
        <v>#N/A</v>
      </c>
      <c r="G71" s="174" t="str">
        <f t="shared" si="96"/>
        <v>Min Mz</v>
      </c>
      <c r="H71" s="6" t="e">
        <f t="shared" si="97"/>
        <v>#N/A</v>
      </c>
      <c r="I71" s="156"/>
      <c r="J71" s="10" t="e">
        <f t="shared" si="98"/>
        <v>#N/A</v>
      </c>
      <c r="K71" s="10" t="e">
        <f t="shared" si="99"/>
        <v>#N/A</v>
      </c>
      <c r="L71" s="10" t="e">
        <f t="shared" si="100"/>
        <v>#N/A</v>
      </c>
      <c r="M71" s="10" t="e">
        <f t="shared" si="101"/>
        <v>#N/A</v>
      </c>
      <c r="N71" s="10" t="e">
        <f>IF(I71*J71&gt;=0,J71*$J$19+I71*$J$18,J71)</f>
        <v>#N/A</v>
      </c>
      <c r="O71" s="10" t="e">
        <f>(K71)*$J$19</f>
        <v>#N/A</v>
      </c>
      <c r="P71" s="14" t="e">
        <f>IF(I71*L71&gt;=0,(L71)+I71,L71)</f>
        <v>#N/A</v>
      </c>
      <c r="Q71" s="3" t="e">
        <f>(M71)</f>
        <v>#N/A</v>
      </c>
      <c r="R71" s="20">
        <f t="shared" ref="R71:R73" si="114">CT71</f>
        <v>1000</v>
      </c>
      <c r="S71" s="23"/>
      <c r="T71" s="12">
        <v>20</v>
      </c>
      <c r="U71" s="28"/>
      <c r="V71" s="28"/>
      <c r="W71" s="12"/>
      <c r="X71" s="28"/>
      <c r="Y71" s="28"/>
      <c r="Z71" s="12"/>
      <c r="AA71" s="28"/>
      <c r="AB71" s="28"/>
      <c r="AC71" s="158"/>
      <c r="AD71" s="28"/>
      <c r="AE71" s="28"/>
      <c r="AF71" s="158"/>
      <c r="AG71" s="28"/>
      <c r="AH71" s="28"/>
      <c r="AI71" s="29"/>
      <c r="AJ71" s="6">
        <f>PI()/4*T71^2*$O$12/$AX$16</f>
        <v>2094.3951023931954</v>
      </c>
      <c r="AK71" s="28" t="str">
        <f>IF(W71=0,"","+")</f>
        <v/>
      </c>
      <c r="AL71" s="6">
        <f>PI()/4*W71^2*$O$12/$AX$16</f>
        <v>0</v>
      </c>
      <c r="AM71" s="28" t="str">
        <f>IF(Z71=0,"","+")</f>
        <v/>
      </c>
      <c r="AN71" s="6">
        <f>PI()/4*Z71^2*$O$12/$AX$16</f>
        <v>0</v>
      </c>
      <c r="AO71" s="28" t="str">
        <f>IF(AC71=0,"","+")</f>
        <v/>
      </c>
      <c r="AP71" s="6">
        <f>PI()/4*AC71^2*$O$12/$AX$16</f>
        <v>0</v>
      </c>
      <c r="AQ71" s="28" t="str">
        <f>IF(AF71=0,"","+")</f>
        <v/>
      </c>
      <c r="AR71" s="6">
        <f>PI()/4*AF71^2*$O$12/$AX$16</f>
        <v>0</v>
      </c>
      <c r="AS71" s="28" t="str">
        <f>IF(AI71=0,"","+")</f>
        <v/>
      </c>
      <c r="AT71" s="6">
        <f>PI()/4*AI71^2*$O$12/$AX$16</f>
        <v>0</v>
      </c>
      <c r="AU71" s="28" t="s">
        <v>24</v>
      </c>
      <c r="AV71" s="15">
        <f>VALUE(AJ71)+VALUE(AL71)+VALUE(AN71)+VALUE(AP71)+VALUE(AR71)+VALUE(AT71)</f>
        <v>2094.3951023931954</v>
      </c>
      <c r="AW71" s="228">
        <f>MAX(0.3*$AJ$14^(2/3)/$AJ$16*0.26*100,0.13)</f>
        <v>0.15723814702688016</v>
      </c>
      <c r="AX71" s="6">
        <f>AW71/100*$O$12*BK71</f>
        <v>1426.1499935338031</v>
      </c>
      <c r="AY71" s="6"/>
      <c r="AZ71" s="6"/>
      <c r="BA71" s="24" t="str">
        <f>IF(BB71=0,"","+")</f>
        <v/>
      </c>
      <c r="BB71" s="24"/>
      <c r="BC71" s="28" t="s">
        <v>24</v>
      </c>
      <c r="BD71" s="15">
        <f>AX71+AZ71+BB71</f>
        <v>1426.1499935338031</v>
      </c>
      <c r="BE71" s="2">
        <f>(R71-($AX$14+$O$16+T71/2))</f>
        <v>907</v>
      </c>
      <c r="BF71" s="3">
        <f>IF(W71=0,0,(R71-($AX$14+T71/2+$O$16+$BI$16)))</f>
        <v>0</v>
      </c>
      <c r="BG71" s="3">
        <f>IF(Z71=0,0,(R71-($AX$14+T71/2+$BI$16+$O$16+$BI$17)))</f>
        <v>0</v>
      </c>
      <c r="BH71" s="3">
        <f>IF(AC71=0,0,(R71-($AX$14+T71/2+$O$16+$BI$16+$BI$17+$BI$18)))</f>
        <v>0</v>
      </c>
      <c r="BI71" s="3">
        <f>IF(AF71=0,0,(R71-($AX$14+T71/2+$O$16+$BI$16+$BI$17+$BI$18+$BL$16)))</f>
        <v>0</v>
      </c>
      <c r="BJ71" s="3">
        <f>IF(AI71=0,0,(R71-($AX$14+T71/2+$O$16+$BI$16+$BI$17+$BI$18+$BL$16+$BL$17)))</f>
        <v>0</v>
      </c>
      <c r="BK71" s="6">
        <f>(BE71*AJ71+BF71*AL71+BG71*AN71+BH71*AP71+BI71*AR71+BJ71*AT71)/AV71</f>
        <v>907</v>
      </c>
      <c r="BL71" s="175" t="e">
        <f>ABS(N71)*1000000/$O$12/BK71^2</f>
        <v>#N/A</v>
      </c>
      <c r="BM71" s="175" t="e">
        <f>BL71/$AJ$14</f>
        <v>#N/A</v>
      </c>
      <c r="BN71" s="21" t="e">
        <f>IF(BM71&lt;0.167,0.5+SQRT(0.25-(BM71/1.134)),0.82)</f>
        <v>#N/A</v>
      </c>
      <c r="BO71" s="15" t="e">
        <f>ABS(N71)/(0.87*$AJ$16*BN71*BK71)*10^6</f>
        <v>#N/A</v>
      </c>
      <c r="BP71" s="22">
        <v>1625.7858833822008</v>
      </c>
      <c r="BQ71" s="175" t="e">
        <f>IF(Q71=0,2*ABS(P71*10^6)/$O$12/BP71/(BK71-BP71/3),Q71*BP71*1000/($O$12/2*BP71^2-(BE71-BP71)*AJ71*$AJ$18-(BF71-BP71)*AL71*$AJ$18-(BG71-BP71)*AN71*$AJ$18-(BH71-BP71)*AP71*$AJ$18-(BI71-BP71)*AR71*$AJ$18-(BJ71-BP71)*AT71*$AJ$18))</f>
        <v>#N/A</v>
      </c>
      <c r="BR71" s="3" t="e">
        <f>0.5*$O$12*BP71*BQ71 /1000</f>
        <v>#N/A</v>
      </c>
      <c r="BS71" s="3" t="e">
        <f>($BQ71/$BP71)*(BE71-$BP71)*$AJ$18*AJ71/1000</f>
        <v>#N/A</v>
      </c>
      <c r="BT71" s="3" t="e">
        <f>($BQ71/$BP71)*(BF71-$BP71)*$AJ$18*AL71/1000</f>
        <v>#N/A</v>
      </c>
      <c r="BU71" s="3" t="e">
        <f>($BQ71/$BP71)*(BG71-$BP71)*$AJ$18*AN71/1000</f>
        <v>#N/A</v>
      </c>
      <c r="BV71" s="3" t="e">
        <f>($BQ71/$BP71)*(BH71-$BP71)*$AJ$18*AP71/1000</f>
        <v>#N/A</v>
      </c>
      <c r="BW71" s="3" t="e">
        <f>($BQ71/$BP71)*(BI71-$BP71)*$AJ$18*AR71/1000</f>
        <v>#N/A</v>
      </c>
      <c r="BX71" s="3" t="e">
        <f>($BQ71/$BP71)*(BJ71-$BP71)*$AJ$18*AT71/1000</f>
        <v>#N/A</v>
      </c>
      <c r="BY71" s="175" t="e">
        <f>IF(Q71=0,0,(0.5*$O$12*BP71*BQ71/1000*(R71/2-$BP71/3)+BS71*(BE71-R71/2)+BT71*(BF71-R71/2)+BU71*(BG71-R71/2)+BV71*(BH71-R71/2)+BW71*(BI71-R71/2)+BX71*(BJ71-R71/2))/1000-ABS(P71))</f>
        <v>#N/A</v>
      </c>
      <c r="BZ71" s="10"/>
      <c r="CA71" s="176" t="e">
        <f>ABS(P71)/(BK71-BP71/3)/AV71*10^6-Q71*(R71/2-BP71/3)/(BK71-BP71/3)/AV71*1000</f>
        <v>#N/A</v>
      </c>
      <c r="CB71" s="177">
        <f>(AV71/($O$12*MIN(2.5*(R71-BK71),(R71-BP71)/3,R71/2)-AV71))</f>
        <v>-9.9406625295049046E-3</v>
      </c>
      <c r="CC71" s="177">
        <f>3.4*($O$16+$AX$14)+0.425*0.8*0.5*(T71^2+W71^2+Z71^2+AC71^2+AF71^2+AI71^2)/(T71+W71+Z71+AC71+AF71+AI71)/CB71</f>
        <v>-59.829516635179175</v>
      </c>
      <c r="CD71" s="177" t="e">
        <f>MAX(0.6*CA71/$AJ$17,(CA71-0.4*0.3*$AJ$14^(2/3)/CB71*(1+$AJ$17/$AJ$15*CB71))/$AJ$17)</f>
        <v>#N/A</v>
      </c>
      <c r="CE71" s="178" t="e">
        <f>CC71*CD71/1000</f>
        <v>#N/A</v>
      </c>
      <c r="CF71" s="23" t="e">
        <f>IF(AND(AV71&gt;=BD71,AV71&gt;=BO71,CE71&lt;=(+IF(CO71="External",0.25,0.3))),"O.K", "Not O.K")</f>
        <v>#N/A</v>
      </c>
      <c r="CG71" s="28"/>
      <c r="CH71" s="179" t="e">
        <f>IF(O71&lt;0.2*$AJ$14*R71*$O$12/1000,"N &lt; 0.2fckAc - OK!","TBA")</f>
        <v>#N/A</v>
      </c>
      <c r="CI71" s="24">
        <v>109</v>
      </c>
      <c r="CJ71" s="25"/>
      <c r="CK71" s="6" t="e">
        <f t="shared" si="91"/>
        <v>#N/A</v>
      </c>
      <c r="CL71" s="8" t="s">
        <v>72</v>
      </c>
      <c r="CM71" s="6" t="e">
        <f t="shared" si="92"/>
        <v>#N/A</v>
      </c>
      <c r="CN71" s="26" t="s">
        <v>148</v>
      </c>
      <c r="CO71" s="15" t="e">
        <f>IF(VLOOKUP(CI71,'Summary-input'!A:C,3,0)="Outward",
IF(CP71&lt;0,"External","Internal"),
IF(CP71&lt;0,"Internal","External")
)</f>
        <v>#N/A</v>
      </c>
      <c r="CP71" t="e">
        <f>VLOOKUP(CI71&amp;CN71,'Summary-output-ULS'!A:G,6,0)</f>
        <v>#N/A</v>
      </c>
      <c r="CQ71" t="e">
        <f>VLOOKUP(CI71&amp;CN71,'Summary-output-ULS'!A:G,7,0)</f>
        <v>#N/A</v>
      </c>
      <c r="CR71" s="3" t="e">
        <f>VLOOKUP(CI71&amp;CN71,'Summary-output-SLS'!A:G,6,0)</f>
        <v>#N/A</v>
      </c>
      <c r="CS71" s="3" t="e">
        <f>VLOOKUP(CI71&amp;CN71,'Summary-output-SLS'!A:G,7,0)</f>
        <v>#N/A</v>
      </c>
      <c r="CT71" s="20">
        <v>1000</v>
      </c>
      <c r="CU71" s="2" t="e">
        <f>VLOOKUP(CI71&amp;CN71,'Summary-output-ULS'!A:G,5,0)</f>
        <v>#N/A</v>
      </c>
      <c r="CV71" s="15" t="e">
        <f>VLOOKUP(CI71&amp;CN71,'Summary-output-SLS'!A:G,5,0)</f>
        <v>#N/A</v>
      </c>
      <c r="CW71" s="6"/>
      <c r="CX71" s="278"/>
      <c r="CY71" s="6"/>
      <c r="CZ71" s="6"/>
      <c r="DA71" s="6"/>
      <c r="DB71" s="6"/>
      <c r="DC71" s="6"/>
      <c r="DD71" s="6"/>
      <c r="DE71" s="6"/>
      <c r="DF71" s="6"/>
      <c r="DG71" s="6"/>
      <c r="DH71" s="6"/>
      <c r="DI71" s="6"/>
      <c r="DJ71" s="212"/>
      <c r="DK71" s="13"/>
      <c r="DL71" s="13"/>
      <c r="DM71" s="202"/>
      <c r="DN71" s="206" t="e">
        <f>IF(CO71="external",T71,0)</f>
        <v>#N/A</v>
      </c>
      <c r="DO71" s="206" t="e">
        <f>IF(CO71="external",W71,0)</f>
        <v>#N/A</v>
      </c>
      <c r="DP71" s="206" t="e">
        <f>IF(CO71="external",Z71,0)</f>
        <v>#N/A</v>
      </c>
      <c r="DQ71" s="206" t="e">
        <f>IF(CO71="external",AC71,0)</f>
        <v>#N/A</v>
      </c>
      <c r="DR71" s="206" t="e">
        <f>IF(CO71="external",AF71,0)</f>
        <v>#N/A</v>
      </c>
      <c r="DS71" s="207" t="e">
        <f>IF(CO71="external",AI71,0)</f>
        <v>#N/A</v>
      </c>
      <c r="DT71" s="208"/>
      <c r="DU71" s="207" t="e">
        <f>IF(CO71="internal",T71,0)</f>
        <v>#N/A</v>
      </c>
      <c r="DV71" s="207" t="e">
        <f>IF(CO71="internal",W71,0)</f>
        <v>#N/A</v>
      </c>
      <c r="DW71" s="207" t="e">
        <f>IF(CO71="internal",Z71,0)</f>
        <v>#N/A</v>
      </c>
      <c r="DX71" s="207" t="e">
        <f>IF(CO71="internal",AC71,0)</f>
        <v>#N/A</v>
      </c>
      <c r="DY71" s="207" t="e">
        <f>IF(CO71="internal",AF71,0)</f>
        <v>#N/A</v>
      </c>
      <c r="DZ71" s="207" t="e">
        <f>IF(CO71="internal",AI71,0)</f>
        <v>#N/A</v>
      </c>
    </row>
    <row r="72" spans="1:131" s="7" customFormat="1" x14ac:dyDescent="0.3">
      <c r="B72" s="19">
        <f>+CI72</f>
        <v>109</v>
      </c>
      <c r="C72" s="6">
        <f t="shared" si="93"/>
        <v>0</v>
      </c>
      <c r="D72" s="6" t="e">
        <f t="shared" si="94"/>
        <v>#N/A</v>
      </c>
      <c r="E72" s="6" t="str">
        <f t="shared" si="95"/>
        <v>--</v>
      </c>
      <c r="F72" s="6" t="e">
        <f>+CM72</f>
        <v>#N/A</v>
      </c>
      <c r="G72" s="174" t="str">
        <f t="shared" si="96"/>
        <v>Max Fx</v>
      </c>
      <c r="H72" s="6" t="e">
        <f t="shared" si="97"/>
        <v>#N/A</v>
      </c>
      <c r="I72" s="156"/>
      <c r="J72" s="10" t="e">
        <f t="shared" si="98"/>
        <v>#N/A</v>
      </c>
      <c r="K72" s="10" t="e">
        <f t="shared" si="99"/>
        <v>#N/A</v>
      </c>
      <c r="L72" s="10" t="e">
        <f t="shared" si="100"/>
        <v>#N/A</v>
      </c>
      <c r="M72" s="10" t="e">
        <f t="shared" si="101"/>
        <v>#N/A</v>
      </c>
      <c r="N72" s="10" t="e">
        <f>IF(I72*J72&gt;=0,J72*$J$19+I72*$J$18,J72)</f>
        <v>#N/A</v>
      </c>
      <c r="O72" s="10" t="e">
        <f>(K72)*$J$19</f>
        <v>#N/A</v>
      </c>
      <c r="P72" s="14" t="e">
        <f>IF(I72*L72&gt;=0,(L72)+I72,L72)</f>
        <v>#N/A</v>
      </c>
      <c r="Q72" s="3" t="e">
        <f>(M72)</f>
        <v>#N/A</v>
      </c>
      <c r="R72" s="20">
        <f t="shared" si="114"/>
        <v>1000</v>
      </c>
      <c r="S72" s="23"/>
      <c r="T72" s="12">
        <v>20</v>
      </c>
      <c r="U72" s="28"/>
      <c r="V72" s="28"/>
      <c r="W72" s="12"/>
      <c r="X72" s="28"/>
      <c r="Y72" s="28"/>
      <c r="Z72" s="12"/>
      <c r="AA72" s="28"/>
      <c r="AB72" s="28"/>
      <c r="AC72" s="158"/>
      <c r="AD72" s="28"/>
      <c r="AE72" s="28"/>
      <c r="AF72" s="158"/>
      <c r="AG72" s="28"/>
      <c r="AH72" s="28"/>
      <c r="AI72" s="29"/>
      <c r="AJ72" s="6">
        <f>PI()/4*T72^2*$O$12/$AX$16</f>
        <v>2094.3951023931954</v>
      </c>
      <c r="AK72" s="28" t="str">
        <f>IF(W72=0,"","+")</f>
        <v/>
      </c>
      <c r="AL72" s="6">
        <f>PI()/4*W72^2*$O$12/$AX$16</f>
        <v>0</v>
      </c>
      <c r="AM72" s="28" t="str">
        <f>IF(Z72=0,"","+")</f>
        <v/>
      </c>
      <c r="AN72" s="6">
        <f>PI()/4*Z72^2*$O$12/$AX$16</f>
        <v>0</v>
      </c>
      <c r="AO72" s="28" t="str">
        <f>IF(AC72=0,"","+")</f>
        <v/>
      </c>
      <c r="AP72" s="6">
        <f>PI()/4*AC72^2*$O$12/$AX$16</f>
        <v>0</v>
      </c>
      <c r="AQ72" s="28" t="str">
        <f>IF(AF72=0,"","+")</f>
        <v/>
      </c>
      <c r="AR72" s="6">
        <f>PI()/4*AF72^2*$O$12/$AX$16</f>
        <v>0</v>
      </c>
      <c r="AS72" s="28" t="str">
        <f>IF(AI72=0,"","+")</f>
        <v/>
      </c>
      <c r="AT72" s="6">
        <f>PI()/4*AI72^2*$O$12/$AX$16</f>
        <v>0</v>
      </c>
      <c r="AU72" s="28" t="s">
        <v>24</v>
      </c>
      <c r="AV72" s="15">
        <f>VALUE(AJ72)+VALUE(AL72)+VALUE(AN72)+VALUE(AP72)+VALUE(AR72)+VALUE(AT72)</f>
        <v>2094.3951023931954</v>
      </c>
      <c r="AW72" s="228">
        <f>MAX(0.3*$AJ$14^(2/3)/$AJ$16*0.26*100,0.13)</f>
        <v>0.15723814702688016</v>
      </c>
      <c r="AX72" s="6">
        <f>AW72/100*$O$12*BK72</f>
        <v>1426.1499935338031</v>
      </c>
      <c r="AY72" s="6"/>
      <c r="AZ72" s="6"/>
      <c r="BA72" s="24" t="str">
        <f>IF(BB72=0,"","+")</f>
        <v/>
      </c>
      <c r="BB72" s="24"/>
      <c r="BC72" s="28" t="s">
        <v>24</v>
      </c>
      <c r="BD72" s="15">
        <f>AX72+AZ72+BB72</f>
        <v>1426.1499935338031</v>
      </c>
      <c r="BE72" s="2">
        <f>(R72-($AX$14+$O$16+T72/2))</f>
        <v>907</v>
      </c>
      <c r="BF72" s="3">
        <f>IF(W72=0,0,(R72-($AX$14+T72/2+$O$16+$BI$16)))</f>
        <v>0</v>
      </c>
      <c r="BG72" s="3">
        <f>IF(Z72=0,0,(R72-($AX$14+T72/2+$BI$16+$O$16+$BI$17)))</f>
        <v>0</v>
      </c>
      <c r="BH72" s="3">
        <f>IF(AC72=0,0,(R72-($AX$14+T72/2+$O$16+$BI$16+$BI$17+$BI$18)))</f>
        <v>0</v>
      </c>
      <c r="BI72" s="3">
        <f>IF(AF72=0,0,(R72-($AX$14+T72/2+$O$16+$BI$16+$BI$17+$BI$18+$BL$16)))</f>
        <v>0</v>
      </c>
      <c r="BJ72" s="3">
        <f>IF(AI72=0,0,(R72-($AX$14+T72/2+$O$16+$BI$16+$BI$17+$BI$18+$BL$16+$BL$17)))</f>
        <v>0</v>
      </c>
      <c r="BK72" s="6">
        <f>(BE72*AJ72+BF72*AL72+BG72*AN72+BH72*AP72+BI72*AR72+BJ72*AT72)/AV72</f>
        <v>907</v>
      </c>
      <c r="BL72" s="175" t="e">
        <f>ABS(N72)*1000000/$O$12/BK72^2</f>
        <v>#N/A</v>
      </c>
      <c r="BM72" s="175" t="e">
        <f>BL72/$AJ$14</f>
        <v>#N/A</v>
      </c>
      <c r="BN72" s="21" t="e">
        <f>IF(BM72&lt;0.167,0.5+SQRT(0.25-(BM72/1.134)),0.82)</f>
        <v>#N/A</v>
      </c>
      <c r="BO72" s="15" t="e">
        <f>ABS(N72)/(0.87*$AJ$16*BN72*BK72)*10^6</f>
        <v>#N/A</v>
      </c>
      <c r="BP72" s="22">
        <v>2282.1315688645991</v>
      </c>
      <c r="BQ72" s="175" t="e">
        <f>IF(Q72=0,2*ABS(P72*10^6)/$O$12/BP72/(BK72-BP72/3),Q72*BP72*1000/($O$12/2*BP72^2-(BE72-BP72)*AJ72*$AJ$18-(BF72-BP72)*AL72*$AJ$18-(BG72-BP72)*AN72*$AJ$18-(BH72-BP72)*AP72*$AJ$18-(BI72-BP72)*AR72*$AJ$18-(BJ72-BP72)*AT72*$AJ$18))</f>
        <v>#N/A</v>
      </c>
      <c r="BR72" s="3" t="e">
        <f>0.5*$O$12*BP72*BQ72 /1000</f>
        <v>#N/A</v>
      </c>
      <c r="BS72" s="3" t="e">
        <f>($BQ72/$BP72)*(BE72-$BP72)*$AJ$18*AJ72/1000</f>
        <v>#N/A</v>
      </c>
      <c r="BT72" s="3" t="e">
        <f>($BQ72/$BP72)*(BF72-$BP72)*$AJ$18*AL72/1000</f>
        <v>#N/A</v>
      </c>
      <c r="BU72" s="3" t="e">
        <f>($BQ72/$BP72)*(BG72-$BP72)*$AJ$18*AN72/1000</f>
        <v>#N/A</v>
      </c>
      <c r="BV72" s="3" t="e">
        <f>($BQ72/$BP72)*(BH72-$BP72)*$AJ$18*AP72/1000</f>
        <v>#N/A</v>
      </c>
      <c r="BW72" s="3" t="e">
        <f>($BQ72/$BP72)*(BI72-$BP72)*$AJ$18*AR72/1000</f>
        <v>#N/A</v>
      </c>
      <c r="BX72" s="3" t="e">
        <f>($BQ72/$BP72)*(BJ72-$BP72)*$AJ$18*AT72/1000</f>
        <v>#N/A</v>
      </c>
      <c r="BY72" s="175" t="e">
        <f>IF(Q72=0,0,(0.5*$O$12*BP72*BQ72/1000*(R72/2-$BP72/3)+BS72*(BE72-R72/2)+BT72*(BF72-R72/2)+BU72*(BG72-R72/2)+BV72*(BH72-R72/2)+BW72*(BI72-R72/2)+BX72*(BJ72-R72/2))/1000-ABS(P72))</f>
        <v>#N/A</v>
      </c>
      <c r="BZ72" s="10"/>
      <c r="CA72" s="176" t="e">
        <f>ABS(P72)/(BK72-BP72/3)/AV72*10^6-Q72*(R72/2-BP72/3)/(BK72-BP72/3)/AV72*1000</f>
        <v>#N/A</v>
      </c>
      <c r="CB72" s="177">
        <f>(AV72/($O$12*MIN(2.5*(R72-BK72),(R72-BP72)/3,R72/2)-AV72))</f>
        <v>-4.8766791026221643E-3</v>
      </c>
      <c r="CC72" s="177">
        <f>3.4*($O$16+$AX$14)+0.425*0.8*0.5*(T72^2+W72^2+Z72^2+AC72^2+AF72^2+AI72^2)/(T72+W72+Z72+AC72+AF72+AI72)/CB72</f>
        <v>-414.99576138849039</v>
      </c>
      <c r="CD72" s="177" t="e">
        <f>MAX(0.6*CA72/$AJ$17,(CA72-0.4*0.3*$AJ$14^(2/3)/CB72*(1+$AJ$17/$AJ$15*CB72))/$AJ$17)</f>
        <v>#N/A</v>
      </c>
      <c r="CE72" s="178" t="e">
        <f>CC72*CD72/1000</f>
        <v>#N/A</v>
      </c>
      <c r="CF72" s="23" t="e">
        <f>IF(AND(AV72&gt;=BD72,AV72&gt;=BO72,CE72&lt;=(+IF(CO72="External",0.25,0.3))),"O.K", "Not O.K")</f>
        <v>#N/A</v>
      </c>
      <c r="CG72" s="28"/>
      <c r="CH72" s="179" t="e">
        <f>IF(O72&lt;0.2*$AJ$14*R72*$O$12/1000,"N &lt; 0.2fckAc - OK!","TBA")</f>
        <v>#N/A</v>
      </c>
      <c r="CI72" s="24">
        <v>109</v>
      </c>
      <c r="CJ72" s="25"/>
      <c r="CK72" s="6" t="e">
        <f t="shared" si="91"/>
        <v>#N/A</v>
      </c>
      <c r="CL72" s="8" t="s">
        <v>72</v>
      </c>
      <c r="CM72" s="6" t="e">
        <f t="shared" si="92"/>
        <v>#N/A</v>
      </c>
      <c r="CN72" s="26" t="s">
        <v>145</v>
      </c>
      <c r="CO72" s="15" t="e">
        <f>IF(VLOOKUP(CI72,'Summary-input'!A:C,3,0)="Outward",
IF(CP72&lt;0,"External","Internal"),
IF(CP72&lt;0,"Internal","External")
)</f>
        <v>#N/A</v>
      </c>
      <c r="CP72" t="e">
        <f>VLOOKUP(CI72&amp;CN72,'Summary-output-ULS'!A:G,6,0)</f>
        <v>#N/A</v>
      </c>
      <c r="CQ72" t="e">
        <f>VLOOKUP(CI72&amp;CN72,'Summary-output-ULS'!A:G,7,0)</f>
        <v>#N/A</v>
      </c>
      <c r="CR72" s="3" t="e">
        <f>VLOOKUP(CI72&amp;CN72,'Summary-output-SLS'!A:G,6,0)</f>
        <v>#N/A</v>
      </c>
      <c r="CS72" s="3" t="e">
        <f>VLOOKUP(CI72&amp;CN72,'Summary-output-SLS'!A:G,7,0)</f>
        <v>#N/A</v>
      </c>
      <c r="CT72" s="20">
        <v>1000</v>
      </c>
      <c r="CU72" s="2" t="e">
        <f>VLOOKUP(CI72&amp;CN72,'Summary-output-ULS'!A:G,5,0)</f>
        <v>#N/A</v>
      </c>
      <c r="CV72" s="15" t="e">
        <f>VLOOKUP(CI72&amp;CN72,'Summary-output-SLS'!A:G,5,0)</f>
        <v>#N/A</v>
      </c>
      <c r="CW72" s="6"/>
      <c r="CX72" s="278"/>
      <c r="CY72" s="6"/>
      <c r="CZ72" s="6"/>
      <c r="DA72" s="6"/>
      <c r="DB72" s="6"/>
      <c r="DC72" s="6"/>
      <c r="DD72" s="6"/>
      <c r="DE72" s="6"/>
      <c r="DF72" s="6"/>
      <c r="DG72" s="6"/>
      <c r="DH72" s="6"/>
      <c r="DI72" s="6"/>
      <c r="DJ72" s="212"/>
      <c r="DK72" s="13"/>
      <c r="DL72" s="13"/>
      <c r="DM72" s="202"/>
      <c r="DN72" s="206" t="e">
        <f>IF(CO72="external",T72,0)</f>
        <v>#N/A</v>
      </c>
      <c r="DO72" s="206" t="e">
        <f>IF(CO72="external",W72,0)</f>
        <v>#N/A</v>
      </c>
      <c r="DP72" s="206" t="e">
        <f>IF(CO72="external",Z72,0)</f>
        <v>#N/A</v>
      </c>
      <c r="DQ72" s="206" t="e">
        <f>IF(CO72="external",AC72,0)</f>
        <v>#N/A</v>
      </c>
      <c r="DR72" s="206" t="e">
        <f>IF(CO72="external",AF72,0)</f>
        <v>#N/A</v>
      </c>
      <c r="DS72" s="207" t="e">
        <f>IF(CO72="external",AI72,0)</f>
        <v>#N/A</v>
      </c>
      <c r="DT72" s="208"/>
      <c r="DU72" s="207" t="e">
        <f>IF(CO72="internal",T72,0)</f>
        <v>#N/A</v>
      </c>
      <c r="DV72" s="207" t="e">
        <f>IF(CO72="internal",W72,0)</f>
        <v>#N/A</v>
      </c>
      <c r="DW72" s="207" t="e">
        <f>IF(CO72="internal",Z72,0)</f>
        <v>#N/A</v>
      </c>
      <c r="DX72" s="207" t="e">
        <f>IF(CO72="internal",AC72,0)</f>
        <v>#N/A</v>
      </c>
      <c r="DY72" s="207" t="e">
        <f>IF(CO72="internal",AF72,0)</f>
        <v>#N/A</v>
      </c>
      <c r="DZ72" s="207" t="e">
        <f>IF(CO72="internal",AI72,0)</f>
        <v>#N/A</v>
      </c>
    </row>
    <row r="73" spans="1:131" s="7" customFormat="1" x14ac:dyDescent="0.3">
      <c r="B73" s="19">
        <f>+CI73</f>
        <v>109</v>
      </c>
      <c r="C73" s="6">
        <f t="shared" si="93"/>
        <v>0</v>
      </c>
      <c r="D73" s="6" t="e">
        <f t="shared" si="94"/>
        <v>#N/A</v>
      </c>
      <c r="E73" s="6" t="str">
        <f t="shared" si="95"/>
        <v>--</v>
      </c>
      <c r="F73" s="6" t="e">
        <f>+CM73</f>
        <v>#N/A</v>
      </c>
      <c r="G73" s="174" t="str">
        <f t="shared" si="96"/>
        <v>Min Fx</v>
      </c>
      <c r="H73" s="6" t="e">
        <f t="shared" si="97"/>
        <v>#N/A</v>
      </c>
      <c r="I73" s="156"/>
      <c r="J73" s="10" t="e">
        <f t="shared" si="98"/>
        <v>#N/A</v>
      </c>
      <c r="K73" s="10" t="e">
        <f t="shared" si="99"/>
        <v>#N/A</v>
      </c>
      <c r="L73" s="10" t="e">
        <f t="shared" si="100"/>
        <v>#N/A</v>
      </c>
      <c r="M73" s="10" t="e">
        <f t="shared" si="101"/>
        <v>#N/A</v>
      </c>
      <c r="N73" s="10" t="e">
        <f>IF(I73*J73&gt;=0,J73*$J$19+I73*$J$18,J73)</f>
        <v>#N/A</v>
      </c>
      <c r="O73" s="10" t="e">
        <f>(K73)*$J$19</f>
        <v>#N/A</v>
      </c>
      <c r="P73" s="14" t="e">
        <f>IF(I73*L73&gt;=0,(L73)+I73,L73)</f>
        <v>#N/A</v>
      </c>
      <c r="Q73" s="3" t="e">
        <f>(M73)</f>
        <v>#N/A</v>
      </c>
      <c r="R73" s="20">
        <f t="shared" si="114"/>
        <v>1000</v>
      </c>
      <c r="S73" s="23"/>
      <c r="T73" s="12">
        <v>20</v>
      </c>
      <c r="U73" s="28"/>
      <c r="V73" s="28"/>
      <c r="W73" s="12"/>
      <c r="X73" s="28"/>
      <c r="Y73" s="28"/>
      <c r="Z73" s="12"/>
      <c r="AA73" s="28"/>
      <c r="AB73" s="28"/>
      <c r="AC73" s="158"/>
      <c r="AD73" s="28"/>
      <c r="AE73" s="28"/>
      <c r="AF73" s="158"/>
      <c r="AG73" s="28"/>
      <c r="AH73" s="28"/>
      <c r="AI73" s="29"/>
      <c r="AJ73" s="6">
        <f>PI()/4*T73^2*$O$12/$AX$16</f>
        <v>2094.3951023931954</v>
      </c>
      <c r="AK73" s="28" t="str">
        <f>IF(W73=0,"","+")</f>
        <v/>
      </c>
      <c r="AL73" s="6">
        <f>PI()/4*W73^2*$O$12/$AX$16</f>
        <v>0</v>
      </c>
      <c r="AM73" s="28" t="str">
        <f>IF(Z73=0,"","+")</f>
        <v/>
      </c>
      <c r="AN73" s="6">
        <f>PI()/4*Z73^2*$O$12/$AX$16</f>
        <v>0</v>
      </c>
      <c r="AO73" s="28" t="str">
        <f>IF(AC73=0,"","+")</f>
        <v/>
      </c>
      <c r="AP73" s="6">
        <f>PI()/4*AC73^2*$O$12/$AX$16</f>
        <v>0</v>
      </c>
      <c r="AQ73" s="28" t="str">
        <f>IF(AF73=0,"","+")</f>
        <v/>
      </c>
      <c r="AR73" s="6">
        <f>PI()/4*AF73^2*$O$12/$AX$16</f>
        <v>0</v>
      </c>
      <c r="AS73" s="28" t="str">
        <f>IF(AI73=0,"","+")</f>
        <v/>
      </c>
      <c r="AT73" s="6">
        <f>PI()/4*AI73^2*$O$12/$AX$16</f>
        <v>0</v>
      </c>
      <c r="AU73" s="28" t="s">
        <v>24</v>
      </c>
      <c r="AV73" s="15">
        <f>VALUE(AJ73)+VALUE(AL73)+VALUE(AN73)+VALUE(AP73)+VALUE(AR73)+VALUE(AT73)</f>
        <v>2094.3951023931954</v>
      </c>
      <c r="AW73" s="228">
        <f>MAX(0.3*$AJ$14^(2/3)/$AJ$16*0.26*100,0.13)</f>
        <v>0.15723814702688016</v>
      </c>
      <c r="AX73" s="6">
        <f>AW73/100*$O$12*BK73</f>
        <v>1426.1499935338031</v>
      </c>
      <c r="AY73" s="6"/>
      <c r="AZ73" s="6"/>
      <c r="BA73" s="24" t="str">
        <f>IF(BB73=0,"","+")</f>
        <v/>
      </c>
      <c r="BB73" s="24"/>
      <c r="BC73" s="28" t="s">
        <v>24</v>
      </c>
      <c r="BD73" s="15">
        <f>AX73+AZ73+BB73</f>
        <v>1426.1499935338031</v>
      </c>
      <c r="BE73" s="2">
        <f>(R73-($AX$14+$O$16+T73/2))</f>
        <v>907</v>
      </c>
      <c r="BF73" s="3">
        <f>IF(W73=0,0,(R73-($AX$14+T73/2+$O$16+$BI$16)))</f>
        <v>0</v>
      </c>
      <c r="BG73" s="3">
        <f>IF(Z73=0,0,(R73-($AX$14+T73/2+$BI$16+$O$16+$BI$17)))</f>
        <v>0</v>
      </c>
      <c r="BH73" s="3">
        <f>IF(AC73=0,0,(R73-($AX$14+T73/2+$O$16+$BI$16+$BI$17+$BI$18)))</f>
        <v>0</v>
      </c>
      <c r="BI73" s="3">
        <f>IF(AF73=0,0,(R73-($AX$14+T73/2+$O$16+$BI$16+$BI$17+$BI$18+$BL$16)))</f>
        <v>0</v>
      </c>
      <c r="BJ73" s="3">
        <f>IF(AI73=0,0,(R73-($AX$14+T73/2+$O$16+$BI$16+$BI$17+$BI$18+$BL$16+$BL$17)))</f>
        <v>0</v>
      </c>
      <c r="BK73" s="6">
        <f>(BE73*AJ73+BF73*AL73+BG73*AN73+BH73*AP73+BI73*AR73+BJ73*AT73)/AV73</f>
        <v>907</v>
      </c>
      <c r="BL73" s="175" t="e">
        <f>ABS(N73)*1000000/$O$12/BK73^2</f>
        <v>#N/A</v>
      </c>
      <c r="BM73" s="175" t="e">
        <f>BL73/$AJ$14</f>
        <v>#N/A</v>
      </c>
      <c r="BN73" s="21" t="e">
        <f>IF(BM73&lt;0.167,0.5+SQRT(0.25-(BM73/1.134)),0.82)</f>
        <v>#N/A</v>
      </c>
      <c r="BO73" s="15" t="e">
        <f>ABS(N73)/(0.87*$AJ$16*BN73*BK73)*10^6</f>
        <v>#N/A</v>
      </c>
      <c r="BP73" s="22">
        <v>1914.9786233068314</v>
      </c>
      <c r="BQ73" s="175" t="e">
        <f>IF(Q73=0,2*ABS(P73*10^6)/$O$12/BP73/(BK73-BP73/3),Q73*BP73*1000/($O$12/2*BP73^2-(BE73-BP73)*AJ73*$AJ$18-(BF73-BP73)*AL73*$AJ$18-(BG73-BP73)*AN73*$AJ$18-(BH73-BP73)*AP73*$AJ$18-(BI73-BP73)*AR73*$AJ$18-(BJ73-BP73)*AT73*$AJ$18))</f>
        <v>#N/A</v>
      </c>
      <c r="BR73" s="3" t="e">
        <f>0.5*$O$12*BP73*BQ73 /1000</f>
        <v>#N/A</v>
      </c>
      <c r="BS73" s="3" t="e">
        <f>($BQ73/$BP73)*(BE73-$BP73)*$AJ$18*AJ73/1000</f>
        <v>#N/A</v>
      </c>
      <c r="BT73" s="3" t="e">
        <f>($BQ73/$BP73)*(BF73-$BP73)*$AJ$18*AL73/1000</f>
        <v>#N/A</v>
      </c>
      <c r="BU73" s="3" t="e">
        <f>($BQ73/$BP73)*(BG73-$BP73)*$AJ$18*AN73/1000</f>
        <v>#N/A</v>
      </c>
      <c r="BV73" s="3" t="e">
        <f>($BQ73/$BP73)*(BH73-$BP73)*$AJ$18*AP73/1000</f>
        <v>#N/A</v>
      </c>
      <c r="BW73" s="3" t="e">
        <f>($BQ73/$BP73)*(BI73-$BP73)*$AJ$18*AR73/1000</f>
        <v>#N/A</v>
      </c>
      <c r="BX73" s="3" t="e">
        <f>($BQ73/$BP73)*(BJ73-$BP73)*$AJ$18*AT73/1000</f>
        <v>#N/A</v>
      </c>
      <c r="BY73" s="175" t="e">
        <f>IF(Q73=0,0,(0.5*$O$12*BP73*BQ73/1000*(R73/2-$BP73/3)+BS73*(BE73-R73/2)+BT73*(BF73-R73/2)+BU73*(BG73-R73/2)+BV73*(BH73-R73/2)+BW73*(BI73-R73/2)+BX73*(BJ73-R73/2))/1000-ABS(P73))</f>
        <v>#N/A</v>
      </c>
      <c r="BZ73" s="10"/>
      <c r="CA73" s="176" t="e">
        <f>ABS(P73)/(BK73-BP73/3)/AV73*10^6-Q73*(R73/2-BP73/3)/(BK73-BP73/3)/AV73*1000</f>
        <v>#N/A</v>
      </c>
      <c r="CB73" s="177">
        <f>(AV73/($O$12*MIN(2.5*(R73-BK73),(R73-BP73)/3,R73/2)-AV73))</f>
        <v>-6.8201951371807132E-3</v>
      </c>
      <c r="CC73" s="177">
        <f>3.4*($O$16+$AX$14)+0.425*0.8*0.5*(T73^2+W73^2+Z73^2+AC73^2+AF73^2+AI73^2)/(T73+W73+Z73+AC73+AF73+AI73)/CB73</f>
        <v>-216.31946045717825</v>
      </c>
      <c r="CD73" s="177" t="e">
        <f>MAX(0.6*CA73/$AJ$17,(CA73-0.4*0.3*$AJ$14^(2/3)/CB73*(1+$AJ$17/$AJ$15*CB73))/$AJ$17)</f>
        <v>#N/A</v>
      </c>
      <c r="CE73" s="178" t="e">
        <f>CC73*CD73/1000</f>
        <v>#N/A</v>
      </c>
      <c r="CF73" s="23" t="e">
        <f>IF(AND(AV73&gt;=BD73,AV73&gt;=BO73,CE73&lt;=(+IF(CO73="External",0.25,0.3))),"O.K", "Not O.K")</f>
        <v>#N/A</v>
      </c>
      <c r="CG73" s="28"/>
      <c r="CH73" s="179" t="e">
        <f>IF(O73&lt;0.2*$AJ$14*R73*$O$12/1000,"N &lt; 0.2fckAc - OK!","TBA")</f>
        <v>#N/A</v>
      </c>
      <c r="CI73" s="24">
        <v>109</v>
      </c>
      <c r="CJ73" s="25"/>
      <c r="CK73" s="6" t="e">
        <f t="shared" si="91"/>
        <v>#N/A</v>
      </c>
      <c r="CL73" s="8" t="s">
        <v>72</v>
      </c>
      <c r="CM73" s="6" t="e">
        <f t="shared" si="92"/>
        <v>#N/A</v>
      </c>
      <c r="CN73" s="26" t="s">
        <v>146</v>
      </c>
      <c r="CO73" s="15" t="e">
        <f>IF(VLOOKUP(CI73,'Summary-input'!A:C,3,0)="Outward",
IF(CP73&lt;0,"External","Internal"),
IF(CP73&lt;0,"Internal","External")
)</f>
        <v>#N/A</v>
      </c>
      <c r="CP73" t="e">
        <f>VLOOKUP(CI73&amp;CN73,'Summary-output-ULS'!A:G,6,0)</f>
        <v>#N/A</v>
      </c>
      <c r="CQ73" t="e">
        <f>VLOOKUP(CI73&amp;CN73,'Summary-output-ULS'!A:G,7,0)</f>
        <v>#N/A</v>
      </c>
      <c r="CR73" s="3" t="e">
        <f>VLOOKUP(CI73&amp;CN73,'Summary-output-SLS'!A:G,6,0)</f>
        <v>#N/A</v>
      </c>
      <c r="CS73" s="3" t="e">
        <f>VLOOKUP(CI73&amp;CN73,'Summary-output-SLS'!A:G,7,0)</f>
        <v>#N/A</v>
      </c>
      <c r="CT73" s="20">
        <v>1000</v>
      </c>
      <c r="CU73" s="2" t="e">
        <f>VLOOKUP(CI73&amp;CN73,'Summary-output-ULS'!A:G,5,0)</f>
        <v>#N/A</v>
      </c>
      <c r="CV73" s="15" t="e">
        <f>VLOOKUP(CI73&amp;CN73,'Summary-output-SLS'!A:G,5,0)</f>
        <v>#N/A</v>
      </c>
      <c r="CW73" s="6"/>
      <c r="CX73" s="278"/>
      <c r="CY73" s="6"/>
      <c r="CZ73" s="6"/>
      <c r="DA73" s="6"/>
      <c r="DB73" s="6"/>
      <c r="DC73" s="6"/>
      <c r="DD73" s="6"/>
      <c r="DE73" s="6"/>
      <c r="DF73" s="6"/>
      <c r="DG73" s="6"/>
      <c r="DH73" s="6"/>
      <c r="DI73" s="6"/>
      <c r="DJ73" s="212"/>
      <c r="DK73" s="13"/>
      <c r="DL73" s="13"/>
      <c r="DM73" s="202"/>
      <c r="DN73" s="206" t="e">
        <f>IF(CO73="external",T73,0)</f>
        <v>#N/A</v>
      </c>
      <c r="DO73" s="206" t="e">
        <f>IF(CO73="external",W73,0)</f>
        <v>#N/A</v>
      </c>
      <c r="DP73" s="206" t="e">
        <f>IF(CO73="external",Z73,0)</f>
        <v>#N/A</v>
      </c>
      <c r="DQ73" s="206" t="e">
        <f>IF(CO73="external",AC73,0)</f>
        <v>#N/A</v>
      </c>
      <c r="DR73" s="206" t="e">
        <f>IF(CO73="external",AF73,0)</f>
        <v>#N/A</v>
      </c>
      <c r="DS73" s="207" t="e">
        <f>IF(CO73="external",AI73,0)</f>
        <v>#N/A</v>
      </c>
      <c r="DT73" s="208"/>
      <c r="DU73" s="207" t="e">
        <f>IF(CO73="internal",T73,0)</f>
        <v>#N/A</v>
      </c>
      <c r="DV73" s="207" t="e">
        <f>IF(CO73="internal",W73,0)</f>
        <v>#N/A</v>
      </c>
      <c r="DW73" s="207" t="e">
        <f>IF(CO73="internal",Z73,0)</f>
        <v>#N/A</v>
      </c>
      <c r="DX73" s="207" t="e">
        <f>IF(CO73="internal",AC73,0)</f>
        <v>#N/A</v>
      </c>
      <c r="DY73" s="207" t="e">
        <f>IF(CO73="internal",AF73,0)</f>
        <v>#N/A</v>
      </c>
      <c r="DZ73" s="207" t="e">
        <f>IF(CO73="internal",AI73,0)</f>
        <v>#N/A</v>
      </c>
    </row>
    <row r="74" spans="1:131" s="7" customFormat="1" x14ac:dyDescent="0.3">
      <c r="B74" s="298" t="s">
        <v>163</v>
      </c>
      <c r="C74" s="6"/>
      <c r="D74" s="6"/>
      <c r="E74" s="6"/>
      <c r="F74" s="6"/>
      <c r="G74" s="232"/>
      <c r="H74" s="6"/>
      <c r="I74" s="24"/>
      <c r="J74" s="6"/>
      <c r="K74" s="6"/>
      <c r="L74" s="6"/>
      <c r="M74" s="6"/>
      <c r="N74" s="6"/>
      <c r="O74" s="6"/>
      <c r="P74" s="24"/>
      <c r="Q74" s="6"/>
      <c r="R74" s="6"/>
      <c r="S74" s="28"/>
      <c r="T74" s="12"/>
      <c r="U74" s="28"/>
      <c r="V74" s="28"/>
      <c r="W74" s="12"/>
      <c r="X74" s="28"/>
      <c r="Y74" s="28"/>
      <c r="Z74" s="12"/>
      <c r="AA74" s="28"/>
      <c r="AB74" s="28"/>
      <c r="AC74" s="158"/>
      <c r="AD74" s="28"/>
      <c r="AE74" s="28"/>
      <c r="AF74" s="158"/>
      <c r="AG74" s="28"/>
      <c r="AH74" s="28"/>
      <c r="AI74" s="12"/>
      <c r="AJ74" s="6"/>
      <c r="AK74" s="28"/>
      <c r="AL74" s="6"/>
      <c r="AM74" s="28"/>
      <c r="AN74" s="6"/>
      <c r="AO74" s="28"/>
      <c r="AP74" s="6"/>
      <c r="AQ74" s="28"/>
      <c r="AR74" s="6"/>
      <c r="AS74" s="28"/>
      <c r="AT74" s="6"/>
      <c r="AU74" s="28"/>
      <c r="AV74" s="6"/>
      <c r="AW74" s="233"/>
      <c r="AX74" s="6"/>
      <c r="AY74" s="6"/>
      <c r="AZ74" s="6"/>
      <c r="BA74" s="24"/>
      <c r="BB74" s="24"/>
      <c r="BC74" s="28"/>
      <c r="BD74" s="6"/>
      <c r="BE74" s="6"/>
      <c r="BF74" s="6"/>
      <c r="BG74" s="6"/>
      <c r="BH74" s="6"/>
      <c r="BI74" s="6"/>
      <c r="BJ74" s="6"/>
      <c r="BK74" s="6"/>
      <c r="BL74" s="231"/>
      <c r="BM74" s="231"/>
      <c r="BN74" s="231"/>
      <c r="BO74" s="6"/>
      <c r="BP74" s="234"/>
      <c r="BQ74" s="231"/>
      <c r="BR74" s="6"/>
      <c r="BS74" s="6"/>
      <c r="BT74" s="6"/>
      <c r="BU74" s="6"/>
      <c r="BV74" s="6"/>
      <c r="BW74" s="6"/>
      <c r="BX74" s="6"/>
      <c r="BY74" s="231"/>
      <c r="BZ74" s="6"/>
      <c r="CA74" s="234"/>
      <c r="CB74" s="235"/>
      <c r="CC74" s="235"/>
      <c r="CD74" s="235"/>
      <c r="CE74" s="235"/>
      <c r="CF74" s="28"/>
      <c r="CG74" s="28"/>
      <c r="CH74" s="173"/>
      <c r="CI74" s="24"/>
      <c r="CJ74" s="25"/>
      <c r="CK74" s="6" t="e">
        <f t="shared" si="35"/>
        <v>#N/A</v>
      </c>
      <c r="CL74" s="8" t="s">
        <v>72</v>
      </c>
      <c r="CM74" s="6" t="e">
        <f t="shared" si="36"/>
        <v>#N/A</v>
      </c>
      <c r="CN74" s="236"/>
      <c r="CO74" s="15" t="e">
        <f>IF(VLOOKUP(CI74,'Summary-input'!A:C,3,0)="Outward",
IF(CP74&lt;0,"External","Internal"),
IF(CP74&lt;0,"Internal","External")
)</f>
        <v>#N/A</v>
      </c>
      <c r="CP74" t="e">
        <f>VLOOKUP(CI74&amp;CN74,'Summary-output-ULS'!A:G,6,0)</f>
        <v>#N/A</v>
      </c>
      <c r="CQ74" t="e">
        <f>VLOOKUP(CI74&amp;CN74,'Summary-output-ULS'!A:G,7,0)</f>
        <v>#N/A</v>
      </c>
      <c r="CR74" s="3" t="e">
        <f>VLOOKUP(CI74&amp;CN74,'Summary-output-SLS'!A:G,6,0)</f>
        <v>#N/A</v>
      </c>
      <c r="CS74" s="3" t="e">
        <f>VLOOKUP(CI74&amp;CN74,'Summary-output-SLS'!A:G,7,0)</f>
        <v>#N/A</v>
      </c>
      <c r="CT74" s="6"/>
      <c r="CU74" s="2" t="e">
        <f>VLOOKUP(CI74&amp;CN74,'Summary-output-ULS'!A:G,5,0)</f>
        <v>#N/A</v>
      </c>
      <c r="CV74" s="15" t="e">
        <f>VLOOKUP(CI74&amp;CN74,'Summary-output-SLS'!A:G,5,0)</f>
        <v>#N/A</v>
      </c>
      <c r="CW74" s="6"/>
      <c r="CX74" s="278"/>
      <c r="CY74" s="6"/>
      <c r="CZ74" s="6"/>
      <c r="DA74" s="6"/>
      <c r="DB74" s="6"/>
      <c r="DC74" s="6"/>
      <c r="DD74" s="6"/>
      <c r="DE74" s="6"/>
      <c r="DF74" s="6"/>
      <c r="DG74" s="6"/>
      <c r="DH74" s="6"/>
      <c r="DI74" s="6"/>
      <c r="DJ74" s="212"/>
      <c r="DK74" s="13"/>
      <c r="DL74" s="13"/>
      <c r="DM74" s="202"/>
      <c r="DN74" s="206"/>
      <c r="DO74" s="206"/>
      <c r="DP74" s="206"/>
      <c r="DQ74" s="206"/>
      <c r="DR74" s="206"/>
      <c r="DS74" s="207"/>
      <c r="DT74" s="208"/>
      <c r="DU74" s="207"/>
      <c r="DV74" s="207"/>
      <c r="DW74" s="207"/>
      <c r="DX74" s="207"/>
      <c r="DY74" s="207"/>
      <c r="DZ74" s="207"/>
    </row>
    <row r="75" spans="1:131" s="7" customFormat="1" ht="13.8" x14ac:dyDescent="0.25">
      <c r="A75" s="7" t="s">
        <v>141</v>
      </c>
      <c r="B75" s="19">
        <f>+CI75</f>
        <v>110</v>
      </c>
      <c r="C75" s="6">
        <f t="shared" ref="C75:E78" si="115">CJ75</f>
        <v>0</v>
      </c>
      <c r="D75" s="6" t="e">
        <f t="shared" si="115"/>
        <v>#N/A</v>
      </c>
      <c r="E75" s="6" t="str">
        <f t="shared" si="115"/>
        <v>--</v>
      </c>
      <c r="F75" s="6" t="e">
        <f>+CM75</f>
        <v>#N/A</v>
      </c>
      <c r="G75" s="174" t="str">
        <f t="shared" ref="G75:H78" si="116">CN75</f>
        <v>Max Mz</v>
      </c>
      <c r="H75" s="6" t="e">
        <f t="shared" si="116"/>
        <v>#N/A</v>
      </c>
      <c r="I75" s="156"/>
      <c r="J75" s="10" t="e">
        <f t="shared" ref="J75:M78" si="117">(CP75)</f>
        <v>#N/A</v>
      </c>
      <c r="K75" s="10" t="e">
        <f t="shared" si="117"/>
        <v>#N/A</v>
      </c>
      <c r="L75" s="10" t="e">
        <f t="shared" si="117"/>
        <v>#N/A</v>
      </c>
      <c r="M75" s="10" t="e">
        <f t="shared" si="117"/>
        <v>#N/A</v>
      </c>
      <c r="N75" s="10" t="e">
        <f>IF(I75*J75&gt;=0,J75*$J$19+I75*$J$18,J75)</f>
        <v>#N/A</v>
      </c>
      <c r="O75" s="10" t="e">
        <f>(K75)*$J$19</f>
        <v>#N/A</v>
      </c>
      <c r="P75" s="14" t="e">
        <f>IF(I75*L75&gt;=0,(L75)+I75,L75)</f>
        <v>#N/A</v>
      </c>
      <c r="Q75" s="3" t="e">
        <f>(M75)</f>
        <v>#N/A</v>
      </c>
      <c r="R75" s="20">
        <f t="shared" si="90"/>
        <v>1000</v>
      </c>
      <c r="S75" s="23"/>
      <c r="T75" s="12">
        <v>40</v>
      </c>
      <c r="U75" s="28"/>
      <c r="V75" s="28"/>
      <c r="W75" s="12">
        <v>40</v>
      </c>
      <c r="X75" s="28"/>
      <c r="Y75" s="28"/>
      <c r="Z75" s="12">
        <v>40</v>
      </c>
      <c r="AA75" s="28"/>
      <c r="AB75" s="28"/>
      <c r="AC75" s="158"/>
      <c r="AD75" s="28"/>
      <c r="AE75" s="28"/>
      <c r="AF75" s="158"/>
      <c r="AG75" s="28"/>
      <c r="AH75" s="28"/>
      <c r="AI75" s="29"/>
      <c r="AJ75" s="6">
        <f>PI()/4*T75^2*$O$12/$AX$16</f>
        <v>8377.5804095727817</v>
      </c>
      <c r="AK75" s="28" t="str">
        <f>IF(W75=0,"","+")</f>
        <v>+</v>
      </c>
      <c r="AL75" s="6">
        <f>PI()/4*W75^2*$O$12/$AX$16</f>
        <v>8377.5804095727817</v>
      </c>
      <c r="AM75" s="28" t="str">
        <f>IF(Z75=0,"","+")</f>
        <v>+</v>
      </c>
      <c r="AN75" s="6">
        <f>PI()/4*Z75^2*$O$12/$AX$16</f>
        <v>8377.5804095727817</v>
      </c>
      <c r="AO75" s="28" t="str">
        <f>IF(AC75=0,"","+")</f>
        <v/>
      </c>
      <c r="AP75" s="6">
        <f>PI()/4*AC75^2*$O$12/$AX$16</f>
        <v>0</v>
      </c>
      <c r="AQ75" s="28" t="str">
        <f>IF(AF75=0,"","+")</f>
        <v/>
      </c>
      <c r="AR75" s="6">
        <f>PI()/4*AF75^2*$O$12/$AX$16</f>
        <v>0</v>
      </c>
      <c r="AS75" s="28" t="str">
        <f>IF(AI75=0,"","+")</f>
        <v/>
      </c>
      <c r="AT75" s="6">
        <f>PI()/4*AI75^2*$O$12/$AX$16</f>
        <v>0</v>
      </c>
      <c r="AU75" s="28" t="s">
        <v>24</v>
      </c>
      <c r="AV75" s="15">
        <f>VALUE(AJ75)+VALUE(AL75)+VALUE(AN75)+VALUE(AP75)+VALUE(AR75)+VALUE(AT75)</f>
        <v>25132.741228718347</v>
      </c>
      <c r="AW75" s="228">
        <f>MAX(0.3*$AJ$14^(2/3)/$AJ$16*0.26*100,0.13)</f>
        <v>0.15723814702688016</v>
      </c>
      <c r="AX75" s="6">
        <f>AW75/100*$O$12*BK75</f>
        <v>1284.6356612096108</v>
      </c>
      <c r="AY75" s="6"/>
      <c r="AZ75" s="6"/>
      <c r="BA75" s="24" t="str">
        <f>IF(BB75=0,"","+")</f>
        <v/>
      </c>
      <c r="BB75" s="24"/>
      <c r="BC75" s="28" t="s">
        <v>24</v>
      </c>
      <c r="BD75" s="15">
        <f>AX75+AZ75+BB75</f>
        <v>1284.6356612096108</v>
      </c>
      <c r="BE75" s="2">
        <f>(R75-($AX$14+$O$16+T75/2))</f>
        <v>897</v>
      </c>
      <c r="BF75" s="3">
        <f>IF(W75=0,0,(R75-($AX$14+T75/2+$O$16+$BI$16)))</f>
        <v>817</v>
      </c>
      <c r="BG75" s="3">
        <f>IF(Z75=0,0,(R75-($AX$14+T75/2+$BI$16+$O$16+$BI$17)))</f>
        <v>737</v>
      </c>
      <c r="BH75" s="3">
        <f>IF(AC75=0,0,(R75-($AX$14+T75/2+$O$16+$BI$16+$BI$17+$BI$18)))</f>
        <v>0</v>
      </c>
      <c r="BI75" s="3">
        <f>IF(AF75=0,0,(R75-($AX$14+T75/2+$O$16+$BI$16+$BI$17+$BI$18+$BL$16)))</f>
        <v>0</v>
      </c>
      <c r="BJ75" s="3">
        <f>IF(AI75=0,0,(R75-($AX$14+T75/2+$O$16+$BI$16+$BI$17+$BI$18+$BL$16+$BL$17)))</f>
        <v>0</v>
      </c>
      <c r="BK75" s="6">
        <f>(BE75*AJ75+BF75*AL75+BG75*AN75+BH75*AP75+BI75*AR75+BJ75*AT75)/AV75</f>
        <v>816.99999999999989</v>
      </c>
      <c r="BL75" s="175" t="e">
        <f>ABS(N75)*1000000/$O$12/BK75^2</f>
        <v>#N/A</v>
      </c>
      <c r="BM75" s="175" t="e">
        <f>BL75/$AJ$14</f>
        <v>#N/A</v>
      </c>
      <c r="BN75" s="21" t="e">
        <f>IF(BM75&lt;0.167,0.5+SQRT(0.25-(BM75/1.134)),0.82)</f>
        <v>#N/A</v>
      </c>
      <c r="BO75" s="15" t="e">
        <f>ABS(N75)/(0.87*$AJ$16*BN75*BK75)*10^6</f>
        <v>#N/A</v>
      </c>
      <c r="BP75" s="22">
        <v>446.50234659305295</v>
      </c>
      <c r="BQ75" s="175" t="e">
        <f>IF(Q75=0,2*ABS(P75*10^6)/$O$12/BP75/(BK75-BP75/3),Q75*BP75*1000/($O$12/2*BP75^2-(BE75-BP75)*AJ75*$AJ$18-(BF75-BP75)*AL75*$AJ$18-(BG75-BP75)*AN75*$AJ$18-(BH75-BP75)*AP75*$AJ$18-(BI75-BP75)*AR75*$AJ$18-(BJ75-BP75)*AT75*$AJ$18))</f>
        <v>#N/A</v>
      </c>
      <c r="BR75" s="3" t="e">
        <f>0.5*$O$12*BP75*BQ75 /1000</f>
        <v>#N/A</v>
      </c>
      <c r="BS75" s="3" t="e">
        <f>($BQ75/$BP75)*(BE75-$BP75)*$AJ$18*AJ75/1000</f>
        <v>#N/A</v>
      </c>
      <c r="BT75" s="3" t="e">
        <f>($BQ75/$BP75)*(BF75-$BP75)*$AJ$18*AL75/1000</f>
        <v>#N/A</v>
      </c>
      <c r="BU75" s="3" t="e">
        <f>($BQ75/$BP75)*(BG75-$BP75)*$AJ$18*AN75/1000</f>
        <v>#N/A</v>
      </c>
      <c r="BV75" s="3" t="e">
        <f>($BQ75/$BP75)*(BH75-$BP75)*$AJ$18*AP75/1000</f>
        <v>#N/A</v>
      </c>
      <c r="BW75" s="3" t="e">
        <f>($BQ75/$BP75)*(BI75-$BP75)*$AJ$18*AR75/1000</f>
        <v>#N/A</v>
      </c>
      <c r="BX75" s="3" t="e">
        <f>($BQ75/$BP75)*(BJ75-$BP75)*$AJ$18*AT75/1000</f>
        <v>#N/A</v>
      </c>
      <c r="BY75" s="175" t="e">
        <f>IF(Q75=0,0,(0.5*$O$12*BP75*BQ75/1000*(R75/2-$BP75/3)+BS75*(BE75-R75/2)+BT75*(BF75-R75/2)+BU75*(BG75-R75/2)+BV75*(BH75-R75/2)+BW75*(BI75-R75/2)+BX75*(BJ75-R75/2))/1000-ABS(P75))</f>
        <v>#N/A</v>
      </c>
      <c r="BZ75" s="10"/>
      <c r="CA75" s="176" t="e">
        <f>ABS(P75)/(BK75-BP75/3)/AV75*10^6-Q75*(R75/2-BP75/3)/(BK75-BP75/3)/AV75*1000</f>
        <v>#N/A</v>
      </c>
      <c r="CB75" s="177">
        <f>(AV75/($O$12*MIN(2.5*(R75-BK75),(R75-BP75)/3,R75/2)-AV75))</f>
        <v>0.15770406530329323</v>
      </c>
      <c r="CC75" s="177">
        <f>3.4*($O$16+$AX$14)+0.425*0.8*0.5*(T75^2+W75^2+Z75^2+AC75^2+AF75^2+AI75^2)/(T75+W75+Z75+AC75+AF75+AI75)/CB75</f>
        <v>325.31873626670546</v>
      </c>
      <c r="CD75" s="177" t="e">
        <f>MAX(0.6*CA75/$AJ$17,(CA75-0.4*0.3*$AJ$14^(2/3)/CB75*(1+$AJ$17/$AJ$15*CB75))/$AJ$17)</f>
        <v>#N/A</v>
      </c>
      <c r="CE75" s="178" t="e">
        <f>CC75*CD75/1000</f>
        <v>#N/A</v>
      </c>
      <c r="CF75" s="23" t="e">
        <f>IF(AND(AV75&gt;=BD75,AV75&gt;=BO75,CE75&lt;=(+IF(CO75="External",0.25,0.3))),"O.K", "Not O.K")</f>
        <v>#N/A</v>
      </c>
      <c r="CG75" s="28"/>
      <c r="CH75" s="179" t="e">
        <f>IF(O75&lt;0.2*$AJ$14*R75*$O$12/1000,"N &lt; 0.2fckAc - OK!","TBA")</f>
        <v>#N/A</v>
      </c>
      <c r="CI75" s="24">
        <v>110</v>
      </c>
      <c r="CJ75" s="25"/>
      <c r="CK75" s="6" t="e">
        <f t="shared" si="35"/>
        <v>#N/A</v>
      </c>
      <c r="CL75" s="8" t="s">
        <v>72</v>
      </c>
      <c r="CM75" s="6" t="e">
        <f t="shared" si="36"/>
        <v>#N/A</v>
      </c>
      <c r="CN75" s="26" t="s">
        <v>147</v>
      </c>
      <c r="CO75" s="15" t="e">
        <f>IF(VLOOKUP(CI75,'Summary-input'!A:C,3,0)="Outward",
IF(CP75&lt;0,"External","Internal"),
IF(CP75&lt;0,"Internal","External")
)</f>
        <v>#N/A</v>
      </c>
      <c r="CP75" t="e">
        <f>VLOOKUP(CI75&amp;CN75,'Summary-output-ULS'!A:G,6,0)</f>
        <v>#N/A</v>
      </c>
      <c r="CQ75" t="e">
        <f>VLOOKUP(CI75&amp;CN75,'Summary-output-ULS'!A:G,7,0)</f>
        <v>#N/A</v>
      </c>
      <c r="CR75" s="3" t="e">
        <f>VLOOKUP(CI75&amp;CN75,'Summary-output-SLS'!A:G,6,0)</f>
        <v>#N/A</v>
      </c>
      <c r="CS75" s="3" t="e">
        <f>VLOOKUP(CI75&amp;CN75,'Summary-output-SLS'!A:G,7,0)</f>
        <v>#N/A</v>
      </c>
      <c r="CT75" s="20">
        <v>1000</v>
      </c>
      <c r="CU75" s="2" t="e">
        <f>VLOOKUP(CI75&amp;CN75,'Summary-output-ULS'!A:G,5,0)</f>
        <v>#N/A</v>
      </c>
      <c r="CV75" s="15" t="e">
        <f>VLOOKUP(CI75&amp;CN75,'Summary-output-SLS'!A:G,5,0)</f>
        <v>#N/A</v>
      </c>
      <c r="CW75" s="6"/>
      <c r="CX75" s="278">
        <f>CI75</f>
        <v>110</v>
      </c>
      <c r="CY75" s="6" t="e">
        <f t="shared" ref="CY75:DD75" si="118">MAX(DN75:DN78)</f>
        <v>#N/A</v>
      </c>
      <c r="CZ75" s="6" t="e">
        <f t="shared" si="118"/>
        <v>#N/A</v>
      </c>
      <c r="DA75" s="6" t="e">
        <f t="shared" si="118"/>
        <v>#N/A</v>
      </c>
      <c r="DB75" s="6" t="e">
        <f t="shared" si="118"/>
        <v>#N/A</v>
      </c>
      <c r="DC75" s="6" t="e">
        <f t="shared" si="118"/>
        <v>#N/A</v>
      </c>
      <c r="DD75" s="6" t="e">
        <f t="shared" si="118"/>
        <v>#N/A</v>
      </c>
      <c r="DE75" s="6"/>
      <c r="DF75" s="6" t="e">
        <f t="shared" ref="DF75:DK75" si="119">MAX(DU75:DU78)</f>
        <v>#N/A</v>
      </c>
      <c r="DG75" s="6" t="e">
        <f t="shared" si="119"/>
        <v>#N/A</v>
      </c>
      <c r="DH75" s="6" t="e">
        <f t="shared" si="119"/>
        <v>#N/A</v>
      </c>
      <c r="DI75" s="6" t="e">
        <f t="shared" si="119"/>
        <v>#N/A</v>
      </c>
      <c r="DJ75" s="6" t="e">
        <f t="shared" si="119"/>
        <v>#N/A</v>
      </c>
      <c r="DK75" s="6" t="e">
        <f t="shared" si="119"/>
        <v>#N/A</v>
      </c>
      <c r="DL75" s="13"/>
      <c r="DM75" s="202">
        <f>CI75</f>
        <v>110</v>
      </c>
      <c r="DN75" s="206" t="e">
        <f>IF(CO75="external",T75,0)</f>
        <v>#N/A</v>
      </c>
      <c r="DO75" s="206" t="e">
        <f>IF(CO75="external",W75,0)</f>
        <v>#N/A</v>
      </c>
      <c r="DP75" s="206" t="e">
        <f>IF(CO75="external",Z75,0)</f>
        <v>#N/A</v>
      </c>
      <c r="DQ75" s="206" t="e">
        <f>IF(CO75="external",AC75,0)</f>
        <v>#N/A</v>
      </c>
      <c r="DR75" s="206" t="e">
        <f>IF(CO75="external",AF75,0)</f>
        <v>#N/A</v>
      </c>
      <c r="DS75" s="207" t="e">
        <f>IF(CO75="external",AI75,0)</f>
        <v>#N/A</v>
      </c>
      <c r="DT75" s="208"/>
      <c r="DU75" s="207" t="e">
        <f>IF(CO75="internal",T75,0)</f>
        <v>#N/A</v>
      </c>
      <c r="DV75" s="207" t="e">
        <f>IF(CO75="internal",W75,0)</f>
        <v>#N/A</v>
      </c>
      <c r="DW75" s="207" t="e">
        <f>IF(CO75="internal",Z75,0)</f>
        <v>#N/A</v>
      </c>
      <c r="DX75" s="207" t="e">
        <f>IF(CO75="internal",AC75,0)</f>
        <v>#N/A</v>
      </c>
      <c r="DY75" s="207" t="e">
        <f>IF(CO75="internal",AF75,0)</f>
        <v>#N/A</v>
      </c>
      <c r="DZ75" s="207" t="e">
        <f>IF(CO75="internal",AI75,0)</f>
        <v>#N/A</v>
      </c>
    </row>
    <row r="76" spans="1:131" s="7" customFormat="1" x14ac:dyDescent="0.3">
      <c r="B76" s="19">
        <f>+CI76</f>
        <v>110</v>
      </c>
      <c r="C76" s="6">
        <f t="shared" si="115"/>
        <v>0</v>
      </c>
      <c r="D76" s="6" t="e">
        <f t="shared" si="115"/>
        <v>#N/A</v>
      </c>
      <c r="E76" s="6" t="str">
        <f t="shared" si="115"/>
        <v>--</v>
      </c>
      <c r="F76" s="6" t="e">
        <f>+CM76</f>
        <v>#N/A</v>
      </c>
      <c r="G76" s="174" t="str">
        <f t="shared" si="116"/>
        <v>Min Mz</v>
      </c>
      <c r="H76" s="6" t="e">
        <f t="shared" si="116"/>
        <v>#N/A</v>
      </c>
      <c r="I76" s="156"/>
      <c r="J76" s="10" t="e">
        <f t="shared" si="117"/>
        <v>#N/A</v>
      </c>
      <c r="K76" s="10" t="e">
        <f t="shared" si="117"/>
        <v>#N/A</v>
      </c>
      <c r="L76" s="10" t="e">
        <f t="shared" si="117"/>
        <v>#N/A</v>
      </c>
      <c r="M76" s="10" t="e">
        <f t="shared" si="117"/>
        <v>#N/A</v>
      </c>
      <c r="N76" s="10" t="e">
        <f>IF(I76*J76&gt;=0,J76*$J$19+I76*$J$18,J76)</f>
        <v>#N/A</v>
      </c>
      <c r="O76" s="10" t="e">
        <f>(K76)*$J$19</f>
        <v>#N/A</v>
      </c>
      <c r="P76" s="14" t="e">
        <f>IF(I76*L76&gt;=0,(L76)+I76,L76)</f>
        <v>#N/A</v>
      </c>
      <c r="Q76" s="3" t="e">
        <f>(M76)</f>
        <v>#N/A</v>
      </c>
      <c r="R76" s="20">
        <f t="shared" si="90"/>
        <v>1000</v>
      </c>
      <c r="S76" s="23"/>
      <c r="T76" s="12">
        <v>20</v>
      </c>
      <c r="U76" s="28"/>
      <c r="V76" s="28"/>
      <c r="W76" s="12"/>
      <c r="X76" s="28"/>
      <c r="Y76" s="28"/>
      <c r="Z76" s="12"/>
      <c r="AA76" s="28"/>
      <c r="AB76" s="28"/>
      <c r="AC76" s="158"/>
      <c r="AD76" s="28"/>
      <c r="AE76" s="28"/>
      <c r="AF76" s="158"/>
      <c r="AG76" s="28"/>
      <c r="AH76" s="28"/>
      <c r="AI76" s="29"/>
      <c r="AJ76" s="6">
        <f>PI()/4*T76^2*$O$12/$AX$16</f>
        <v>2094.3951023931954</v>
      </c>
      <c r="AK76" s="28" t="str">
        <f>IF(W76=0,"","+")</f>
        <v/>
      </c>
      <c r="AL76" s="6">
        <f>PI()/4*W76^2*$O$12/$AX$16</f>
        <v>0</v>
      </c>
      <c r="AM76" s="28" t="str">
        <f>IF(Z76=0,"","+")</f>
        <v/>
      </c>
      <c r="AN76" s="6">
        <f>PI()/4*Z76^2*$O$12/$AX$16</f>
        <v>0</v>
      </c>
      <c r="AO76" s="28" t="str">
        <f>IF(AC76=0,"","+")</f>
        <v/>
      </c>
      <c r="AP76" s="6">
        <f>PI()/4*AC76^2*$O$12/$AX$16</f>
        <v>0</v>
      </c>
      <c r="AQ76" s="28" t="str">
        <f>IF(AF76=0,"","+")</f>
        <v/>
      </c>
      <c r="AR76" s="6">
        <f>PI()/4*AF76^2*$O$12/$AX$16</f>
        <v>0</v>
      </c>
      <c r="AS76" s="28" t="str">
        <f>IF(AI76=0,"","+")</f>
        <v/>
      </c>
      <c r="AT76" s="6">
        <f>PI()/4*AI76^2*$O$12/$AX$16</f>
        <v>0</v>
      </c>
      <c r="AU76" s="28" t="s">
        <v>24</v>
      </c>
      <c r="AV76" s="15">
        <f>VALUE(AJ76)+VALUE(AL76)+VALUE(AN76)+VALUE(AP76)+VALUE(AR76)+VALUE(AT76)</f>
        <v>2094.3951023931954</v>
      </c>
      <c r="AW76" s="228">
        <f>MAX(0.3*$AJ$14^(2/3)/$AJ$16*0.26*100,0.13)</f>
        <v>0.15723814702688016</v>
      </c>
      <c r="AX76" s="6">
        <f>AW76/100*$O$12*BK76</f>
        <v>1426.1499935338031</v>
      </c>
      <c r="AY76" s="6"/>
      <c r="AZ76" s="6"/>
      <c r="BA76" s="24" t="str">
        <f>IF(BB76=0,"","+")</f>
        <v/>
      </c>
      <c r="BB76" s="24"/>
      <c r="BC76" s="28" t="s">
        <v>24</v>
      </c>
      <c r="BD76" s="15">
        <f>AX76+AZ76+BB76</f>
        <v>1426.1499935338031</v>
      </c>
      <c r="BE76" s="2">
        <f>(R76-($AX$14+$O$16+T76/2))</f>
        <v>907</v>
      </c>
      <c r="BF76" s="3">
        <f>IF(W76=0,0,(R76-($AX$14+T76/2+$O$16+$BI$16)))</f>
        <v>0</v>
      </c>
      <c r="BG76" s="3">
        <f>IF(Z76=0,0,(R76-($AX$14+T76/2+$BI$16+$O$16+$BI$17)))</f>
        <v>0</v>
      </c>
      <c r="BH76" s="3">
        <f>IF(AC76=0,0,(R76-($AX$14+T76/2+$O$16+$BI$16+$BI$17+$BI$18)))</f>
        <v>0</v>
      </c>
      <c r="BI76" s="3">
        <f>IF(AF76=0,0,(R76-($AX$14+T76/2+$O$16+$BI$16+$BI$17+$BI$18+$BL$16)))</f>
        <v>0</v>
      </c>
      <c r="BJ76" s="3">
        <f>IF(AI76=0,0,(R76-($AX$14+T76/2+$O$16+$BI$16+$BI$17+$BI$18+$BL$16+$BL$17)))</f>
        <v>0</v>
      </c>
      <c r="BK76" s="6">
        <f>(BE76*AJ76+BF76*AL76+BG76*AN76+BH76*AP76+BI76*AR76+BJ76*AT76)/AV76</f>
        <v>907</v>
      </c>
      <c r="BL76" s="175" t="e">
        <f>ABS(N76)*1000000/$O$12/BK76^2</f>
        <v>#N/A</v>
      </c>
      <c r="BM76" s="175" t="e">
        <f>BL76/$AJ$14</f>
        <v>#N/A</v>
      </c>
      <c r="BN76" s="21" t="e">
        <f>IF(BM76&lt;0.167,0.5+SQRT(0.25-(BM76/1.134)),0.82)</f>
        <v>#N/A</v>
      </c>
      <c r="BO76" s="15" t="e">
        <f>ABS(N76)/(0.87*$AJ$16*BN76*BK76)*10^6</f>
        <v>#N/A</v>
      </c>
      <c r="BP76" s="22">
        <v>2802.7073347601977</v>
      </c>
      <c r="BQ76" s="175" t="e">
        <f>IF(Q76=0,2*ABS(P76*10^6)/$O$12/BP76/(BK76-BP76/3),Q76*BP76*1000/($O$12/2*BP76^2-(BE76-BP76)*AJ76*$AJ$18-(BF76-BP76)*AL76*$AJ$18-(BG76-BP76)*AN76*$AJ$18-(BH76-BP76)*AP76*$AJ$18-(BI76-BP76)*AR76*$AJ$18-(BJ76-BP76)*AT76*$AJ$18))</f>
        <v>#N/A</v>
      </c>
      <c r="BR76" s="3" t="e">
        <f>0.5*$O$12*BP76*BQ76 /1000</f>
        <v>#N/A</v>
      </c>
      <c r="BS76" s="3" t="e">
        <f>($BQ76/$BP76)*(BE76-$BP76)*$AJ$18*AJ76/1000</f>
        <v>#N/A</v>
      </c>
      <c r="BT76" s="3" t="e">
        <f>($BQ76/$BP76)*(BF76-$BP76)*$AJ$18*AL76/1000</f>
        <v>#N/A</v>
      </c>
      <c r="BU76" s="3" t="e">
        <f>($BQ76/$BP76)*(BG76-$BP76)*$AJ$18*AN76/1000</f>
        <v>#N/A</v>
      </c>
      <c r="BV76" s="3" t="e">
        <f>($BQ76/$BP76)*(BH76-$BP76)*$AJ$18*AP76/1000</f>
        <v>#N/A</v>
      </c>
      <c r="BW76" s="3" t="e">
        <f>($BQ76/$BP76)*(BI76-$BP76)*$AJ$18*AR76/1000</f>
        <v>#N/A</v>
      </c>
      <c r="BX76" s="3" t="e">
        <f>($BQ76/$BP76)*(BJ76-$BP76)*$AJ$18*AT76/1000</f>
        <v>#N/A</v>
      </c>
      <c r="BY76" s="175" t="e">
        <f>IF(Q76=0,0,(0.5*$O$12*BP76*BQ76/1000*(R76/2-$BP76/3)+BS76*(BE76-R76/2)+BT76*(BF76-R76/2)+BU76*(BG76-R76/2)+BV76*(BH76-R76/2)+BW76*(BI76-R76/2)+BX76*(BJ76-R76/2))/1000-ABS(P76))</f>
        <v>#N/A</v>
      </c>
      <c r="BZ76" s="10"/>
      <c r="CA76" s="176" t="e">
        <f>ABS(P76)/(BK76-BP76/3)/AV76*10^6-Q76*(R76/2-BP76/3)/(BK76-BP76/3)/AV76*1000</f>
        <v>#N/A</v>
      </c>
      <c r="CB76" s="177">
        <f>(AV76/($O$12*MIN(2.5*(R76-BK76),(R76-BP76)/3,R76/2)-AV76))</f>
        <v>-3.4733102453989441E-3</v>
      </c>
      <c r="CC76" s="177">
        <f>3.4*($O$16+$AX$14)+0.425*0.8*0.5*(T76^2+W76^2+Z76^2+AC76^2+AF76^2+AI76^2)/(T76+W76+Z76+AC76+AF76+AI76)/CB76</f>
        <v>-696.69326313534543</v>
      </c>
      <c r="CD76" s="177" t="e">
        <f>MAX(0.6*CA76/$AJ$17,(CA76-0.4*0.3*$AJ$14^(2/3)/CB76*(1+$AJ$17/$AJ$15*CB76))/$AJ$17)</f>
        <v>#N/A</v>
      </c>
      <c r="CE76" s="178" t="e">
        <f>CC76*CD76/1000</f>
        <v>#N/A</v>
      </c>
      <c r="CF76" s="23" t="e">
        <f>IF(AND(AV76&gt;=BD76,AV76&gt;=BO76,CE76&lt;=(+IF(CO76="External",0.25,0.3))),"O.K", "Not O.K")</f>
        <v>#N/A</v>
      </c>
      <c r="CG76" s="28"/>
      <c r="CH76" s="179" t="e">
        <f>IF(O76&lt;0.2*$AJ$14*R76*$O$12/1000,"N &lt; 0.2fckAc - OK!","TBA")</f>
        <v>#N/A</v>
      </c>
      <c r="CI76" s="24">
        <v>110</v>
      </c>
      <c r="CJ76" s="25"/>
      <c r="CK76" s="6" t="e">
        <f t="shared" si="35"/>
        <v>#N/A</v>
      </c>
      <c r="CL76" s="8" t="s">
        <v>72</v>
      </c>
      <c r="CM76" s="6" t="e">
        <f t="shared" si="36"/>
        <v>#N/A</v>
      </c>
      <c r="CN76" s="26" t="s">
        <v>148</v>
      </c>
      <c r="CO76" s="15" t="e">
        <f>IF(VLOOKUP(CI76,'Summary-input'!A:C,3,0)="Outward",
IF(CP76&lt;0,"External","Internal"),
IF(CP76&lt;0,"Internal","External")
)</f>
        <v>#N/A</v>
      </c>
      <c r="CP76" t="e">
        <f>VLOOKUP(CI76&amp;CN76,'Summary-output-ULS'!A:G,6,0)</f>
        <v>#N/A</v>
      </c>
      <c r="CQ76" t="e">
        <f>VLOOKUP(CI76&amp;CN76,'Summary-output-ULS'!A:G,7,0)</f>
        <v>#N/A</v>
      </c>
      <c r="CR76" s="3" t="e">
        <f>VLOOKUP(CI76&amp;CN76,'Summary-output-SLS'!A:G,6,0)</f>
        <v>#N/A</v>
      </c>
      <c r="CS76" s="3" t="e">
        <f>VLOOKUP(CI76&amp;CN76,'Summary-output-SLS'!A:G,7,0)</f>
        <v>#N/A</v>
      </c>
      <c r="CT76" s="20">
        <v>1000</v>
      </c>
      <c r="CU76" s="2" t="e">
        <f>VLOOKUP(CI76&amp;CN76,'Summary-output-ULS'!A:G,5,0)</f>
        <v>#N/A</v>
      </c>
      <c r="CV76" s="15" t="e">
        <f>VLOOKUP(CI76&amp;CN76,'Summary-output-SLS'!A:G,5,0)</f>
        <v>#N/A</v>
      </c>
      <c r="CW76" s="6"/>
      <c r="CX76" s="278"/>
      <c r="CY76" s="6"/>
      <c r="CZ76" s="6"/>
      <c r="DA76" s="6"/>
      <c r="DB76" s="6"/>
      <c r="DC76" s="6"/>
      <c r="DD76" s="6"/>
      <c r="DE76" s="6"/>
      <c r="DF76" s="6"/>
      <c r="DG76" s="6"/>
      <c r="DH76" s="6"/>
      <c r="DI76" s="6"/>
      <c r="DJ76" s="212"/>
      <c r="DK76" s="13"/>
      <c r="DL76" s="13"/>
      <c r="DM76" s="202"/>
      <c r="DN76" s="206" t="e">
        <f>IF(CO76="external",T76,0)</f>
        <v>#N/A</v>
      </c>
      <c r="DO76" s="206" t="e">
        <f>IF(CO76="external",W76,0)</f>
        <v>#N/A</v>
      </c>
      <c r="DP76" s="206" t="e">
        <f>IF(CO76="external",Z76,0)</f>
        <v>#N/A</v>
      </c>
      <c r="DQ76" s="206" t="e">
        <f>IF(CO76="external",AC76,0)</f>
        <v>#N/A</v>
      </c>
      <c r="DR76" s="206" t="e">
        <f>IF(CO76="external",AF76,0)</f>
        <v>#N/A</v>
      </c>
      <c r="DS76" s="207" t="e">
        <f>IF(CO76="external",AI76,0)</f>
        <v>#N/A</v>
      </c>
      <c r="DT76" s="208"/>
      <c r="DU76" s="207" t="e">
        <f>IF(CO76="internal",T76,0)</f>
        <v>#N/A</v>
      </c>
      <c r="DV76" s="207" t="e">
        <f>IF(CO76="internal",W76,0)</f>
        <v>#N/A</v>
      </c>
      <c r="DW76" s="207" t="e">
        <f>IF(CO76="internal",Z76,0)</f>
        <v>#N/A</v>
      </c>
      <c r="DX76" s="207" t="e">
        <f>IF(CO76="internal",AC76,0)</f>
        <v>#N/A</v>
      </c>
      <c r="DY76" s="207" t="e">
        <f>IF(CO76="internal",AF76,0)</f>
        <v>#N/A</v>
      </c>
      <c r="DZ76" s="207" t="e">
        <f>IF(CO76="internal",AI76,0)</f>
        <v>#N/A</v>
      </c>
    </row>
    <row r="77" spans="1:131" s="7" customFormat="1" x14ac:dyDescent="0.3">
      <c r="B77" s="19">
        <f>+CI77</f>
        <v>110</v>
      </c>
      <c r="C77" s="6">
        <f t="shared" si="115"/>
        <v>0</v>
      </c>
      <c r="D77" s="6" t="e">
        <f t="shared" si="115"/>
        <v>#N/A</v>
      </c>
      <c r="E77" s="6" t="str">
        <f t="shared" si="115"/>
        <v>--</v>
      </c>
      <c r="F77" s="6" t="e">
        <f>+CM77</f>
        <v>#N/A</v>
      </c>
      <c r="G77" s="174" t="str">
        <f t="shared" si="116"/>
        <v>Max Fx</v>
      </c>
      <c r="H77" s="6" t="e">
        <f t="shared" si="116"/>
        <v>#N/A</v>
      </c>
      <c r="I77" s="156"/>
      <c r="J77" s="10" t="e">
        <f t="shared" si="117"/>
        <v>#N/A</v>
      </c>
      <c r="K77" s="10" t="e">
        <f t="shared" si="117"/>
        <v>#N/A</v>
      </c>
      <c r="L77" s="10" t="e">
        <f t="shared" si="117"/>
        <v>#N/A</v>
      </c>
      <c r="M77" s="10" t="e">
        <f t="shared" si="117"/>
        <v>#N/A</v>
      </c>
      <c r="N77" s="10" t="e">
        <f>IF(I77*J77&gt;=0,J77*$J$19+I77*$J$18,J77)</f>
        <v>#N/A</v>
      </c>
      <c r="O77" s="10" t="e">
        <f>(K77)*$J$19</f>
        <v>#N/A</v>
      </c>
      <c r="P77" s="14" t="e">
        <f>IF(I77*L77&gt;=0,(L77)+I77,L77)</f>
        <v>#N/A</v>
      </c>
      <c r="Q77" s="3" t="e">
        <f>(M77)</f>
        <v>#N/A</v>
      </c>
      <c r="R77" s="20">
        <f t="shared" si="90"/>
        <v>1000</v>
      </c>
      <c r="S77" s="23"/>
      <c r="T77" s="12">
        <v>25</v>
      </c>
      <c r="U77" s="28"/>
      <c r="V77" s="28"/>
      <c r="W77" s="12"/>
      <c r="X77" s="28"/>
      <c r="Y77" s="28"/>
      <c r="Z77" s="12"/>
      <c r="AA77" s="28"/>
      <c r="AB77" s="28"/>
      <c r="AC77" s="158"/>
      <c r="AD77" s="28"/>
      <c r="AE77" s="28"/>
      <c r="AF77" s="158"/>
      <c r="AG77" s="28"/>
      <c r="AH77" s="28"/>
      <c r="AI77" s="29"/>
      <c r="AJ77" s="6">
        <f>PI()/4*T77^2*$O$12/$AX$16</f>
        <v>3272.4923474893681</v>
      </c>
      <c r="AK77" s="28" t="str">
        <f>IF(W77=0,"","+")</f>
        <v/>
      </c>
      <c r="AL77" s="6">
        <f>PI()/4*W77^2*$O$12/$AX$16</f>
        <v>0</v>
      </c>
      <c r="AM77" s="28" t="str">
        <f>IF(Z77=0,"","+")</f>
        <v/>
      </c>
      <c r="AN77" s="6">
        <f>PI()/4*Z77^2*$O$12/$AX$16</f>
        <v>0</v>
      </c>
      <c r="AO77" s="28" t="str">
        <f>IF(AC77=0,"","+")</f>
        <v/>
      </c>
      <c r="AP77" s="6">
        <f>PI()/4*AC77^2*$O$12/$AX$16</f>
        <v>0</v>
      </c>
      <c r="AQ77" s="28" t="str">
        <f>IF(AF77=0,"","+")</f>
        <v/>
      </c>
      <c r="AR77" s="6">
        <f>PI()/4*AF77^2*$O$12/$AX$16</f>
        <v>0</v>
      </c>
      <c r="AS77" s="28" t="str">
        <f>IF(AI77=0,"","+")</f>
        <v/>
      </c>
      <c r="AT77" s="6">
        <f>PI()/4*AI77^2*$O$12/$AX$16</f>
        <v>0</v>
      </c>
      <c r="AU77" s="28" t="s">
        <v>24</v>
      </c>
      <c r="AV77" s="15">
        <f>VALUE(AJ77)+VALUE(AL77)+VALUE(AN77)+VALUE(AP77)+VALUE(AR77)+VALUE(AT77)</f>
        <v>3272.4923474893681</v>
      </c>
      <c r="AW77" s="228">
        <f>MAX(0.3*$AJ$14^(2/3)/$AJ$16*0.26*100,0.13)</f>
        <v>0.15723814702688016</v>
      </c>
      <c r="AX77" s="6">
        <f>AW77/100*$O$12*BK77</f>
        <v>1422.2190398581311</v>
      </c>
      <c r="AY77" s="6"/>
      <c r="AZ77" s="6"/>
      <c r="BA77" s="24" t="str">
        <f>IF(BB77=0,"","+")</f>
        <v/>
      </c>
      <c r="BB77" s="24"/>
      <c r="BC77" s="28" t="s">
        <v>24</v>
      </c>
      <c r="BD77" s="15">
        <f>AX77+AZ77+BB77</f>
        <v>1422.2190398581311</v>
      </c>
      <c r="BE77" s="2">
        <f>(R77-($AX$14+$O$16+T77/2))</f>
        <v>904.5</v>
      </c>
      <c r="BF77" s="3">
        <f>IF(W77=0,0,(R77-($AX$14+T77/2+$O$16+$BI$16)))</f>
        <v>0</v>
      </c>
      <c r="BG77" s="3">
        <f>IF(Z77=0,0,(R77-($AX$14+T77/2+$BI$16+$O$16+$BI$17)))</f>
        <v>0</v>
      </c>
      <c r="BH77" s="3">
        <f>IF(AC77=0,0,(R77-($AX$14+T77/2+$O$16+$BI$16+$BI$17+$BI$18)))</f>
        <v>0</v>
      </c>
      <c r="BI77" s="3">
        <f>IF(AF77=0,0,(R77-($AX$14+T77/2+$O$16+$BI$16+$BI$17+$BI$18+$BL$16)))</f>
        <v>0</v>
      </c>
      <c r="BJ77" s="3">
        <f>IF(AI77=0,0,(R77-($AX$14+T77/2+$O$16+$BI$16+$BI$17+$BI$18+$BL$16+$BL$17)))</f>
        <v>0</v>
      </c>
      <c r="BK77" s="6">
        <f>(BE77*AJ77+BF77*AL77+BG77*AN77+BH77*AP77+BI77*AR77+BJ77*AT77)/AV77</f>
        <v>904.5</v>
      </c>
      <c r="BL77" s="175" t="e">
        <f>ABS(N77)*1000000/$O$12/BK77^2</f>
        <v>#N/A</v>
      </c>
      <c r="BM77" s="175" t="e">
        <f>BL77/$AJ$14</f>
        <v>#N/A</v>
      </c>
      <c r="BN77" s="21" t="e">
        <f>IF(BM77&lt;0.167,0.5+SQRT(0.25-(BM77/1.134)),0.82)</f>
        <v>#N/A</v>
      </c>
      <c r="BO77" s="15" t="e">
        <f>ABS(N77)/(0.87*$AJ$16*BN77*BK77)*10^6</f>
        <v>#N/A</v>
      </c>
      <c r="BP77" s="22">
        <v>3372.0514238889168</v>
      </c>
      <c r="BQ77" s="175" t="e">
        <f>IF(Q77=0,2*ABS(P77*10^6)/$O$12/BP77/(BK77-BP77/3),Q77*BP77*1000/($O$12/2*BP77^2-(BE77-BP77)*AJ77*$AJ$18-(BF77-BP77)*AL77*$AJ$18-(BG77-BP77)*AN77*$AJ$18-(BH77-BP77)*AP77*$AJ$18-(BI77-BP77)*AR77*$AJ$18-(BJ77-BP77)*AT77*$AJ$18))</f>
        <v>#N/A</v>
      </c>
      <c r="BR77" s="3" t="e">
        <f>0.5*$O$12*BP77*BQ77 /1000</f>
        <v>#N/A</v>
      </c>
      <c r="BS77" s="3" t="e">
        <f>($BQ77/$BP77)*(BE77-$BP77)*$AJ$18*AJ77/1000</f>
        <v>#N/A</v>
      </c>
      <c r="BT77" s="3" t="e">
        <f>($BQ77/$BP77)*(BF77-$BP77)*$AJ$18*AL77/1000</f>
        <v>#N/A</v>
      </c>
      <c r="BU77" s="3" t="e">
        <f>($BQ77/$BP77)*(BG77-$BP77)*$AJ$18*AN77/1000</f>
        <v>#N/A</v>
      </c>
      <c r="BV77" s="3" t="e">
        <f>($BQ77/$BP77)*(BH77-$BP77)*$AJ$18*AP77/1000</f>
        <v>#N/A</v>
      </c>
      <c r="BW77" s="3" t="e">
        <f>($BQ77/$BP77)*(BI77-$BP77)*$AJ$18*AR77/1000</f>
        <v>#N/A</v>
      </c>
      <c r="BX77" s="3" t="e">
        <f>($BQ77/$BP77)*(BJ77-$BP77)*$AJ$18*AT77/1000</f>
        <v>#N/A</v>
      </c>
      <c r="BY77" s="175" t="e">
        <f>IF(Q77=0,0,(0.5*$O$12*BP77*BQ77/1000*(R77/2-$BP77/3)+BS77*(BE77-R77/2)+BT77*(BF77-R77/2)+BU77*(BG77-R77/2)+BV77*(BH77-R77/2)+BW77*(BI77-R77/2)+BX77*(BJ77-R77/2))/1000-ABS(P77))</f>
        <v>#N/A</v>
      </c>
      <c r="BZ77" s="10"/>
      <c r="CA77" s="176" t="e">
        <f>ABS(P77)/(BK77-BP77/3)/AV77*10^6-Q77*(R77/2-BP77/3)/(BK77-BP77/3)/AV77*1000</f>
        <v>#N/A</v>
      </c>
      <c r="CB77" s="177">
        <f>(AV77/($O$12*MIN(2.5*(R77-BK77),(R77-BP77)/3,R77/2)-AV77))</f>
        <v>-4.1217537365843956E-3</v>
      </c>
      <c r="CC77" s="177">
        <f>3.4*($O$16+$AX$14)+0.425*0.8*0.5*(T77^2+W77^2+Z77^2+AC77^2+AF77^2+AI77^2)/(T77+W77+Z77+AC77+AF77+AI77)/CB77</f>
        <v>-748.91448951384473</v>
      </c>
      <c r="CD77" s="177" t="e">
        <f>MAX(0.6*CA77/$AJ$17,(CA77-0.4*0.3*$AJ$14^(2/3)/CB77*(1+$AJ$17/$AJ$15*CB77))/$AJ$17)</f>
        <v>#N/A</v>
      </c>
      <c r="CE77" s="178" t="e">
        <f>CC77*CD77/1000</f>
        <v>#N/A</v>
      </c>
      <c r="CF77" s="23" t="e">
        <f>IF(AND(AV77&gt;=BD77,AV77&gt;=BO77,CE77&lt;=(+IF(CO77="External",0.25,0.3))),"O.K", "Not O.K")</f>
        <v>#N/A</v>
      </c>
      <c r="CG77" s="28"/>
      <c r="CH77" s="179" t="e">
        <f>IF(O77&lt;0.2*$AJ$14*R77*$O$12/1000,"N &lt; 0.2fckAc - OK!","TBA")</f>
        <v>#N/A</v>
      </c>
      <c r="CI77" s="24">
        <v>110</v>
      </c>
      <c r="CJ77" s="25"/>
      <c r="CK77" s="6" t="e">
        <f t="shared" si="35"/>
        <v>#N/A</v>
      </c>
      <c r="CL77" s="8" t="s">
        <v>72</v>
      </c>
      <c r="CM77" s="6" t="e">
        <f t="shared" si="36"/>
        <v>#N/A</v>
      </c>
      <c r="CN77" s="26" t="s">
        <v>145</v>
      </c>
      <c r="CO77" s="15" t="e">
        <f>IF(VLOOKUP(CI77,'Summary-input'!A:C,3,0)="Outward",
IF(CP77&lt;0,"External","Internal"),
IF(CP77&lt;0,"Internal","External")
)</f>
        <v>#N/A</v>
      </c>
      <c r="CP77" t="e">
        <f>VLOOKUP(CI77&amp;CN77,'Summary-output-ULS'!A:G,6,0)</f>
        <v>#N/A</v>
      </c>
      <c r="CQ77" t="e">
        <f>VLOOKUP(CI77&amp;CN77,'Summary-output-ULS'!A:G,7,0)</f>
        <v>#N/A</v>
      </c>
      <c r="CR77" s="3" t="e">
        <f>VLOOKUP(CI77&amp;CN77,'Summary-output-SLS'!A:G,6,0)</f>
        <v>#N/A</v>
      </c>
      <c r="CS77" s="3" t="e">
        <f>VLOOKUP(CI77&amp;CN77,'Summary-output-SLS'!A:G,7,0)</f>
        <v>#N/A</v>
      </c>
      <c r="CT77" s="20">
        <v>1000</v>
      </c>
      <c r="CU77" s="2" t="e">
        <f>VLOOKUP(CI77&amp;CN77,'Summary-output-ULS'!A:G,5,0)</f>
        <v>#N/A</v>
      </c>
      <c r="CV77" s="15" t="e">
        <f>VLOOKUP(CI77&amp;CN77,'Summary-output-SLS'!A:G,5,0)</f>
        <v>#N/A</v>
      </c>
      <c r="CW77" s="6"/>
      <c r="CX77" s="278"/>
      <c r="CY77" s="6"/>
      <c r="CZ77" s="6"/>
      <c r="DA77" s="6"/>
      <c r="DB77" s="6"/>
      <c r="DC77" s="6"/>
      <c r="DD77" s="6"/>
      <c r="DE77" s="6"/>
      <c r="DF77" s="6"/>
      <c r="DG77" s="6"/>
      <c r="DH77" s="6"/>
      <c r="DI77" s="6"/>
      <c r="DJ77" s="212"/>
      <c r="DK77" s="13"/>
      <c r="DL77" s="13"/>
      <c r="DM77" s="202"/>
      <c r="DN77" s="206" t="e">
        <f>IF(CO77="external",T77,0)</f>
        <v>#N/A</v>
      </c>
      <c r="DO77" s="206" t="e">
        <f>IF(CO77="external",W77,0)</f>
        <v>#N/A</v>
      </c>
      <c r="DP77" s="206" t="e">
        <f>IF(CO77="external",Z77,0)</f>
        <v>#N/A</v>
      </c>
      <c r="DQ77" s="206" t="e">
        <f>IF(CO77="external",AC77,0)</f>
        <v>#N/A</v>
      </c>
      <c r="DR77" s="206" t="e">
        <f>IF(CO77="external",AF77,0)</f>
        <v>#N/A</v>
      </c>
      <c r="DS77" s="207" t="e">
        <f>IF(CO77="external",AI77,0)</f>
        <v>#N/A</v>
      </c>
      <c r="DT77" s="208"/>
      <c r="DU77" s="207" t="e">
        <f>IF(CO77="internal",T77,0)</f>
        <v>#N/A</v>
      </c>
      <c r="DV77" s="207" t="e">
        <f>IF(CO77="internal",W77,0)</f>
        <v>#N/A</v>
      </c>
      <c r="DW77" s="207" t="e">
        <f>IF(CO77="internal",Z77,0)</f>
        <v>#N/A</v>
      </c>
      <c r="DX77" s="207" t="e">
        <f>IF(CO77="internal",AC77,0)</f>
        <v>#N/A</v>
      </c>
      <c r="DY77" s="207" t="e">
        <f>IF(CO77="internal",AF77,0)</f>
        <v>#N/A</v>
      </c>
      <c r="DZ77" s="207" t="e">
        <f>IF(CO77="internal",AI77,0)</f>
        <v>#N/A</v>
      </c>
    </row>
    <row r="78" spans="1:131" s="7" customFormat="1" x14ac:dyDescent="0.3">
      <c r="B78" s="19">
        <f>+CI78</f>
        <v>110</v>
      </c>
      <c r="C78" s="6">
        <f t="shared" si="115"/>
        <v>0</v>
      </c>
      <c r="D78" s="6" t="e">
        <f t="shared" si="115"/>
        <v>#N/A</v>
      </c>
      <c r="E78" s="6" t="str">
        <f t="shared" si="115"/>
        <v>--</v>
      </c>
      <c r="F78" s="6" t="e">
        <f>+CM78</f>
        <v>#N/A</v>
      </c>
      <c r="G78" s="174" t="str">
        <f t="shared" si="116"/>
        <v>Min Fx</v>
      </c>
      <c r="H78" s="6" t="e">
        <f t="shared" si="116"/>
        <v>#N/A</v>
      </c>
      <c r="I78" s="156"/>
      <c r="J78" s="10" t="e">
        <f t="shared" si="117"/>
        <v>#N/A</v>
      </c>
      <c r="K78" s="10" t="e">
        <f t="shared" si="117"/>
        <v>#N/A</v>
      </c>
      <c r="L78" s="10" t="e">
        <f t="shared" si="117"/>
        <v>#N/A</v>
      </c>
      <c r="M78" s="10" t="e">
        <f t="shared" si="117"/>
        <v>#N/A</v>
      </c>
      <c r="N78" s="10" t="e">
        <f>IF(I78*J78&gt;=0,J78*$J$19+I78*$J$18,J78)</f>
        <v>#N/A</v>
      </c>
      <c r="O78" s="10" t="e">
        <f>(K78)*$J$19</f>
        <v>#N/A</v>
      </c>
      <c r="P78" s="14" t="e">
        <f>IF(I78*L78&gt;=0,(L78)+I78,L78)</f>
        <v>#N/A</v>
      </c>
      <c r="Q78" s="3" t="e">
        <f>(M78)</f>
        <v>#N/A</v>
      </c>
      <c r="R78" s="20">
        <f t="shared" si="90"/>
        <v>1000</v>
      </c>
      <c r="S78" s="23"/>
      <c r="T78" s="12">
        <v>40</v>
      </c>
      <c r="U78" s="28"/>
      <c r="V78" s="28"/>
      <c r="W78" s="12">
        <v>32</v>
      </c>
      <c r="X78" s="28"/>
      <c r="Y78" s="28"/>
      <c r="Z78" s="12"/>
      <c r="AA78" s="28"/>
      <c r="AB78" s="28"/>
      <c r="AC78" s="158"/>
      <c r="AD78" s="28"/>
      <c r="AE78" s="28"/>
      <c r="AF78" s="158"/>
      <c r="AG78" s="28"/>
      <c r="AH78" s="28"/>
      <c r="AI78" s="29"/>
      <c r="AJ78" s="6">
        <f>PI()/4*T78^2*$O$12/$AX$16</f>
        <v>8377.5804095727817</v>
      </c>
      <c r="AK78" s="28" t="str">
        <f>IF(W78=0,"","+")</f>
        <v>+</v>
      </c>
      <c r="AL78" s="6">
        <f>PI()/4*W78^2*$O$12/$AX$16</f>
        <v>5361.6514621265796</v>
      </c>
      <c r="AM78" s="28" t="str">
        <f>IF(Z78=0,"","+")</f>
        <v/>
      </c>
      <c r="AN78" s="6">
        <f>PI()/4*Z78^2*$O$12/$AX$16</f>
        <v>0</v>
      </c>
      <c r="AO78" s="28" t="str">
        <f>IF(AC78=0,"","+")</f>
        <v/>
      </c>
      <c r="AP78" s="6">
        <f>PI()/4*AC78^2*$O$12/$AX$16</f>
        <v>0</v>
      </c>
      <c r="AQ78" s="28" t="str">
        <f>IF(AF78=0,"","+")</f>
        <v/>
      </c>
      <c r="AR78" s="6">
        <f>PI()/4*AF78^2*$O$12/$AX$16</f>
        <v>0</v>
      </c>
      <c r="AS78" s="28" t="str">
        <f>IF(AI78=0,"","+")</f>
        <v/>
      </c>
      <c r="AT78" s="6">
        <f>PI()/4*AI78^2*$O$12/$AX$16</f>
        <v>0</v>
      </c>
      <c r="AU78" s="28" t="s">
        <v>24</v>
      </c>
      <c r="AV78" s="15">
        <f>VALUE(AJ78)+VALUE(AL78)+VALUE(AN78)+VALUE(AP78)+VALUE(AR78)+VALUE(AT78)</f>
        <v>13739.231871699361</v>
      </c>
      <c r="AW78" s="228">
        <f>MAX(0.3*$AJ$14^(2/3)/$AJ$16*0.26*100,0.13)</f>
        <v>0.15723814702688016</v>
      </c>
      <c r="AX78" s="6">
        <f>AW78/100*$O$12*BK78</f>
        <v>1361.3371963446743</v>
      </c>
      <c r="AY78" s="6"/>
      <c r="AZ78" s="6"/>
      <c r="BA78" s="24" t="str">
        <f>IF(BB78=0,"","+")</f>
        <v/>
      </c>
      <c r="BB78" s="24"/>
      <c r="BC78" s="28" t="s">
        <v>24</v>
      </c>
      <c r="BD78" s="15">
        <f>AX78+AZ78+BB78</f>
        <v>1361.3371963446743</v>
      </c>
      <c r="BE78" s="2">
        <f>(R78-($AX$14+$O$16+T78/2))</f>
        <v>897</v>
      </c>
      <c r="BF78" s="3">
        <f>IF(W78=0,0,(R78-($AX$14+T78/2+$O$16+$BI$16)))</f>
        <v>817</v>
      </c>
      <c r="BG78" s="3">
        <f>IF(Z78=0,0,(R78-($AX$14+T78/2+$BI$16+$O$16+$BI$17)))</f>
        <v>0</v>
      </c>
      <c r="BH78" s="3">
        <f>IF(AC78=0,0,(R78-($AX$14+T78/2+$O$16+$BI$16+$BI$17+$BI$18)))</f>
        <v>0</v>
      </c>
      <c r="BI78" s="3">
        <f>IF(AF78=0,0,(R78-($AX$14+T78/2+$O$16+$BI$16+$BI$17+$BI$18+$BL$16)))</f>
        <v>0</v>
      </c>
      <c r="BJ78" s="3">
        <f>IF(AI78=0,0,(R78-($AX$14+T78/2+$O$16+$BI$16+$BI$17+$BI$18+$BL$16+$BL$17)))</f>
        <v>0</v>
      </c>
      <c r="BK78" s="6">
        <f>(BE78*AJ78+BF78*AL78+BG78*AN78+BH78*AP78+BI78*AR78+BJ78*AT78)/AV78</f>
        <v>865.78048780487802</v>
      </c>
      <c r="BL78" s="175" t="e">
        <f>ABS(N78)*1000000/$O$12/BK78^2</f>
        <v>#N/A</v>
      </c>
      <c r="BM78" s="175" t="e">
        <f>BL78/$AJ$14</f>
        <v>#N/A</v>
      </c>
      <c r="BN78" s="21" t="e">
        <f>IF(BM78&lt;0.167,0.5+SQRT(0.25-(BM78/1.134)),0.82)</f>
        <v>#N/A</v>
      </c>
      <c r="BO78" s="15" t="e">
        <f>ABS(N78)/(0.87*$AJ$16*BN78*BK78)*10^6</f>
        <v>#N/A</v>
      </c>
      <c r="BP78" s="22">
        <v>363.66743632806117</v>
      </c>
      <c r="BQ78" s="175" t="e">
        <f>IF(Q78=0,2*ABS(P78*10^6)/$O$12/BP78/(BK78-BP78/3),Q78*BP78*1000/($O$12/2*BP78^2-(BE78-BP78)*AJ78*$AJ$18-(BF78-BP78)*AL78*$AJ$18-(BG78-BP78)*AN78*$AJ$18-(BH78-BP78)*AP78*$AJ$18-(BI78-BP78)*AR78*$AJ$18-(BJ78-BP78)*AT78*$AJ$18))</f>
        <v>#N/A</v>
      </c>
      <c r="BR78" s="3" t="e">
        <f>0.5*$O$12*BP78*BQ78 /1000</f>
        <v>#N/A</v>
      </c>
      <c r="BS78" s="3" t="e">
        <f>($BQ78/$BP78)*(BE78-$BP78)*$AJ$18*AJ78/1000</f>
        <v>#N/A</v>
      </c>
      <c r="BT78" s="3" t="e">
        <f>($BQ78/$BP78)*(BF78-$BP78)*$AJ$18*AL78/1000</f>
        <v>#N/A</v>
      </c>
      <c r="BU78" s="3" t="e">
        <f>($BQ78/$BP78)*(BG78-$BP78)*$AJ$18*AN78/1000</f>
        <v>#N/A</v>
      </c>
      <c r="BV78" s="3" t="e">
        <f>($BQ78/$BP78)*(BH78-$BP78)*$AJ$18*AP78/1000</f>
        <v>#N/A</v>
      </c>
      <c r="BW78" s="3" t="e">
        <f>($BQ78/$BP78)*(BI78-$BP78)*$AJ$18*AR78/1000</f>
        <v>#N/A</v>
      </c>
      <c r="BX78" s="3" t="e">
        <f>($BQ78/$BP78)*(BJ78-$BP78)*$AJ$18*AT78/1000</f>
        <v>#N/A</v>
      </c>
      <c r="BY78" s="175" t="e">
        <f>IF(Q78=0,0,(0.5*$O$12*BP78*BQ78/1000*(R78/2-$BP78/3)+BS78*(BE78-R78/2)+BT78*(BF78-R78/2)+BU78*(BG78-R78/2)+BV78*(BH78-R78/2)+BW78*(BI78-R78/2)+BX78*(BJ78-R78/2))/1000-ABS(P78))</f>
        <v>#N/A</v>
      </c>
      <c r="BZ78" s="10"/>
      <c r="CA78" s="176" t="e">
        <f>ABS(P78)/(BK78-BP78/3)/AV78*10^6-Q78*(R78/2-BP78/3)/(BK78-BP78/3)/AV78*1000</f>
        <v>#N/A</v>
      </c>
      <c r="CB78" s="177">
        <f>(AV78/($O$12*MIN(2.5*(R78-BK78),(R78-BP78)/3,R78/2)-AV78))</f>
        <v>6.926006696771235E-2</v>
      </c>
      <c r="CC78" s="177">
        <f>3.4*($O$16+$AX$14)+0.425*0.8*0.5*(T78^2+W78^2+Z78^2+AC78^2+AF78^2+AI78^2)/(T78+W78+Z78+AC78+AF78+AI78)/CB78</f>
        <v>371.65350223879796</v>
      </c>
      <c r="CD78" s="177" t="e">
        <f>MAX(0.6*CA78/$AJ$17,(CA78-0.4*0.3*$AJ$14^(2/3)/CB78*(1+$AJ$17/$AJ$15*CB78))/$AJ$17)</f>
        <v>#N/A</v>
      </c>
      <c r="CE78" s="178" t="e">
        <f>CC78*CD78/1000</f>
        <v>#N/A</v>
      </c>
      <c r="CF78" s="23" t="e">
        <f>IF(AND(AV78&gt;=BD78,AV78&gt;=BO78,CE78&lt;=(+IF(CO78="External",0.25,0.3))),"O.K", "Not O.K")</f>
        <v>#N/A</v>
      </c>
      <c r="CG78" s="28"/>
      <c r="CH78" s="179" t="e">
        <f>IF(O78&lt;0.2*$AJ$14*R78*$O$12/1000,"N &lt; 0.2fckAc - OK!","TBA")</f>
        <v>#N/A</v>
      </c>
      <c r="CI78" s="24">
        <v>110</v>
      </c>
      <c r="CJ78" s="25"/>
      <c r="CK78" s="6" t="e">
        <f t="shared" si="35"/>
        <v>#N/A</v>
      </c>
      <c r="CL78" s="8" t="s">
        <v>72</v>
      </c>
      <c r="CM78" s="6" t="e">
        <f t="shared" si="36"/>
        <v>#N/A</v>
      </c>
      <c r="CN78" s="26" t="s">
        <v>146</v>
      </c>
      <c r="CO78" s="15" t="e">
        <f>IF(VLOOKUP(CI78,'Summary-input'!A:C,3,0)="Outward",
IF(CP78&lt;0,"External","Internal"),
IF(CP78&lt;0,"Internal","External")
)</f>
        <v>#N/A</v>
      </c>
      <c r="CP78" t="e">
        <f>VLOOKUP(CI78&amp;CN78,'Summary-output-ULS'!A:G,6,0)</f>
        <v>#N/A</v>
      </c>
      <c r="CQ78" t="e">
        <f>VLOOKUP(CI78&amp;CN78,'Summary-output-ULS'!A:G,7,0)</f>
        <v>#N/A</v>
      </c>
      <c r="CR78" s="3" t="e">
        <f>VLOOKUP(CI78&amp;CN78,'Summary-output-SLS'!A:G,6,0)</f>
        <v>#N/A</v>
      </c>
      <c r="CS78" s="3" t="e">
        <f>VLOOKUP(CI78&amp;CN78,'Summary-output-SLS'!A:G,7,0)</f>
        <v>#N/A</v>
      </c>
      <c r="CT78" s="20">
        <v>1000</v>
      </c>
      <c r="CU78" s="2" t="e">
        <f>VLOOKUP(CI78&amp;CN78,'Summary-output-ULS'!A:G,5,0)</f>
        <v>#N/A</v>
      </c>
      <c r="CV78" s="15" t="e">
        <f>VLOOKUP(CI78&amp;CN78,'Summary-output-SLS'!A:G,5,0)</f>
        <v>#N/A</v>
      </c>
      <c r="CW78" s="6"/>
      <c r="CX78" s="278"/>
      <c r="CY78" s="6"/>
      <c r="CZ78" s="6"/>
      <c r="DA78" s="6"/>
      <c r="DB78" s="6"/>
      <c r="DC78" s="6"/>
      <c r="DD78" s="6"/>
      <c r="DE78" s="6"/>
      <c r="DF78" s="6"/>
      <c r="DG78" s="6"/>
      <c r="DH78" s="6"/>
      <c r="DI78" s="6"/>
      <c r="DJ78" s="212"/>
      <c r="DK78" s="13"/>
      <c r="DL78" s="13"/>
      <c r="DM78" s="202"/>
      <c r="DN78" s="206" t="e">
        <f>IF(CO78="external",T78,0)</f>
        <v>#N/A</v>
      </c>
      <c r="DO78" s="206" t="e">
        <f>IF(CO78="external",W78,0)</f>
        <v>#N/A</v>
      </c>
      <c r="DP78" s="206" t="e">
        <f>IF(CO78="external",Z78,0)</f>
        <v>#N/A</v>
      </c>
      <c r="DQ78" s="206" t="e">
        <f>IF(CO78="external",AC78,0)</f>
        <v>#N/A</v>
      </c>
      <c r="DR78" s="206" t="e">
        <f>IF(CO78="external",AF78,0)</f>
        <v>#N/A</v>
      </c>
      <c r="DS78" s="207" t="e">
        <f>IF(CO78="external",AI78,0)</f>
        <v>#N/A</v>
      </c>
      <c r="DT78" s="208"/>
      <c r="DU78" s="207" t="e">
        <f>IF(CO78="internal",T78,0)</f>
        <v>#N/A</v>
      </c>
      <c r="DV78" s="207" t="e">
        <f>IF(CO78="internal",W78,0)</f>
        <v>#N/A</v>
      </c>
      <c r="DW78" s="207" t="e">
        <f>IF(CO78="internal",Z78,0)</f>
        <v>#N/A</v>
      </c>
      <c r="DX78" s="207" t="e">
        <f>IF(CO78="internal",AC78,0)</f>
        <v>#N/A</v>
      </c>
      <c r="DY78" s="207" t="e">
        <f>IF(CO78="internal",AF78,0)</f>
        <v>#N/A</v>
      </c>
      <c r="DZ78" s="207" t="e">
        <f>IF(CO78="internal",AI78,0)</f>
        <v>#N/A</v>
      </c>
    </row>
    <row r="79" spans="1:131" s="7" customFormat="1" x14ac:dyDescent="0.3">
      <c r="B79" s="242"/>
      <c r="C79" s="238"/>
      <c r="D79" s="237"/>
      <c r="E79" s="238"/>
      <c r="F79" s="238"/>
      <c r="G79" s="239"/>
      <c r="H79" s="67"/>
      <c r="I79" s="67"/>
      <c r="J79" s="67"/>
      <c r="K79" s="67"/>
      <c r="L79" s="67"/>
      <c r="M79" s="67"/>
      <c r="N79" s="67"/>
      <c r="O79" s="67"/>
      <c r="P79" s="67"/>
      <c r="Q79" s="67"/>
      <c r="R79" s="67"/>
      <c r="S79" s="67"/>
      <c r="T79" s="240"/>
      <c r="U79" s="67"/>
      <c r="V79" s="67"/>
      <c r="W79" s="240"/>
      <c r="X79" s="67"/>
      <c r="Y79" s="67"/>
      <c r="Z79" s="67"/>
      <c r="AA79" s="67"/>
      <c r="AB79" s="67"/>
      <c r="AC79" s="67"/>
      <c r="AD79" s="67"/>
      <c r="AE79" s="67"/>
      <c r="AF79" s="67"/>
      <c r="AG79" s="67"/>
      <c r="AH79" s="67"/>
      <c r="AI79" s="241"/>
      <c r="AJ79" s="67"/>
      <c r="AK79" s="67"/>
      <c r="AL79" s="67"/>
      <c r="AM79" s="67"/>
      <c r="AN79" s="67"/>
      <c r="AO79" s="67"/>
      <c r="AP79" s="67"/>
      <c r="AQ79" s="67"/>
      <c r="AR79" s="67"/>
      <c r="AS79" s="67"/>
      <c r="AT79" s="67"/>
      <c r="AU79" s="67"/>
      <c r="AV79" s="67"/>
      <c r="AW79" s="67"/>
      <c r="AX79" s="67"/>
      <c r="AY79" s="67"/>
      <c r="AZ79" s="67"/>
      <c r="BA79" s="67"/>
      <c r="BB79" s="67"/>
      <c r="BC79" s="67"/>
      <c r="BD79" s="67"/>
      <c r="BE79" s="67"/>
      <c r="BF79" s="67"/>
      <c r="BG79" s="67"/>
      <c r="BH79" s="67"/>
      <c r="BI79" s="67"/>
      <c r="BJ79" s="67"/>
      <c r="BK79" s="67"/>
      <c r="BL79" s="67"/>
      <c r="BM79" s="67"/>
      <c r="BN79" s="67"/>
      <c r="BO79" s="67"/>
      <c r="BP79" s="67"/>
      <c r="BQ79" s="67"/>
      <c r="BR79" s="67"/>
      <c r="BS79" s="67"/>
      <c r="BT79" s="67"/>
      <c r="BU79" s="67"/>
      <c r="BV79" s="67"/>
      <c r="BW79" s="67"/>
      <c r="BX79" s="67"/>
      <c r="BY79" s="67"/>
      <c r="BZ79" s="67"/>
      <c r="CA79" s="67"/>
      <c r="CB79" s="67"/>
      <c r="CC79" s="67"/>
      <c r="CD79" s="67"/>
      <c r="CE79" s="67"/>
      <c r="CH79" s="243"/>
      <c r="CI79" s="6"/>
      <c r="CJ79" s="37"/>
      <c r="CK79" s="6" t="e">
        <f t="shared" si="35"/>
        <v>#N/A</v>
      </c>
      <c r="CL79" s="8" t="s">
        <v>72</v>
      </c>
      <c r="CM79" s="6" t="e">
        <f t="shared" si="36"/>
        <v>#N/A</v>
      </c>
      <c r="CN79" s="39"/>
      <c r="CO79" s="15" t="e">
        <f>IF(VLOOKUP(CI79,'Summary-input'!A:C,3,0)="Outward",
IF(CP79&lt;0,"External","Internal"),
IF(CP79&lt;0,"Internal","External")
)</f>
        <v>#N/A</v>
      </c>
      <c r="CP79" t="e">
        <f>VLOOKUP(CI79&amp;CN79,'Summary-output-ULS'!A:G,6,0)</f>
        <v>#N/A</v>
      </c>
      <c r="CQ79" t="e">
        <f>VLOOKUP(CI79&amp;CN79,'Summary-output-ULS'!A:G,7,0)</f>
        <v>#N/A</v>
      </c>
      <c r="CR79" s="3" t="e">
        <f>VLOOKUP(CI79&amp;CN79,'Summary-output-SLS'!A:G,6,0)</f>
        <v>#N/A</v>
      </c>
      <c r="CS79" s="3" t="e">
        <f>VLOOKUP(CI79&amp;CN79,'Summary-output-SLS'!A:G,7,0)</f>
        <v>#N/A</v>
      </c>
      <c r="CU79" s="2" t="e">
        <f>VLOOKUP(CI79&amp;CN79,'Summary-output-ULS'!A:G,5,0)</f>
        <v>#N/A</v>
      </c>
      <c r="CV79" s="15" t="e">
        <f>VLOOKUP(CI79&amp;CN79,'Summary-output-SLS'!A:G,5,0)</f>
        <v>#N/A</v>
      </c>
      <c r="CW79" s="28"/>
      <c r="CX79" s="280"/>
      <c r="CY79" s="185"/>
      <c r="CZ79" s="185"/>
      <c r="DA79" s="185"/>
      <c r="DB79" s="185"/>
      <c r="DC79" s="185"/>
      <c r="DD79" s="185"/>
      <c r="DE79" s="185"/>
      <c r="DF79" s="185"/>
      <c r="DG79" s="185"/>
      <c r="DH79" s="185"/>
      <c r="DI79" s="185"/>
      <c r="DJ79" s="209"/>
      <c r="DK79" s="185"/>
      <c r="DL79" s="185"/>
      <c r="DM79" s="186"/>
      <c r="DN79" s="187"/>
      <c r="DO79" s="187"/>
      <c r="DP79" s="187"/>
      <c r="DQ79" s="187"/>
      <c r="DR79" s="187"/>
      <c r="DS79" s="187"/>
      <c r="DT79" s="188"/>
      <c r="DU79" s="187"/>
      <c r="DV79" s="187"/>
      <c r="DW79" s="187"/>
      <c r="DX79" s="187"/>
      <c r="DY79" s="187"/>
      <c r="DZ79" s="187"/>
      <c r="EA79" s="185"/>
    </row>
    <row r="80" spans="1:131" s="7" customFormat="1" ht="13.8" x14ac:dyDescent="0.25">
      <c r="A80" s="7" t="s">
        <v>141</v>
      </c>
      <c r="B80" s="19">
        <f>+CI80</f>
        <v>114</v>
      </c>
      <c r="C80" s="6">
        <f t="shared" ref="C80:E83" si="120">CJ80</f>
        <v>0</v>
      </c>
      <c r="D80" s="6" t="e">
        <f t="shared" si="120"/>
        <v>#N/A</v>
      </c>
      <c r="E80" s="6" t="str">
        <f t="shared" si="120"/>
        <v>--</v>
      </c>
      <c r="F80" s="6" t="e">
        <f>+CM80</f>
        <v>#N/A</v>
      </c>
      <c r="G80" s="174" t="str">
        <f t="shared" ref="G80:H83" si="121">CN80</f>
        <v>Max Mz</v>
      </c>
      <c r="H80" s="6" t="e">
        <f t="shared" si="121"/>
        <v>#N/A</v>
      </c>
      <c r="I80" s="156"/>
      <c r="J80" s="10" t="e">
        <f t="shared" ref="J80:M83" si="122">(CP80)</f>
        <v>#N/A</v>
      </c>
      <c r="K80" s="10" t="e">
        <f t="shared" si="122"/>
        <v>#N/A</v>
      </c>
      <c r="L80" s="10" t="e">
        <f t="shared" si="122"/>
        <v>#N/A</v>
      </c>
      <c r="M80" s="10" t="e">
        <f t="shared" si="122"/>
        <v>#N/A</v>
      </c>
      <c r="N80" s="10" t="e">
        <f>IF(I80*J80&gt;=0,J80*$J$19+I80*$J$18,J80)</f>
        <v>#N/A</v>
      </c>
      <c r="O80" s="10" t="e">
        <f>(K80)*$J$19</f>
        <v>#N/A</v>
      </c>
      <c r="P80" s="14" t="e">
        <f>IF(I80*L80&gt;=0,(L80)+I80,L80)</f>
        <v>#N/A</v>
      </c>
      <c r="Q80" s="3" t="e">
        <f>(M80)</f>
        <v>#N/A</v>
      </c>
      <c r="R80" s="20">
        <f>CT80</f>
        <v>1000</v>
      </c>
      <c r="S80" s="23"/>
      <c r="T80" s="12">
        <v>40</v>
      </c>
      <c r="U80" s="28"/>
      <c r="V80" s="28"/>
      <c r="W80" s="12">
        <v>40</v>
      </c>
      <c r="X80" s="28"/>
      <c r="Y80" s="28"/>
      <c r="Z80" s="12"/>
      <c r="AA80" s="28"/>
      <c r="AB80" s="28"/>
      <c r="AC80" s="158"/>
      <c r="AD80" s="28"/>
      <c r="AE80" s="28"/>
      <c r="AF80" s="158"/>
      <c r="AG80" s="28"/>
      <c r="AH80" s="28"/>
      <c r="AI80" s="29"/>
      <c r="AJ80" s="6">
        <f>PI()/4*T80^2*$O$12/$AX$16</f>
        <v>8377.5804095727817</v>
      </c>
      <c r="AK80" s="28" t="str">
        <f>IF(W80=0,"","+")</f>
        <v>+</v>
      </c>
      <c r="AL80" s="6">
        <f>PI()/4*W80^2*$O$12/$AX$16</f>
        <v>8377.5804095727817</v>
      </c>
      <c r="AM80" s="28" t="str">
        <f>IF(Z80=0,"","+")</f>
        <v/>
      </c>
      <c r="AN80" s="6">
        <f>PI()/4*Z80^2*$O$12/$AX$16</f>
        <v>0</v>
      </c>
      <c r="AO80" s="28" t="str">
        <f>IF(AC80=0,"","+")</f>
        <v/>
      </c>
      <c r="AP80" s="6">
        <f>PI()/4*AC80^2*$O$12/$AX$16</f>
        <v>0</v>
      </c>
      <c r="AQ80" s="28" t="str">
        <f>IF(AF80=0,"","+")</f>
        <v/>
      </c>
      <c r="AR80" s="6">
        <f>PI()/4*AF80^2*$O$12/$AX$16</f>
        <v>0</v>
      </c>
      <c r="AS80" s="28" t="str">
        <f>IF(AI80=0,"","+")</f>
        <v/>
      </c>
      <c r="AT80" s="6">
        <f>PI()/4*AI80^2*$O$12/$AX$16</f>
        <v>0</v>
      </c>
      <c r="AU80" s="28" t="s">
        <v>24</v>
      </c>
      <c r="AV80" s="15">
        <f>VALUE(AJ80)+VALUE(AL80)+VALUE(AN80)+VALUE(AP80)+VALUE(AR80)+VALUE(AT80)</f>
        <v>16755.160819145563</v>
      </c>
      <c r="AW80" s="228">
        <f>MAX(0.3*$AJ$14^(2/3)/$AJ$16*0.26*100,0.13)</f>
        <v>0.15723814702688016</v>
      </c>
      <c r="AX80" s="6">
        <f>AW80/100*$O$12*BK80</f>
        <v>1347.5309200203631</v>
      </c>
      <c r="AY80" s="6"/>
      <c r="AZ80" s="6"/>
      <c r="BA80" s="24" t="str">
        <f>IF(BB80=0,"","+")</f>
        <v/>
      </c>
      <c r="BB80" s="24"/>
      <c r="BC80" s="28" t="s">
        <v>24</v>
      </c>
      <c r="BD80" s="15">
        <f>AX80+AZ80+BB80</f>
        <v>1347.5309200203631</v>
      </c>
      <c r="BE80" s="2">
        <f>(R80-($AX$14+$O$16+T80/2))</f>
        <v>897</v>
      </c>
      <c r="BF80" s="3">
        <f>IF(W80=0,0,(R80-($AX$14+T80/2+$O$16+$BI$16)))</f>
        <v>817</v>
      </c>
      <c r="BG80" s="3">
        <f>IF(Z80=0,0,(R80-($AX$14+T80/2+$BI$16+$O$16+$BI$17)))</f>
        <v>0</v>
      </c>
      <c r="BH80" s="3">
        <f>IF(AC80=0,0,(R80-($AX$14+T80/2+$O$16+$BI$16+$BI$17+$BI$18)))</f>
        <v>0</v>
      </c>
      <c r="BI80" s="3">
        <f>IF(AF80=0,0,(R80-($AX$14+T80/2+$O$16+$BI$16+$BI$17+$BI$18+$BL$16)))</f>
        <v>0</v>
      </c>
      <c r="BJ80" s="3">
        <f>IF(AI80=0,0,(R80-($AX$14+T80/2+$O$16+$BI$16+$BI$17+$BI$18+$BL$16+$BL$17)))</f>
        <v>0</v>
      </c>
      <c r="BK80" s="6">
        <f>(BE80*AJ80+BF80*AL80+BG80*AN80+BH80*AP80+BI80*AR80+BJ80*AT80)/AV80</f>
        <v>857</v>
      </c>
      <c r="BL80" s="175" t="e">
        <f>ABS(N80)*1000000/$O$12/BK80^2</f>
        <v>#N/A</v>
      </c>
      <c r="BM80" s="175" t="e">
        <f>BL80/$AJ$14</f>
        <v>#N/A</v>
      </c>
      <c r="BN80" s="21" t="e">
        <f>IF(BM80&lt;0.167,0.5+SQRT(0.25-(BM80/1.134)),0.82)</f>
        <v>#N/A</v>
      </c>
      <c r="BO80" s="15" t="e">
        <f>ABS(N80)/(0.87*$AJ$16*BN80*BK80)*10^6</f>
        <v>#N/A</v>
      </c>
      <c r="BP80" s="22">
        <v>372.97368194068787</v>
      </c>
      <c r="BQ80" s="175" t="e">
        <f>IF(Q80=0,2*ABS(P80*10^6)/$O$12/BP80/(BK80-BP80/3),Q80*BP80*1000/($O$12/2*BP80^2-(BE80-BP80)*AJ80*$AJ$18-(BF80-BP80)*AL80*$AJ$18-(BG80-BP80)*AN80*$AJ$18-(BH80-BP80)*AP80*$AJ$18-(BI80-BP80)*AR80*$AJ$18-(BJ80-BP80)*AT80*$AJ$18))</f>
        <v>#N/A</v>
      </c>
      <c r="BR80" s="3" t="e">
        <f>0.5*$O$12*BP80*BQ80 /1000</f>
        <v>#N/A</v>
      </c>
      <c r="BS80" s="3" t="e">
        <f>($BQ80/$BP80)*(BE80-$BP80)*$AJ$18*AJ80/1000</f>
        <v>#N/A</v>
      </c>
      <c r="BT80" s="3" t="e">
        <f>($BQ80/$BP80)*(BF80-$BP80)*$AJ$18*AL80/1000</f>
        <v>#N/A</v>
      </c>
      <c r="BU80" s="3" t="e">
        <f>($BQ80/$BP80)*(BG80-$BP80)*$AJ$18*AN80/1000</f>
        <v>#N/A</v>
      </c>
      <c r="BV80" s="3" t="e">
        <f>($BQ80/$BP80)*(BH80-$BP80)*$AJ$18*AP80/1000</f>
        <v>#N/A</v>
      </c>
      <c r="BW80" s="3" t="e">
        <f>($BQ80/$BP80)*(BI80-$BP80)*$AJ$18*AR80/1000</f>
        <v>#N/A</v>
      </c>
      <c r="BX80" s="3" t="e">
        <f>($BQ80/$BP80)*(BJ80-$BP80)*$AJ$18*AT80/1000</f>
        <v>#N/A</v>
      </c>
      <c r="BY80" s="175" t="e">
        <f>IF(Q80=0,0,(0.5*$O$12*BP80*BQ80/1000*(R80/2-$BP80/3)+BS80*(BE80-R80/2)+BT80*(BF80-R80/2)+BU80*(BG80-R80/2)+BV80*(BH80-R80/2)+BW80*(BI80-R80/2)+BX80*(BJ80-R80/2))/1000-ABS(P80))</f>
        <v>#N/A</v>
      </c>
      <c r="BZ80" s="10"/>
      <c r="CA80" s="176" t="e">
        <f>ABS(P80)/(BK80-BP80/3)/AV80*10^6-Q80*(R80/2-BP80/3)/(BK80-BP80/3)/AV80*1000</f>
        <v>#N/A</v>
      </c>
      <c r="CB80" s="177">
        <f>(AV80/($O$12*MIN(2.5*(R80-BK80),(R80-BP80)/3,R80/2)-AV80))</f>
        <v>8.7151344811723278E-2</v>
      </c>
      <c r="CC80" s="177">
        <f>3.4*($O$16+$AX$14)+0.425*0.8*0.5*(T80^2+W80^2+Z80^2+AC80^2+AF80^2+AI80^2)/(T80+W80+Z80+AC80+AF80+AI80)/CB80</f>
        <v>360.22518727267288</v>
      </c>
      <c r="CD80" s="177" t="e">
        <f>MAX(0.6*CA80/$AJ$17,(CA80-0.4*0.3*$AJ$14^(2/3)/CB80*(1+$AJ$17/$AJ$15*CB80))/$AJ$17)</f>
        <v>#N/A</v>
      </c>
      <c r="CE80" s="178" t="e">
        <f>CC80*CD80/1000</f>
        <v>#N/A</v>
      </c>
      <c r="CF80" s="23" t="e">
        <f>IF(AND(AV80&gt;=BD80,AV80&gt;=BO80,CE80&lt;=(+IF(CO80="External",0.25,0.3))),"O.K", "Not O.K")</f>
        <v>#N/A</v>
      </c>
      <c r="CG80" s="28"/>
      <c r="CH80" s="179" t="e">
        <f>IF(O80&lt;0.2*$AJ$14*R80*$O$12/1000,"N &lt; 0.2fckAc - OK!","TBA")</f>
        <v>#N/A</v>
      </c>
      <c r="CI80" s="24">
        <v>114</v>
      </c>
      <c r="CJ80" s="25"/>
      <c r="CK80" s="6" t="e">
        <f t="shared" si="35"/>
        <v>#N/A</v>
      </c>
      <c r="CL80" s="8" t="s">
        <v>72</v>
      </c>
      <c r="CM80" s="6" t="e">
        <f t="shared" si="36"/>
        <v>#N/A</v>
      </c>
      <c r="CN80" s="26" t="s">
        <v>147</v>
      </c>
      <c r="CO80" s="15" t="e">
        <f>IF(VLOOKUP(CI80,'Summary-input'!A:C,3,0)="Outward",
IF(CP80&lt;0,"External","Internal"),
IF(CP80&lt;0,"Internal","External")
)</f>
        <v>#N/A</v>
      </c>
      <c r="CP80" t="e">
        <f>VLOOKUP(CI80&amp;CN80,'Summary-output-ULS'!A:G,6,0)</f>
        <v>#N/A</v>
      </c>
      <c r="CQ80" t="e">
        <f>VLOOKUP(CI80&amp;CN80,'Summary-output-ULS'!A:G,7,0)</f>
        <v>#N/A</v>
      </c>
      <c r="CR80" s="3" t="e">
        <f>VLOOKUP(CI80&amp;CN80,'Summary-output-SLS'!A:G,6,0)</f>
        <v>#N/A</v>
      </c>
      <c r="CS80" s="3" t="e">
        <f>VLOOKUP(CI80&amp;CN80,'Summary-output-SLS'!A:G,7,0)</f>
        <v>#N/A</v>
      </c>
      <c r="CT80" s="20">
        <v>1000</v>
      </c>
      <c r="CU80" s="2" t="e">
        <f>VLOOKUP(CI80&amp;CN80,'Summary-output-ULS'!A:G,5,0)</f>
        <v>#N/A</v>
      </c>
      <c r="CV80" s="15" t="e">
        <f>VLOOKUP(CI80&amp;CN80,'Summary-output-SLS'!A:G,5,0)</f>
        <v>#N/A</v>
      </c>
      <c r="CW80" s="6"/>
      <c r="CX80" s="278">
        <f>CI80</f>
        <v>114</v>
      </c>
      <c r="CY80" s="6" t="e">
        <f t="shared" ref="CY80:DD80" si="123">MAX(DN80:DN83)</f>
        <v>#N/A</v>
      </c>
      <c r="CZ80" s="6" t="e">
        <f t="shared" si="123"/>
        <v>#N/A</v>
      </c>
      <c r="DA80" s="6" t="e">
        <f t="shared" si="123"/>
        <v>#N/A</v>
      </c>
      <c r="DB80" s="6" t="e">
        <f t="shared" si="123"/>
        <v>#N/A</v>
      </c>
      <c r="DC80" s="6" t="e">
        <f t="shared" si="123"/>
        <v>#N/A</v>
      </c>
      <c r="DD80" s="6" t="e">
        <f t="shared" si="123"/>
        <v>#N/A</v>
      </c>
      <c r="DE80" s="6"/>
      <c r="DF80" s="6" t="e">
        <f t="shared" ref="DF80:DK80" si="124">MAX(DU80:DU83)</f>
        <v>#N/A</v>
      </c>
      <c r="DG80" s="6" t="e">
        <f t="shared" si="124"/>
        <v>#N/A</v>
      </c>
      <c r="DH80" s="6" t="e">
        <f t="shared" si="124"/>
        <v>#N/A</v>
      </c>
      <c r="DI80" s="6" t="e">
        <f t="shared" si="124"/>
        <v>#N/A</v>
      </c>
      <c r="DJ80" s="6" t="e">
        <f t="shared" si="124"/>
        <v>#N/A</v>
      </c>
      <c r="DK80" s="6" t="e">
        <f t="shared" si="124"/>
        <v>#N/A</v>
      </c>
      <c r="DL80" s="13"/>
      <c r="DM80" s="202">
        <f>CI80</f>
        <v>114</v>
      </c>
      <c r="DN80" s="206" t="e">
        <f>IF(CO80="external",T80,0)</f>
        <v>#N/A</v>
      </c>
      <c r="DO80" s="206" t="e">
        <f>IF(CO80="external",W80,0)</f>
        <v>#N/A</v>
      </c>
      <c r="DP80" s="206" t="e">
        <f>IF(CO80="external",Z80,0)</f>
        <v>#N/A</v>
      </c>
      <c r="DQ80" s="206" t="e">
        <f>IF(CO80="external",AC80,0)</f>
        <v>#N/A</v>
      </c>
      <c r="DR80" s="206" t="e">
        <f>IF(CO80="external",AF80,0)</f>
        <v>#N/A</v>
      </c>
      <c r="DS80" s="207" t="e">
        <f>IF(CO80="external",AI80,0)</f>
        <v>#N/A</v>
      </c>
      <c r="DT80" s="208"/>
      <c r="DU80" s="207" t="e">
        <f>IF(CO80="internal",T80,0)</f>
        <v>#N/A</v>
      </c>
      <c r="DV80" s="207" t="e">
        <f>IF(CO80="internal",W80,0)</f>
        <v>#N/A</v>
      </c>
      <c r="DW80" s="207" t="e">
        <f>IF(CO80="internal",Z80,0)</f>
        <v>#N/A</v>
      </c>
      <c r="DX80" s="207" t="e">
        <f>IF(CO80="internal",AC80,0)</f>
        <v>#N/A</v>
      </c>
      <c r="DY80" s="207" t="e">
        <f>IF(CO80="internal",AF80,0)</f>
        <v>#N/A</v>
      </c>
      <c r="DZ80" s="207" t="e">
        <f>IF(CO80="internal",AI80,0)</f>
        <v>#N/A</v>
      </c>
    </row>
    <row r="81" spans="1:130" s="7" customFormat="1" x14ac:dyDescent="0.3">
      <c r="B81" s="19">
        <f>+CI81</f>
        <v>114</v>
      </c>
      <c r="C81" s="6">
        <f t="shared" si="120"/>
        <v>0</v>
      </c>
      <c r="D81" s="6" t="e">
        <f t="shared" si="120"/>
        <v>#N/A</v>
      </c>
      <c r="E81" s="6" t="str">
        <f t="shared" si="120"/>
        <v>--</v>
      </c>
      <c r="F81" s="6" t="e">
        <f>+CM81</f>
        <v>#N/A</v>
      </c>
      <c r="G81" s="174" t="str">
        <f t="shared" si="121"/>
        <v>Min Mz</v>
      </c>
      <c r="H81" s="6" t="e">
        <f t="shared" si="121"/>
        <v>#N/A</v>
      </c>
      <c r="I81" s="156"/>
      <c r="J81" s="10" t="e">
        <f t="shared" si="122"/>
        <v>#N/A</v>
      </c>
      <c r="K81" s="10" t="e">
        <f t="shared" si="122"/>
        <v>#N/A</v>
      </c>
      <c r="L81" s="10" t="e">
        <f t="shared" si="122"/>
        <v>#N/A</v>
      </c>
      <c r="M81" s="10" t="e">
        <f t="shared" si="122"/>
        <v>#N/A</v>
      </c>
      <c r="N81" s="10" t="e">
        <f>IF(I81*J81&gt;=0,J81*$J$19+I81*$J$18,J81)</f>
        <v>#N/A</v>
      </c>
      <c r="O81" s="10" t="e">
        <f>(K81)*$J$19</f>
        <v>#N/A</v>
      </c>
      <c r="P81" s="14" t="e">
        <f>IF(I81*L81&gt;=0,(L81)+I81,L81)</f>
        <v>#N/A</v>
      </c>
      <c r="Q81" s="3" t="e">
        <f>(M81)</f>
        <v>#N/A</v>
      </c>
      <c r="R81" s="20">
        <f t="shared" ref="R81:R88" si="125">CT81</f>
        <v>1000</v>
      </c>
      <c r="S81" s="23"/>
      <c r="T81" s="12">
        <v>20</v>
      </c>
      <c r="U81" s="28"/>
      <c r="V81" s="28"/>
      <c r="W81" s="12"/>
      <c r="X81" s="28"/>
      <c r="Y81" s="28"/>
      <c r="Z81" s="12"/>
      <c r="AA81" s="28"/>
      <c r="AB81" s="28"/>
      <c r="AC81" s="158"/>
      <c r="AD81" s="28"/>
      <c r="AE81" s="28"/>
      <c r="AF81" s="158"/>
      <c r="AG81" s="28"/>
      <c r="AH81" s="28"/>
      <c r="AI81" s="29"/>
      <c r="AJ81" s="6">
        <f>PI()/4*T81^2*$O$12/$AX$16</f>
        <v>2094.3951023931954</v>
      </c>
      <c r="AK81" s="28" t="str">
        <f>IF(W81=0,"","+")</f>
        <v/>
      </c>
      <c r="AL81" s="6">
        <f>PI()/4*W81^2*$O$12/$AX$16</f>
        <v>0</v>
      </c>
      <c r="AM81" s="28" t="str">
        <f>IF(Z81=0,"","+")</f>
        <v/>
      </c>
      <c r="AN81" s="6">
        <f>PI()/4*Z81^2*$O$12/$AX$16</f>
        <v>0</v>
      </c>
      <c r="AO81" s="28" t="str">
        <f>IF(AC81=0,"","+")</f>
        <v/>
      </c>
      <c r="AP81" s="6">
        <f>PI()/4*AC81^2*$O$12/$AX$16</f>
        <v>0</v>
      </c>
      <c r="AQ81" s="28" t="str">
        <f>IF(AF81=0,"","+")</f>
        <v/>
      </c>
      <c r="AR81" s="6">
        <f>PI()/4*AF81^2*$O$12/$AX$16</f>
        <v>0</v>
      </c>
      <c r="AS81" s="28" t="str">
        <f>IF(AI81=0,"","+")</f>
        <v/>
      </c>
      <c r="AT81" s="6">
        <f>PI()/4*AI81^2*$O$12/$AX$16</f>
        <v>0</v>
      </c>
      <c r="AU81" s="28" t="s">
        <v>24</v>
      </c>
      <c r="AV81" s="15">
        <f>VALUE(AJ81)+VALUE(AL81)+VALUE(AN81)+VALUE(AP81)+VALUE(AR81)+VALUE(AT81)</f>
        <v>2094.3951023931954</v>
      </c>
      <c r="AW81" s="228">
        <f>MAX(0.3*$AJ$14^(2/3)/$AJ$16*0.26*100,0.13)</f>
        <v>0.15723814702688016</v>
      </c>
      <c r="AX81" s="6">
        <f>AW81/100*$O$12*BK81</f>
        <v>1426.1499935338031</v>
      </c>
      <c r="AY81" s="6"/>
      <c r="AZ81" s="6"/>
      <c r="BA81" s="24" t="str">
        <f>IF(BB81=0,"","+")</f>
        <v/>
      </c>
      <c r="BB81" s="24"/>
      <c r="BC81" s="28" t="s">
        <v>24</v>
      </c>
      <c r="BD81" s="15">
        <f>AX81+AZ81+BB81</f>
        <v>1426.1499935338031</v>
      </c>
      <c r="BE81" s="2">
        <f>(R81-($AX$14+$O$16+T81/2))</f>
        <v>907</v>
      </c>
      <c r="BF81" s="3">
        <f>IF(W81=0,0,(R81-($AX$14+T81/2+$O$16+$BI$16)))</f>
        <v>0</v>
      </c>
      <c r="BG81" s="3">
        <f>IF(Z81=0,0,(R81-($AX$14+T81/2+$BI$16+$O$16+$BI$17)))</f>
        <v>0</v>
      </c>
      <c r="BH81" s="3">
        <f>IF(AC81=0,0,(R81-($AX$14+T81/2+$O$16+$BI$16+$BI$17+$BI$18)))</f>
        <v>0</v>
      </c>
      <c r="BI81" s="3">
        <f>IF(AF81=0,0,(R81-($AX$14+T81/2+$O$16+$BI$16+$BI$17+$BI$18+$BL$16)))</f>
        <v>0</v>
      </c>
      <c r="BJ81" s="3">
        <f>IF(AI81=0,0,(R81-($AX$14+T81/2+$O$16+$BI$16+$BI$17+$BI$18+$BL$16+$BL$17)))</f>
        <v>0</v>
      </c>
      <c r="BK81" s="6">
        <f>(BE81*AJ81+BF81*AL81+BG81*AN81+BH81*AP81+BI81*AR81+BJ81*AT81)/AV81</f>
        <v>907</v>
      </c>
      <c r="BL81" s="175" t="e">
        <f>ABS(N81)*1000000/$O$12/BK81^2</f>
        <v>#N/A</v>
      </c>
      <c r="BM81" s="175" t="e">
        <f>BL81/$AJ$14</f>
        <v>#N/A</v>
      </c>
      <c r="BN81" s="21" t="e">
        <f>IF(BM81&lt;0.167,0.5+SQRT(0.25-(BM81/1.134)),0.82)</f>
        <v>#N/A</v>
      </c>
      <c r="BO81" s="15" t="e">
        <f>ABS(N81)/(0.87*$AJ$16*BN81*BK81)*10^6</f>
        <v>#N/A</v>
      </c>
      <c r="BP81" s="22">
        <v>2537.9543261818189</v>
      </c>
      <c r="BQ81" s="175" t="e">
        <f>IF(Q81=0,2*ABS(P81*10^6)/$O$12/BP81/(BK81-BP81/3),Q81*BP81*1000/($O$12/2*BP81^2-(BE81-BP81)*AJ81*$AJ$18-(BF81-BP81)*AL81*$AJ$18-(BG81-BP81)*AN81*$AJ$18-(BH81-BP81)*AP81*$AJ$18-(BI81-BP81)*AR81*$AJ$18-(BJ81-BP81)*AT81*$AJ$18))</f>
        <v>#N/A</v>
      </c>
      <c r="BR81" s="3" t="e">
        <f>0.5*$O$12*BP81*BQ81 /1000</f>
        <v>#N/A</v>
      </c>
      <c r="BS81" s="3" t="e">
        <f>($BQ81/$BP81)*(BE81-$BP81)*$AJ$18*AJ81/1000</f>
        <v>#N/A</v>
      </c>
      <c r="BT81" s="3" t="e">
        <f>($BQ81/$BP81)*(BF81-$BP81)*$AJ$18*AL81/1000</f>
        <v>#N/A</v>
      </c>
      <c r="BU81" s="3" t="e">
        <f>($BQ81/$BP81)*(BG81-$BP81)*$AJ$18*AN81/1000</f>
        <v>#N/A</v>
      </c>
      <c r="BV81" s="3" t="e">
        <f>($BQ81/$BP81)*(BH81-$BP81)*$AJ$18*AP81/1000</f>
        <v>#N/A</v>
      </c>
      <c r="BW81" s="3" t="e">
        <f>($BQ81/$BP81)*(BI81-$BP81)*$AJ$18*AR81/1000</f>
        <v>#N/A</v>
      </c>
      <c r="BX81" s="3" t="e">
        <f>($BQ81/$BP81)*(BJ81-$BP81)*$AJ$18*AT81/1000</f>
        <v>#N/A</v>
      </c>
      <c r="BY81" s="175" t="e">
        <f>IF(Q81=0,0,(0.5*$O$12*BP81*BQ81/1000*(R81/2-$BP81/3)+BS81*(BE81-R81/2)+BT81*(BF81-R81/2)+BU81*(BG81-R81/2)+BV81*(BH81-R81/2)+BW81*(BI81-R81/2)+BX81*(BJ81-R81/2))/1000-ABS(P81))</f>
        <v>#N/A</v>
      </c>
      <c r="BZ81" s="10"/>
      <c r="CA81" s="176" t="e">
        <f>ABS(P81)/(BK81-BP81/3)/AV81*10^6-Q81*(R81/2-BP81/3)/(BK81-BP81/3)/AV81*1000</f>
        <v>#N/A</v>
      </c>
      <c r="CB81" s="177">
        <f>(AV81/($O$12*MIN(2.5*(R81-BK81),(R81-BP81)/3,R81/2)-AV81))</f>
        <v>-4.0687946384110026E-3</v>
      </c>
      <c r="CC81" s="177">
        <f>3.4*($O$16+$AX$14)+0.425*0.8*0.5*(T81^2+W81^2+Z81^2+AC81^2+AF81^2+AI81^2)/(T81+W81+Z81+AC81+AF81+AI81)/CB81</f>
        <v>-553.42831308876566</v>
      </c>
      <c r="CD81" s="177" t="e">
        <f>MAX(0.6*CA81/$AJ$17,(CA81-0.4*0.3*$AJ$14^(2/3)/CB81*(1+$AJ$17/$AJ$15*CB81))/$AJ$17)</f>
        <v>#N/A</v>
      </c>
      <c r="CE81" s="178" t="e">
        <f>CC81*CD81/1000</f>
        <v>#N/A</v>
      </c>
      <c r="CF81" s="23" t="e">
        <f>IF(AND(AV81&gt;=BD81,AV81&gt;=BO81,CE81&lt;=(+IF(CO81="External",0.25,0.3))),"O.K", "Not O.K")</f>
        <v>#N/A</v>
      </c>
      <c r="CG81" s="28"/>
      <c r="CH81" s="179" t="e">
        <f>IF(O81&lt;0.2*$AJ$14*R81*$O$12/1000,"N &lt; 0.2fckAc - OK!","TBA")</f>
        <v>#N/A</v>
      </c>
      <c r="CI81" s="24">
        <v>114</v>
      </c>
      <c r="CJ81" s="25"/>
      <c r="CK81" s="6" t="e">
        <f t="shared" si="35"/>
        <v>#N/A</v>
      </c>
      <c r="CL81" s="8" t="s">
        <v>72</v>
      </c>
      <c r="CM81" s="6" t="e">
        <f t="shared" si="36"/>
        <v>#N/A</v>
      </c>
      <c r="CN81" s="26" t="s">
        <v>148</v>
      </c>
      <c r="CO81" s="15" t="e">
        <f>IF(VLOOKUP(CI81,'Summary-input'!A:C,3,0)="Outward",
IF(CP81&lt;0,"External","Internal"),
IF(CP81&lt;0,"Internal","External")
)</f>
        <v>#N/A</v>
      </c>
      <c r="CP81" t="e">
        <f>VLOOKUP(CI81&amp;CN81,'Summary-output-ULS'!A:G,6,0)</f>
        <v>#N/A</v>
      </c>
      <c r="CQ81" t="e">
        <f>VLOOKUP(CI81&amp;CN81,'Summary-output-ULS'!A:G,7,0)</f>
        <v>#N/A</v>
      </c>
      <c r="CR81" s="3" t="e">
        <f>VLOOKUP(CI81&amp;CN81,'Summary-output-SLS'!A:G,6,0)</f>
        <v>#N/A</v>
      </c>
      <c r="CS81" s="3" t="e">
        <f>VLOOKUP(CI81&amp;CN81,'Summary-output-SLS'!A:G,7,0)</f>
        <v>#N/A</v>
      </c>
      <c r="CT81" s="20">
        <v>1000</v>
      </c>
      <c r="CU81" s="2" t="e">
        <f>VLOOKUP(CI81&amp;CN81,'Summary-output-ULS'!A:G,5,0)</f>
        <v>#N/A</v>
      </c>
      <c r="CV81" s="15" t="e">
        <f>VLOOKUP(CI81&amp;CN81,'Summary-output-SLS'!A:G,5,0)</f>
        <v>#N/A</v>
      </c>
      <c r="CW81" s="6"/>
      <c r="CX81" s="278"/>
      <c r="CY81" s="6"/>
      <c r="CZ81" s="6"/>
      <c r="DA81" s="6"/>
      <c r="DB81" s="6"/>
      <c r="DC81" s="6"/>
      <c r="DD81" s="6"/>
      <c r="DE81" s="6"/>
      <c r="DF81" s="6"/>
      <c r="DG81" s="6"/>
      <c r="DH81" s="6"/>
      <c r="DI81" s="6"/>
      <c r="DJ81" s="212"/>
      <c r="DK81" s="13"/>
      <c r="DL81" s="13"/>
      <c r="DM81" s="202"/>
      <c r="DN81" s="206" t="e">
        <f>IF(CO81="external",T81,0)</f>
        <v>#N/A</v>
      </c>
      <c r="DO81" s="206" t="e">
        <f>IF(CO81="external",W81,0)</f>
        <v>#N/A</v>
      </c>
      <c r="DP81" s="206" t="e">
        <f>IF(CO81="external",Z81,0)</f>
        <v>#N/A</v>
      </c>
      <c r="DQ81" s="206" t="e">
        <f>IF(CO81="external",AC81,0)</f>
        <v>#N/A</v>
      </c>
      <c r="DR81" s="206" t="e">
        <f>IF(CO81="external",AF81,0)</f>
        <v>#N/A</v>
      </c>
      <c r="DS81" s="207" t="e">
        <f>IF(CO81="external",AI81,0)</f>
        <v>#N/A</v>
      </c>
      <c r="DT81" s="208"/>
      <c r="DU81" s="207" t="e">
        <f>IF(CO81="internal",T81,0)</f>
        <v>#N/A</v>
      </c>
      <c r="DV81" s="207" t="e">
        <f>IF(CO81="internal",W81,0)</f>
        <v>#N/A</v>
      </c>
      <c r="DW81" s="207" t="e">
        <f>IF(CO81="internal",Z81,0)</f>
        <v>#N/A</v>
      </c>
      <c r="DX81" s="207" t="e">
        <f>IF(CO81="internal",AC81,0)</f>
        <v>#N/A</v>
      </c>
      <c r="DY81" s="207" t="e">
        <f>IF(CO81="internal",AF81,0)</f>
        <v>#N/A</v>
      </c>
      <c r="DZ81" s="207" t="e">
        <f>IF(CO81="internal",AI81,0)</f>
        <v>#N/A</v>
      </c>
    </row>
    <row r="82" spans="1:130" s="7" customFormat="1" x14ac:dyDescent="0.3">
      <c r="B82" s="19">
        <f>+CI82</f>
        <v>114</v>
      </c>
      <c r="C82" s="6">
        <f t="shared" si="120"/>
        <v>0</v>
      </c>
      <c r="D82" s="6" t="e">
        <f t="shared" si="120"/>
        <v>#N/A</v>
      </c>
      <c r="E82" s="6" t="str">
        <f t="shared" si="120"/>
        <v>--</v>
      </c>
      <c r="F82" s="6" t="e">
        <f>+CM82</f>
        <v>#N/A</v>
      </c>
      <c r="G82" s="174" t="str">
        <f t="shared" si="121"/>
        <v>Max Fx</v>
      </c>
      <c r="H82" s="6" t="e">
        <f t="shared" si="121"/>
        <v>#N/A</v>
      </c>
      <c r="I82" s="156"/>
      <c r="J82" s="10" t="e">
        <f t="shared" si="122"/>
        <v>#N/A</v>
      </c>
      <c r="K82" s="10" t="e">
        <f t="shared" si="122"/>
        <v>#N/A</v>
      </c>
      <c r="L82" s="10" t="e">
        <f t="shared" si="122"/>
        <v>#N/A</v>
      </c>
      <c r="M82" s="10" t="e">
        <f t="shared" si="122"/>
        <v>#N/A</v>
      </c>
      <c r="N82" s="10" t="e">
        <f>IF(I82*J82&gt;=0,J82*$J$19+I82*$J$18,J82)</f>
        <v>#N/A</v>
      </c>
      <c r="O82" s="10" t="e">
        <f>(K82)*$J$19</f>
        <v>#N/A</v>
      </c>
      <c r="P82" s="14" t="e">
        <f>IF(I82*L82&gt;=0,(L82)+I82,L82)</f>
        <v>#N/A</v>
      </c>
      <c r="Q82" s="3" t="e">
        <f>(M82)</f>
        <v>#N/A</v>
      </c>
      <c r="R82" s="20">
        <f t="shared" si="125"/>
        <v>1000</v>
      </c>
      <c r="S82" s="23"/>
      <c r="T82" s="12">
        <v>40</v>
      </c>
      <c r="U82" s="28"/>
      <c r="V82" s="28"/>
      <c r="W82" s="12"/>
      <c r="X82" s="28"/>
      <c r="Y82" s="28"/>
      <c r="Z82" s="12"/>
      <c r="AA82" s="28"/>
      <c r="AB82" s="28"/>
      <c r="AC82" s="158"/>
      <c r="AD82" s="28"/>
      <c r="AE82" s="28"/>
      <c r="AF82" s="158"/>
      <c r="AG82" s="28"/>
      <c r="AH82" s="28"/>
      <c r="AI82" s="29"/>
      <c r="AJ82" s="6">
        <f>PI()/4*T82^2*$O$12/$AX$16</f>
        <v>8377.5804095727817</v>
      </c>
      <c r="AK82" s="28" t="str">
        <f>IF(W82=0,"","+")</f>
        <v/>
      </c>
      <c r="AL82" s="6">
        <f>PI()/4*W82^2*$O$12/$AX$16</f>
        <v>0</v>
      </c>
      <c r="AM82" s="28" t="str">
        <f>IF(Z82=0,"","+")</f>
        <v/>
      </c>
      <c r="AN82" s="6">
        <f>PI()/4*Z82^2*$O$12/$AX$16</f>
        <v>0</v>
      </c>
      <c r="AO82" s="28" t="str">
        <f>IF(AC82=0,"","+")</f>
        <v/>
      </c>
      <c r="AP82" s="6">
        <f>PI()/4*AC82^2*$O$12/$AX$16</f>
        <v>0</v>
      </c>
      <c r="AQ82" s="28" t="str">
        <f>IF(AF82=0,"","+")</f>
        <v/>
      </c>
      <c r="AR82" s="6">
        <f>PI()/4*AF82^2*$O$12/$AX$16</f>
        <v>0</v>
      </c>
      <c r="AS82" s="28" t="str">
        <f>IF(AI82=0,"","+")</f>
        <v/>
      </c>
      <c r="AT82" s="6">
        <f>PI()/4*AI82^2*$O$12/$AX$16</f>
        <v>0</v>
      </c>
      <c r="AU82" s="28" t="s">
        <v>24</v>
      </c>
      <c r="AV82" s="15">
        <f>VALUE(AJ82)+VALUE(AL82)+VALUE(AN82)+VALUE(AP82)+VALUE(AR82)+VALUE(AT82)</f>
        <v>8377.5804095727817</v>
      </c>
      <c r="AW82" s="228">
        <f>MAX(0.3*$AJ$14^(2/3)/$AJ$16*0.26*100,0.13)</f>
        <v>0.15723814702688016</v>
      </c>
      <c r="AX82" s="6">
        <f>AW82/100*$O$12*BK82</f>
        <v>1410.4261788311151</v>
      </c>
      <c r="AY82" s="6"/>
      <c r="AZ82" s="6"/>
      <c r="BA82" s="24" t="str">
        <f>IF(BB82=0,"","+")</f>
        <v/>
      </c>
      <c r="BB82" s="24"/>
      <c r="BC82" s="28" t="s">
        <v>24</v>
      </c>
      <c r="BD82" s="15">
        <f>AX82+AZ82+BB82</f>
        <v>1410.4261788311151</v>
      </c>
      <c r="BE82" s="2">
        <f>(R82-($AX$14+$O$16+T82/2))</f>
        <v>897</v>
      </c>
      <c r="BF82" s="3">
        <f>IF(W82=0,0,(R82-($AX$14+T82/2+$O$16+$BI$16)))</f>
        <v>0</v>
      </c>
      <c r="BG82" s="3">
        <f>IF(Z82=0,0,(R82-($AX$14+T82/2+$BI$16+$O$16+$BI$17)))</f>
        <v>0</v>
      </c>
      <c r="BH82" s="3">
        <f>IF(AC82=0,0,(R82-($AX$14+T82/2+$O$16+$BI$16+$BI$17+$BI$18)))</f>
        <v>0</v>
      </c>
      <c r="BI82" s="3">
        <f>IF(AF82=0,0,(R82-($AX$14+T82/2+$O$16+$BI$16+$BI$17+$BI$18+$BL$16)))</f>
        <v>0</v>
      </c>
      <c r="BJ82" s="3">
        <f>IF(AI82=0,0,(R82-($AX$14+T82/2+$O$16+$BI$16+$BI$17+$BI$18+$BL$16+$BL$17)))</f>
        <v>0</v>
      </c>
      <c r="BK82" s="6">
        <f>(BE82*AJ82+BF82*AL82+BG82*AN82+BH82*AP82+BI82*AR82+BJ82*AT82)/AV82</f>
        <v>897</v>
      </c>
      <c r="BL82" s="175" t="e">
        <f>ABS(N82)*1000000/$O$12/BK82^2</f>
        <v>#N/A</v>
      </c>
      <c r="BM82" s="175" t="e">
        <f>BL82/$AJ$14</f>
        <v>#N/A</v>
      </c>
      <c r="BN82" s="21" t="e">
        <f>IF(BM82&lt;0.167,0.5+SQRT(0.25-(BM82/1.134)),0.82)</f>
        <v>#N/A</v>
      </c>
      <c r="BO82" s="15" t="e">
        <f>ABS(N82)/(0.87*$AJ$16*BN82*BK82)*10^6</f>
        <v>#N/A</v>
      </c>
      <c r="BP82" s="22">
        <v>4815.941819567417</v>
      </c>
      <c r="BQ82" s="175" t="e">
        <f>IF(Q82=0,2*ABS(P82*10^6)/$O$12/BP82/(BK82-BP82/3),Q82*BP82*1000/($O$12/2*BP82^2-(BE82-BP82)*AJ82*$AJ$18-(BF82-BP82)*AL82*$AJ$18-(BG82-BP82)*AN82*$AJ$18-(BH82-BP82)*AP82*$AJ$18-(BI82-BP82)*AR82*$AJ$18-(BJ82-BP82)*AT82*$AJ$18))</f>
        <v>#N/A</v>
      </c>
      <c r="BR82" s="3" t="e">
        <f>0.5*$O$12*BP82*BQ82 /1000</f>
        <v>#N/A</v>
      </c>
      <c r="BS82" s="3" t="e">
        <f>($BQ82/$BP82)*(BE82-$BP82)*$AJ$18*AJ82/1000</f>
        <v>#N/A</v>
      </c>
      <c r="BT82" s="3" t="e">
        <f>($BQ82/$BP82)*(BF82-$BP82)*$AJ$18*AL82/1000</f>
        <v>#N/A</v>
      </c>
      <c r="BU82" s="3" t="e">
        <f>($BQ82/$BP82)*(BG82-$BP82)*$AJ$18*AN82/1000</f>
        <v>#N/A</v>
      </c>
      <c r="BV82" s="3" t="e">
        <f>($BQ82/$BP82)*(BH82-$BP82)*$AJ$18*AP82/1000</f>
        <v>#N/A</v>
      </c>
      <c r="BW82" s="3" t="e">
        <f>($BQ82/$BP82)*(BI82-$BP82)*$AJ$18*AR82/1000</f>
        <v>#N/A</v>
      </c>
      <c r="BX82" s="3" t="e">
        <f>($BQ82/$BP82)*(BJ82-$BP82)*$AJ$18*AT82/1000</f>
        <v>#N/A</v>
      </c>
      <c r="BY82" s="175" t="e">
        <f>IF(Q82=0,0,(0.5*$O$12*BP82*BQ82/1000*(R82/2-$BP82/3)+BS82*(BE82-R82/2)+BT82*(BF82-R82/2)+BU82*(BG82-R82/2)+BV82*(BH82-R82/2)+BW82*(BI82-R82/2)+BX82*(BJ82-R82/2))/1000-ABS(P82))</f>
        <v>#N/A</v>
      </c>
      <c r="BZ82" s="10"/>
      <c r="CA82" s="176" t="e">
        <f>ABS(P82)/(BK82-BP82/3)/AV82*10^6-Q82*(R82/2-BP82/3)/(BK82-BP82/3)/AV82*1000</f>
        <v>#N/A</v>
      </c>
      <c r="CB82" s="177">
        <f>(AV82/($O$12*MIN(2.5*(R82-BK82),(R82-BP82)/3,R82/2)-AV82))</f>
        <v>-6.5431537011114696E-3</v>
      </c>
      <c r="CC82" s="177">
        <f>3.4*($O$16+$AX$14)+0.425*0.8*0.5*(T82^2+W82^2+Z82^2+AC82^2+AF82^2+AI82^2)/(T82+W82+Z82+AC82+AF82+AI82)/CB82</f>
        <v>-757.0542053299007</v>
      </c>
      <c r="CD82" s="177" t="e">
        <f>MAX(0.6*CA82/$AJ$17,(CA82-0.4*0.3*$AJ$14^(2/3)/CB82*(1+$AJ$17/$AJ$15*CB82))/$AJ$17)</f>
        <v>#N/A</v>
      </c>
      <c r="CE82" s="178" t="e">
        <f>CC82*CD82/1000</f>
        <v>#N/A</v>
      </c>
      <c r="CF82" s="23" t="e">
        <f>IF(AND(AV82&gt;=BD82,AV82&gt;=BO82,CE82&lt;=(+IF(CO82="External",0.25,0.3))),"O.K", "Not O.K")</f>
        <v>#N/A</v>
      </c>
      <c r="CG82" s="28"/>
      <c r="CH82" s="179" t="e">
        <f>IF(O82&lt;0.2*$AJ$14*R82*$O$12/1000,"N &lt; 0.2fckAc - OK!","TBA")</f>
        <v>#N/A</v>
      </c>
      <c r="CI82" s="24">
        <v>114</v>
      </c>
      <c r="CJ82" s="25"/>
      <c r="CK82" s="6" t="e">
        <f t="shared" si="35"/>
        <v>#N/A</v>
      </c>
      <c r="CL82" s="8" t="s">
        <v>72</v>
      </c>
      <c r="CM82" s="6" t="e">
        <f t="shared" si="36"/>
        <v>#N/A</v>
      </c>
      <c r="CN82" s="26" t="s">
        <v>145</v>
      </c>
      <c r="CO82" s="15" t="e">
        <f>IF(VLOOKUP(CI82,'Summary-input'!A:C,3,0)="Outward",
IF(CP82&lt;0,"External","Internal"),
IF(CP82&lt;0,"Internal","External")
)</f>
        <v>#N/A</v>
      </c>
      <c r="CP82" t="e">
        <f>VLOOKUP(CI82&amp;CN82,'Summary-output-ULS'!A:G,6,0)</f>
        <v>#N/A</v>
      </c>
      <c r="CQ82" t="e">
        <f>VLOOKUP(CI82&amp;CN82,'Summary-output-ULS'!A:G,7,0)</f>
        <v>#N/A</v>
      </c>
      <c r="CR82" s="3" t="e">
        <f>VLOOKUP(CI82&amp;CN82,'Summary-output-SLS'!A:G,6,0)</f>
        <v>#N/A</v>
      </c>
      <c r="CS82" s="3" t="e">
        <f>VLOOKUP(CI82&amp;CN82,'Summary-output-SLS'!A:G,7,0)</f>
        <v>#N/A</v>
      </c>
      <c r="CT82" s="20">
        <v>1000</v>
      </c>
      <c r="CU82" s="2" t="e">
        <f>VLOOKUP(CI82&amp;CN82,'Summary-output-ULS'!A:G,5,0)</f>
        <v>#N/A</v>
      </c>
      <c r="CV82" s="15" t="e">
        <f>VLOOKUP(CI82&amp;CN82,'Summary-output-SLS'!A:G,5,0)</f>
        <v>#N/A</v>
      </c>
      <c r="CW82" s="6"/>
      <c r="CX82" s="278"/>
      <c r="CY82" s="6"/>
      <c r="CZ82" s="6"/>
      <c r="DA82" s="6"/>
      <c r="DB82" s="6"/>
      <c r="DC82" s="6"/>
      <c r="DD82" s="6"/>
      <c r="DE82" s="6"/>
      <c r="DF82" s="6"/>
      <c r="DG82" s="6"/>
      <c r="DH82" s="6"/>
      <c r="DI82" s="6"/>
      <c r="DJ82" s="212"/>
      <c r="DK82" s="13"/>
      <c r="DL82" s="13"/>
      <c r="DM82" s="202"/>
      <c r="DN82" s="206" t="e">
        <f>IF(CO82="external",T82,0)</f>
        <v>#N/A</v>
      </c>
      <c r="DO82" s="206" t="e">
        <f>IF(CO82="external",W82,0)</f>
        <v>#N/A</v>
      </c>
      <c r="DP82" s="206" t="e">
        <f>IF(CO82="external",Z82,0)</f>
        <v>#N/A</v>
      </c>
      <c r="DQ82" s="206" t="e">
        <f>IF(CO82="external",AC82,0)</f>
        <v>#N/A</v>
      </c>
      <c r="DR82" s="206" t="e">
        <f>IF(CO82="external",AF82,0)</f>
        <v>#N/A</v>
      </c>
      <c r="DS82" s="207" t="e">
        <f>IF(CO82="external",AI82,0)</f>
        <v>#N/A</v>
      </c>
      <c r="DT82" s="208"/>
      <c r="DU82" s="207" t="e">
        <f>IF(CO82="internal",T82,0)</f>
        <v>#N/A</v>
      </c>
      <c r="DV82" s="207" t="e">
        <f>IF(CO82="internal",W82,0)</f>
        <v>#N/A</v>
      </c>
      <c r="DW82" s="207" t="e">
        <f>IF(CO82="internal",Z82,0)</f>
        <v>#N/A</v>
      </c>
      <c r="DX82" s="207" t="e">
        <f>IF(CO82="internal",AC82,0)</f>
        <v>#N/A</v>
      </c>
      <c r="DY82" s="207" t="e">
        <f>IF(CO82="internal",AF82,0)</f>
        <v>#N/A</v>
      </c>
      <c r="DZ82" s="207" t="e">
        <f>IF(CO82="internal",AI82,0)</f>
        <v>#N/A</v>
      </c>
    </row>
    <row r="83" spans="1:130" s="7" customFormat="1" x14ac:dyDescent="0.3">
      <c r="B83" s="19">
        <f>+CI83</f>
        <v>114</v>
      </c>
      <c r="C83" s="6">
        <f t="shared" si="120"/>
        <v>0</v>
      </c>
      <c r="D83" s="6" t="e">
        <f t="shared" si="120"/>
        <v>#N/A</v>
      </c>
      <c r="E83" s="6" t="str">
        <f t="shared" si="120"/>
        <v>--</v>
      </c>
      <c r="F83" s="6" t="e">
        <f>+CM83</f>
        <v>#N/A</v>
      </c>
      <c r="G83" s="174" t="str">
        <f t="shared" si="121"/>
        <v>Min Fx</v>
      </c>
      <c r="H83" s="6" t="e">
        <f t="shared" si="121"/>
        <v>#N/A</v>
      </c>
      <c r="I83" s="156"/>
      <c r="J83" s="10" t="e">
        <f t="shared" si="122"/>
        <v>#N/A</v>
      </c>
      <c r="K83" s="10" t="e">
        <f t="shared" si="122"/>
        <v>#N/A</v>
      </c>
      <c r="L83" s="10" t="e">
        <f t="shared" si="122"/>
        <v>#N/A</v>
      </c>
      <c r="M83" s="10" t="e">
        <f t="shared" si="122"/>
        <v>#N/A</v>
      </c>
      <c r="N83" s="10" t="e">
        <f>IF(I83*J83&gt;=0,J83*$J$19+I83*$J$18,J83)</f>
        <v>#N/A</v>
      </c>
      <c r="O83" s="10" t="e">
        <f>(K83)*$J$19</f>
        <v>#N/A</v>
      </c>
      <c r="P83" s="14" t="e">
        <f>IF(I83*L83&gt;=0,(L83)+I83,L83)</f>
        <v>#N/A</v>
      </c>
      <c r="Q83" s="3" t="e">
        <f>(M83)</f>
        <v>#N/A</v>
      </c>
      <c r="R83" s="20">
        <f t="shared" si="125"/>
        <v>1000</v>
      </c>
      <c r="S83" s="23"/>
      <c r="T83" s="12">
        <v>40</v>
      </c>
      <c r="U83" s="28"/>
      <c r="V83" s="28"/>
      <c r="W83" s="12">
        <v>25</v>
      </c>
      <c r="X83" s="28"/>
      <c r="Y83" s="28"/>
      <c r="Z83" s="12"/>
      <c r="AA83" s="28"/>
      <c r="AB83" s="28"/>
      <c r="AC83" s="158"/>
      <c r="AD83" s="28"/>
      <c r="AE83" s="28"/>
      <c r="AF83" s="158"/>
      <c r="AG83" s="28"/>
      <c r="AH83" s="28"/>
      <c r="AI83" s="29"/>
      <c r="AJ83" s="6">
        <f>PI()/4*T83^2*$O$12/$AX$16</f>
        <v>8377.5804095727817</v>
      </c>
      <c r="AK83" s="28" t="str">
        <f>IF(W83=0,"","+")</f>
        <v>+</v>
      </c>
      <c r="AL83" s="6">
        <f>PI()/4*W83^2*$O$12/$AX$16</f>
        <v>3272.4923474893681</v>
      </c>
      <c r="AM83" s="28" t="str">
        <f>IF(Z83=0,"","+")</f>
        <v/>
      </c>
      <c r="AN83" s="6">
        <f>PI()/4*Z83^2*$O$12/$AX$16</f>
        <v>0</v>
      </c>
      <c r="AO83" s="28" t="str">
        <f>IF(AC83=0,"","+")</f>
        <v/>
      </c>
      <c r="AP83" s="6">
        <f>PI()/4*AC83^2*$O$12/$AX$16</f>
        <v>0</v>
      </c>
      <c r="AQ83" s="28" t="str">
        <f>IF(AF83=0,"","+")</f>
        <v/>
      </c>
      <c r="AR83" s="6">
        <f>PI()/4*AF83^2*$O$12/$AX$16</f>
        <v>0</v>
      </c>
      <c r="AS83" s="28" t="str">
        <f>IF(AI83=0,"","+")</f>
        <v/>
      </c>
      <c r="AT83" s="6">
        <f>PI()/4*AI83^2*$O$12/$AX$16</f>
        <v>0</v>
      </c>
      <c r="AU83" s="28" t="s">
        <v>24</v>
      </c>
      <c r="AV83" s="15">
        <f>VALUE(AJ83)+VALUE(AL83)+VALUE(AN83)+VALUE(AP83)+VALUE(AR83)+VALUE(AT83)</f>
        <v>11650.072757062149</v>
      </c>
      <c r="AW83" s="228">
        <f>MAX(0.3*$AJ$14^(2/3)/$AJ$16*0.26*100,0.13)</f>
        <v>0.15723814702688016</v>
      </c>
      <c r="AX83" s="6">
        <f>AW83/100*$O$12*BK83</f>
        <v>1375.0917637688949</v>
      </c>
      <c r="AY83" s="6"/>
      <c r="AZ83" s="6"/>
      <c r="BA83" s="24" t="str">
        <f>IF(BB83=0,"","+")</f>
        <v/>
      </c>
      <c r="BB83" s="24"/>
      <c r="BC83" s="28" t="s">
        <v>24</v>
      </c>
      <c r="BD83" s="15">
        <f>AX83+AZ83+BB83</f>
        <v>1375.0917637688949</v>
      </c>
      <c r="BE83" s="2">
        <f>(R83-($AX$14+$O$16+T83/2))</f>
        <v>897</v>
      </c>
      <c r="BF83" s="3">
        <f>IF(W83=0,0,(R83-($AX$14+T83/2+$O$16+$BI$16)))</f>
        <v>817</v>
      </c>
      <c r="BG83" s="3">
        <f>IF(Z83=0,0,(R83-($AX$14+T83/2+$BI$16+$O$16+$BI$17)))</f>
        <v>0</v>
      </c>
      <c r="BH83" s="3">
        <f>IF(AC83=0,0,(R83-($AX$14+T83/2+$O$16+$BI$16+$BI$17+$BI$18)))</f>
        <v>0</v>
      </c>
      <c r="BI83" s="3">
        <f>IF(AF83=0,0,(R83-($AX$14+T83/2+$O$16+$BI$16+$BI$17+$BI$18+$BL$16)))</f>
        <v>0</v>
      </c>
      <c r="BJ83" s="3">
        <f>IF(AI83=0,0,(R83-($AX$14+T83/2+$O$16+$BI$16+$BI$17+$BI$18+$BL$16+$BL$17)))</f>
        <v>0</v>
      </c>
      <c r="BK83" s="6">
        <f>(BE83*AJ83+BF83*AL83+BG83*AN83+BH83*AP83+BI83*AR83+BJ83*AT83)/AV83</f>
        <v>874.52808988764048</v>
      </c>
      <c r="BL83" s="175" t="e">
        <f>ABS(N83)*1000000/$O$12/BK83^2</f>
        <v>#N/A</v>
      </c>
      <c r="BM83" s="175" t="e">
        <f>BL83/$AJ$14</f>
        <v>#N/A</v>
      </c>
      <c r="BN83" s="21" t="e">
        <f>IF(BM83&lt;0.167,0.5+SQRT(0.25-(BM83/1.134)),0.82)</f>
        <v>#N/A</v>
      </c>
      <c r="BO83" s="15" t="e">
        <f>ABS(N83)/(0.87*$AJ$16*BN83*BK83)*10^6</f>
        <v>#N/A</v>
      </c>
      <c r="BP83" s="22">
        <v>336.79549008548736</v>
      </c>
      <c r="BQ83" s="175" t="e">
        <f>IF(Q83=0,2*ABS(P83*10^6)/$O$12/BP83/(BK83-BP83/3),Q83*BP83*1000/($O$12/2*BP83^2-(BE83-BP83)*AJ83*$AJ$18-(BF83-BP83)*AL83*$AJ$18-(BG83-BP83)*AN83*$AJ$18-(BH83-BP83)*AP83*$AJ$18-(BI83-BP83)*AR83*$AJ$18-(BJ83-BP83)*AT83*$AJ$18))</f>
        <v>#N/A</v>
      </c>
      <c r="BR83" s="3" t="e">
        <f>0.5*$O$12*BP83*BQ83 /1000</f>
        <v>#N/A</v>
      </c>
      <c r="BS83" s="3" t="e">
        <f>($BQ83/$BP83)*(BE83-$BP83)*$AJ$18*AJ83/1000</f>
        <v>#N/A</v>
      </c>
      <c r="BT83" s="3" t="e">
        <f>($BQ83/$BP83)*(BF83-$BP83)*$AJ$18*AL83/1000</f>
        <v>#N/A</v>
      </c>
      <c r="BU83" s="3" t="e">
        <f>($BQ83/$BP83)*(BG83-$BP83)*$AJ$18*AN83/1000</f>
        <v>#N/A</v>
      </c>
      <c r="BV83" s="3" t="e">
        <f>($BQ83/$BP83)*(BH83-$BP83)*$AJ$18*AP83/1000</f>
        <v>#N/A</v>
      </c>
      <c r="BW83" s="3" t="e">
        <f>($BQ83/$BP83)*(BI83-$BP83)*$AJ$18*AR83/1000</f>
        <v>#N/A</v>
      </c>
      <c r="BX83" s="3" t="e">
        <f>($BQ83/$BP83)*(BJ83-$BP83)*$AJ$18*AT83/1000</f>
        <v>#N/A</v>
      </c>
      <c r="BY83" s="175" t="e">
        <f>IF(Q83=0,0,(0.5*$O$12*BP83*BQ83/1000*(R83/2-$BP83/3)+BS83*(BE83-R83/2)+BT83*(BF83-R83/2)+BU83*(BG83-R83/2)+BV83*(BH83-R83/2)+BW83*(BI83-R83/2)+BX83*(BJ83-R83/2))/1000-ABS(P83))</f>
        <v>#N/A</v>
      </c>
      <c r="BZ83" s="10"/>
      <c r="CA83" s="176" t="e">
        <f>ABS(P83)/(BK83-BP83/3)/AV83*10^6-Q83*(R83/2-BP83/3)/(BK83-BP83/3)/AV83*1000</f>
        <v>#N/A</v>
      </c>
      <c r="CB83" s="177">
        <f>(AV83/($O$12*MIN(2.5*(R83-BK83),(R83-BP83)/3,R83/2)-AV83))</f>
        <v>5.5630687662740971E-2</v>
      </c>
      <c r="CC83" s="177">
        <f>3.4*($O$16+$AX$14)+0.425*0.8*0.5*(T83^2+W83^2+Z83^2+AC83^2+AF83^2+AI83^2)/(T83+W83+Z83+AC83+AF83+AI83)/CB83</f>
        <v>386.80468877375097</v>
      </c>
      <c r="CD83" s="177" t="e">
        <f>MAX(0.6*CA83/$AJ$17,(CA83-0.4*0.3*$AJ$14^(2/3)/CB83*(1+$AJ$17/$AJ$15*CB83))/$AJ$17)</f>
        <v>#N/A</v>
      </c>
      <c r="CE83" s="178" t="e">
        <f>CC83*CD83/1000</f>
        <v>#N/A</v>
      </c>
      <c r="CF83" s="23" t="e">
        <f>IF(AND(AV83&gt;=BD83,AV83&gt;=BO83,CE83&lt;=(+IF(CO83="External",0.25,0.3))),"O.K", "Not O.K")</f>
        <v>#N/A</v>
      </c>
      <c r="CG83" s="28"/>
      <c r="CH83" s="179" t="e">
        <f>IF(O83&lt;0.2*$AJ$14*R83*$O$12/1000,"N &lt; 0.2fckAc - OK!","TBA")</f>
        <v>#N/A</v>
      </c>
      <c r="CI83" s="24">
        <v>114</v>
      </c>
      <c r="CJ83" s="25"/>
      <c r="CK83" s="6" t="e">
        <f t="shared" si="35"/>
        <v>#N/A</v>
      </c>
      <c r="CL83" s="8" t="s">
        <v>72</v>
      </c>
      <c r="CM83" s="6" t="e">
        <f t="shared" si="36"/>
        <v>#N/A</v>
      </c>
      <c r="CN83" s="26" t="s">
        <v>146</v>
      </c>
      <c r="CO83" s="15" t="e">
        <f>IF(VLOOKUP(CI83,'Summary-input'!A:C,3,0)="Outward",
IF(CP83&lt;0,"External","Internal"),
IF(CP83&lt;0,"Internal","External")
)</f>
        <v>#N/A</v>
      </c>
      <c r="CP83" t="e">
        <f>VLOOKUP(CI83&amp;CN83,'Summary-output-ULS'!A:G,6,0)</f>
        <v>#N/A</v>
      </c>
      <c r="CQ83" t="e">
        <f>VLOOKUP(CI83&amp;CN83,'Summary-output-ULS'!A:G,7,0)</f>
        <v>#N/A</v>
      </c>
      <c r="CR83" s="3" t="e">
        <f>VLOOKUP(CI83&amp;CN83,'Summary-output-SLS'!A:G,6,0)</f>
        <v>#N/A</v>
      </c>
      <c r="CS83" s="3" t="e">
        <f>VLOOKUP(CI83&amp;CN83,'Summary-output-SLS'!A:G,7,0)</f>
        <v>#N/A</v>
      </c>
      <c r="CT83" s="20">
        <v>1000</v>
      </c>
      <c r="CU83" s="2" t="e">
        <f>VLOOKUP(CI83&amp;CN83,'Summary-output-ULS'!A:G,5,0)</f>
        <v>#N/A</v>
      </c>
      <c r="CV83" s="15" t="e">
        <f>VLOOKUP(CI83&amp;CN83,'Summary-output-SLS'!A:G,5,0)</f>
        <v>#N/A</v>
      </c>
      <c r="CW83" s="6"/>
      <c r="CX83" s="278"/>
      <c r="CY83" s="6"/>
      <c r="CZ83" s="6"/>
      <c r="DA83" s="6"/>
      <c r="DB83" s="6"/>
      <c r="DC83" s="6"/>
      <c r="DD83" s="6"/>
      <c r="DE83" s="6"/>
      <c r="DF83" s="6"/>
      <c r="DG83" s="6"/>
      <c r="DH83" s="6"/>
      <c r="DI83" s="6"/>
      <c r="DJ83" s="212"/>
      <c r="DK83" s="13"/>
      <c r="DL83" s="13"/>
      <c r="DM83" s="202"/>
      <c r="DN83" s="206" t="e">
        <f>IF(CO83="external",T83,0)</f>
        <v>#N/A</v>
      </c>
      <c r="DO83" s="206" t="e">
        <f>IF(CO83="external",W83,0)</f>
        <v>#N/A</v>
      </c>
      <c r="DP83" s="206" t="e">
        <f>IF(CO83="external",Z83,0)</f>
        <v>#N/A</v>
      </c>
      <c r="DQ83" s="206" t="e">
        <f>IF(CO83="external",AC83,0)</f>
        <v>#N/A</v>
      </c>
      <c r="DR83" s="206" t="e">
        <f>IF(CO83="external",AF83,0)</f>
        <v>#N/A</v>
      </c>
      <c r="DS83" s="207" t="e">
        <f>IF(CO83="external",AI83,0)</f>
        <v>#N/A</v>
      </c>
      <c r="DT83" s="208"/>
      <c r="DU83" s="207" t="e">
        <f>IF(CO83="internal",T83,0)</f>
        <v>#N/A</v>
      </c>
      <c r="DV83" s="207" t="e">
        <f>IF(CO83="internal",W83,0)</f>
        <v>#N/A</v>
      </c>
      <c r="DW83" s="207" t="e">
        <f>IF(CO83="internal",Z83,0)</f>
        <v>#N/A</v>
      </c>
      <c r="DX83" s="207" t="e">
        <f>IF(CO83="internal",AC83,0)</f>
        <v>#N/A</v>
      </c>
      <c r="DY83" s="207" t="e">
        <f>IF(CO83="internal",AF83,0)</f>
        <v>#N/A</v>
      </c>
      <c r="DZ83" s="207" t="e">
        <f>IF(CO83="internal",AI83,0)</f>
        <v>#N/A</v>
      </c>
    </row>
    <row r="84" spans="1:130" s="7" customFormat="1" x14ac:dyDescent="0.3">
      <c r="B84" s="19"/>
      <c r="C84" s="6"/>
      <c r="D84" s="6"/>
      <c r="E84" s="6"/>
      <c r="F84" s="6">
        <v>103</v>
      </c>
      <c r="G84" s="232"/>
      <c r="H84" s="6"/>
      <c r="I84" s="24"/>
      <c r="J84" s="6"/>
      <c r="K84" s="6"/>
      <c r="L84" s="6"/>
      <c r="M84" s="6"/>
      <c r="N84" s="6"/>
      <c r="O84" s="6"/>
      <c r="P84" s="24"/>
      <c r="Q84" s="6"/>
      <c r="R84" s="6">
        <f t="shared" si="125"/>
        <v>0</v>
      </c>
      <c r="S84" s="28"/>
      <c r="T84" s="12"/>
      <c r="U84" s="28"/>
      <c r="V84" s="28"/>
      <c r="W84" s="12"/>
      <c r="X84" s="28"/>
      <c r="Y84" s="28"/>
      <c r="Z84" s="12"/>
      <c r="AA84" s="28"/>
      <c r="AB84" s="28"/>
      <c r="AC84" s="158"/>
      <c r="AD84" s="28"/>
      <c r="AE84" s="28"/>
      <c r="AF84" s="158"/>
      <c r="AG84" s="28"/>
      <c r="AH84" s="28"/>
      <c r="AI84" s="12"/>
      <c r="AJ84" s="6"/>
      <c r="AK84" s="28"/>
      <c r="AL84" s="6"/>
      <c r="AM84" s="28"/>
      <c r="AN84" s="6"/>
      <c r="AO84" s="28"/>
      <c r="AP84" s="6"/>
      <c r="AQ84" s="28"/>
      <c r="AR84" s="6"/>
      <c r="AS84" s="28"/>
      <c r="AT84" s="6"/>
      <c r="AU84" s="28"/>
      <c r="AV84" s="6"/>
      <c r="AW84" s="233"/>
      <c r="AX84" s="6"/>
      <c r="AY84" s="6"/>
      <c r="AZ84" s="6"/>
      <c r="BA84" s="24"/>
      <c r="BB84" s="24"/>
      <c r="BC84" s="28"/>
      <c r="BD84" s="6"/>
      <c r="BE84" s="6"/>
      <c r="BF84" s="6"/>
      <c r="BG84" s="6"/>
      <c r="BH84" s="6"/>
      <c r="BI84" s="6"/>
      <c r="BJ84" s="6"/>
      <c r="BK84" s="6"/>
      <c r="BL84" s="231"/>
      <c r="BM84" s="231"/>
      <c r="BN84" s="231"/>
      <c r="BO84" s="6"/>
      <c r="BP84" s="234"/>
      <c r="BQ84" s="231"/>
      <c r="BR84" s="6"/>
      <c r="BS84" s="6"/>
      <c r="BT84" s="6"/>
      <c r="BU84" s="6"/>
      <c r="BV84" s="6"/>
      <c r="BW84" s="6"/>
      <c r="BX84" s="6"/>
      <c r="BY84" s="231"/>
      <c r="BZ84" s="6"/>
      <c r="CA84" s="234"/>
      <c r="CB84" s="235"/>
      <c r="CC84" s="235"/>
      <c r="CD84" s="235"/>
      <c r="CE84" s="235"/>
      <c r="CF84" s="28"/>
      <c r="CG84" s="28"/>
      <c r="CH84" s="173"/>
      <c r="CI84" s="24"/>
      <c r="CJ84" s="25"/>
      <c r="CK84" s="6" t="e">
        <f t="shared" si="35"/>
        <v>#N/A</v>
      </c>
      <c r="CL84" s="8" t="s">
        <v>72</v>
      </c>
      <c r="CM84" s="6" t="e">
        <f t="shared" si="36"/>
        <v>#N/A</v>
      </c>
      <c r="CN84" s="236"/>
      <c r="CO84" s="15" t="e">
        <f>IF(VLOOKUP(CI84,'Summary-input'!A:C,3,0)="Outward",
IF(CP84&lt;0,"External","Internal"),
IF(CP84&lt;0,"Internal","External")
)</f>
        <v>#N/A</v>
      </c>
      <c r="CP84" t="e">
        <f>VLOOKUP(CI84&amp;CN84,'Summary-output-ULS'!A:G,6,0)</f>
        <v>#N/A</v>
      </c>
      <c r="CQ84" t="e">
        <f>VLOOKUP(CI84&amp;CN84,'Summary-output-ULS'!A:G,7,0)</f>
        <v>#N/A</v>
      </c>
      <c r="CR84" s="3" t="e">
        <f>VLOOKUP(CI84&amp;CN84,'Summary-output-SLS'!A:G,6,0)</f>
        <v>#N/A</v>
      </c>
      <c r="CS84" s="3" t="e">
        <f>VLOOKUP(CI84&amp;CN84,'Summary-output-SLS'!A:G,7,0)</f>
        <v>#N/A</v>
      </c>
      <c r="CT84" s="6"/>
      <c r="CU84" s="2" t="e">
        <f>VLOOKUP(CI84&amp;CN84,'Summary-output-ULS'!A:G,5,0)</f>
        <v>#N/A</v>
      </c>
      <c r="CV84" s="15" t="e">
        <f>VLOOKUP(CI84&amp;CN84,'Summary-output-SLS'!A:G,5,0)</f>
        <v>#N/A</v>
      </c>
      <c r="CW84" s="6"/>
      <c r="CX84" s="278"/>
      <c r="CY84" s="6"/>
      <c r="CZ84" s="6"/>
      <c r="DA84" s="6"/>
      <c r="DB84" s="6"/>
      <c r="DC84" s="6"/>
      <c r="DD84" s="6"/>
      <c r="DE84" s="6"/>
      <c r="DF84" s="6"/>
      <c r="DG84" s="6"/>
      <c r="DH84" s="6"/>
      <c r="DI84" s="6"/>
      <c r="DJ84" s="212"/>
      <c r="DK84" s="13"/>
      <c r="DL84" s="13"/>
      <c r="DM84" s="202"/>
      <c r="DN84" s="206"/>
      <c r="DO84" s="206"/>
      <c r="DP84" s="206"/>
      <c r="DQ84" s="206"/>
      <c r="DR84" s="206"/>
      <c r="DS84" s="207"/>
      <c r="DT84" s="208"/>
      <c r="DU84" s="207"/>
      <c r="DV84" s="207"/>
      <c r="DW84" s="207"/>
      <c r="DX84" s="207"/>
      <c r="DY84" s="207"/>
      <c r="DZ84" s="207"/>
    </row>
    <row r="85" spans="1:130" s="7" customFormat="1" ht="13.8" x14ac:dyDescent="0.25">
      <c r="A85" s="7" t="s">
        <v>141</v>
      </c>
      <c r="B85" s="19">
        <f>+CI85</f>
        <v>119</v>
      </c>
      <c r="C85" s="6">
        <f t="shared" ref="C85:E88" si="126">CJ85</f>
        <v>0</v>
      </c>
      <c r="D85" s="6" t="e">
        <f t="shared" si="126"/>
        <v>#N/A</v>
      </c>
      <c r="E85" s="6" t="str">
        <f t="shared" si="126"/>
        <v>--</v>
      </c>
      <c r="F85" s="6" t="e">
        <f>+CM85</f>
        <v>#N/A</v>
      </c>
      <c r="G85" s="174" t="str">
        <f t="shared" ref="G85:H88" si="127">CN85</f>
        <v>Max Mz</v>
      </c>
      <c r="H85" s="6" t="e">
        <f t="shared" si="127"/>
        <v>#N/A</v>
      </c>
      <c r="I85" s="156"/>
      <c r="J85" s="10" t="e">
        <f t="shared" ref="J85:M88" si="128">(CP85)</f>
        <v>#N/A</v>
      </c>
      <c r="K85" s="10" t="e">
        <f t="shared" si="128"/>
        <v>#N/A</v>
      </c>
      <c r="L85" s="10" t="e">
        <f t="shared" si="128"/>
        <v>#N/A</v>
      </c>
      <c r="M85" s="10" t="e">
        <f t="shared" si="128"/>
        <v>#N/A</v>
      </c>
      <c r="N85" s="10" t="e">
        <f>IF(I85*J85&gt;=0,J85*$J$19+I85*$J$18,J85)</f>
        <v>#N/A</v>
      </c>
      <c r="O85" s="10" t="e">
        <f>(K85)*$J$19</f>
        <v>#N/A</v>
      </c>
      <c r="P85" s="14" t="e">
        <f>IF(I85*L85&gt;=0,(L85)+I85,L85)</f>
        <v>#N/A</v>
      </c>
      <c r="Q85" s="3" t="e">
        <f>(M85)</f>
        <v>#N/A</v>
      </c>
      <c r="R85" s="20">
        <f t="shared" si="125"/>
        <v>1000</v>
      </c>
      <c r="S85" s="23"/>
      <c r="T85" s="12">
        <v>40</v>
      </c>
      <c r="U85" s="28"/>
      <c r="V85" s="28"/>
      <c r="W85" s="12"/>
      <c r="X85" s="28"/>
      <c r="Y85" s="28"/>
      <c r="Z85" s="12"/>
      <c r="AA85" s="28"/>
      <c r="AB85" s="28"/>
      <c r="AC85" s="158"/>
      <c r="AD85" s="28"/>
      <c r="AE85" s="28"/>
      <c r="AF85" s="158"/>
      <c r="AG85" s="28"/>
      <c r="AH85" s="28"/>
      <c r="AI85" s="29"/>
      <c r="AJ85" s="6">
        <f>PI()/4*T85^2*$O$12/$AX$16</f>
        <v>8377.5804095727817</v>
      </c>
      <c r="AK85" s="28" t="str">
        <f>IF(W85=0,"","+")</f>
        <v/>
      </c>
      <c r="AL85" s="6">
        <f>PI()/4*W85^2*$O$12/$AX$16</f>
        <v>0</v>
      </c>
      <c r="AM85" s="28" t="str">
        <f>IF(Z85=0,"","+")</f>
        <v/>
      </c>
      <c r="AN85" s="6">
        <f>PI()/4*Z85^2*$O$12/$AX$16</f>
        <v>0</v>
      </c>
      <c r="AO85" s="28" t="str">
        <f>IF(AC85=0,"","+")</f>
        <v/>
      </c>
      <c r="AP85" s="6">
        <f>PI()/4*AC85^2*$O$12/$AX$16</f>
        <v>0</v>
      </c>
      <c r="AQ85" s="28" t="str">
        <f>IF(AF85=0,"","+")</f>
        <v/>
      </c>
      <c r="AR85" s="6">
        <f>PI()/4*AF85^2*$O$12/$AX$16</f>
        <v>0</v>
      </c>
      <c r="AS85" s="28" t="str">
        <f>IF(AI85=0,"","+")</f>
        <v/>
      </c>
      <c r="AT85" s="6">
        <f>PI()/4*AI85^2*$O$12/$AX$16</f>
        <v>0</v>
      </c>
      <c r="AU85" s="28" t="s">
        <v>24</v>
      </c>
      <c r="AV85" s="15">
        <f>VALUE(AJ85)+VALUE(AL85)+VALUE(AN85)+VALUE(AP85)+VALUE(AR85)+VALUE(AT85)</f>
        <v>8377.5804095727817</v>
      </c>
      <c r="AW85" s="228">
        <f>MAX(0.3*$AJ$14^(2/3)/$AJ$16*0.26*100,0.13)</f>
        <v>0.15723814702688016</v>
      </c>
      <c r="AX85" s="6">
        <f>AW85/100*$O$12*BK85</f>
        <v>1410.4261788311151</v>
      </c>
      <c r="AY85" s="6"/>
      <c r="AZ85" s="6"/>
      <c r="BA85" s="24" t="str">
        <f>IF(BB85=0,"","+")</f>
        <v/>
      </c>
      <c r="BB85" s="24"/>
      <c r="BC85" s="28" t="s">
        <v>24</v>
      </c>
      <c r="BD85" s="15">
        <f>AX85+AZ85+BB85</f>
        <v>1410.4261788311151</v>
      </c>
      <c r="BE85" s="2">
        <f>(R85-($AX$14+$O$16+T85/2))</f>
        <v>897</v>
      </c>
      <c r="BF85" s="3">
        <f>IF(W85=0,0,(R85-($AX$14+T85/2+$O$16+$BI$16)))</f>
        <v>0</v>
      </c>
      <c r="BG85" s="3">
        <f>IF(Z85=0,0,(R85-($AX$14+T85/2+$BI$16+$O$16+$BI$17)))</f>
        <v>0</v>
      </c>
      <c r="BH85" s="3">
        <f>IF(AC85=0,0,(R85-($AX$14+T85/2+$O$16+$BI$16+$BI$17+$BI$18)))</f>
        <v>0</v>
      </c>
      <c r="BI85" s="3">
        <f>IF(AF85=0,0,(R85-($AX$14+T85/2+$O$16+$BI$16+$BI$17+$BI$18+$BL$16)))</f>
        <v>0</v>
      </c>
      <c r="BJ85" s="3">
        <f>IF(AI85=0,0,(R85-($AX$14+T85/2+$O$16+$BI$16+$BI$17+$BI$18+$BL$16+$BL$17)))</f>
        <v>0</v>
      </c>
      <c r="BK85" s="6">
        <f>(BE85*AJ85+BF85*AL85+BG85*AN85+BH85*AP85+BI85*AR85+BJ85*AT85)/AV85</f>
        <v>897</v>
      </c>
      <c r="BL85" s="175" t="e">
        <f>ABS(N85)*1000000/$O$12/BK85^2</f>
        <v>#N/A</v>
      </c>
      <c r="BM85" s="175" t="e">
        <f>BL85/$AJ$14</f>
        <v>#N/A</v>
      </c>
      <c r="BN85" s="21" t="e">
        <f>IF(BM85&lt;0.167,0.5+SQRT(0.25-(BM85/1.134)),0.82)</f>
        <v>#N/A</v>
      </c>
      <c r="BO85" s="15" t="e">
        <f>ABS(N85)/(0.87*$AJ$16*BN85*BK85)*10^6</f>
        <v>#N/A</v>
      </c>
      <c r="BP85" s="22">
        <v>4634.491763489581</v>
      </c>
      <c r="BQ85" s="175" t="e">
        <f>IF(Q85=0,2*ABS(P85*10^6)/$O$12/BP85/(BK85-BP85/3),Q85*BP85*1000/($O$12/2*BP85^2-(BE85-BP85)*AJ85*$AJ$18-(BF85-BP85)*AL85*$AJ$18-(BG85-BP85)*AN85*$AJ$18-(BH85-BP85)*AP85*$AJ$18-(BI85-BP85)*AR85*$AJ$18-(BJ85-BP85)*AT85*$AJ$18))</f>
        <v>#N/A</v>
      </c>
      <c r="BR85" s="3" t="e">
        <f>0.5*$O$12*BP85*BQ85 /1000</f>
        <v>#N/A</v>
      </c>
      <c r="BS85" s="3" t="e">
        <f>($BQ85/$BP85)*(BE85-$BP85)*$AJ$18*AJ85/1000</f>
        <v>#N/A</v>
      </c>
      <c r="BT85" s="3" t="e">
        <f>($BQ85/$BP85)*(BF85-$BP85)*$AJ$18*AL85/1000</f>
        <v>#N/A</v>
      </c>
      <c r="BU85" s="3" t="e">
        <f>($BQ85/$BP85)*(BG85-$BP85)*$AJ$18*AN85/1000</f>
        <v>#N/A</v>
      </c>
      <c r="BV85" s="3" t="e">
        <f>($BQ85/$BP85)*(BH85-$BP85)*$AJ$18*AP85/1000</f>
        <v>#N/A</v>
      </c>
      <c r="BW85" s="3" t="e">
        <f>($BQ85/$BP85)*(BI85-$BP85)*$AJ$18*AR85/1000</f>
        <v>#N/A</v>
      </c>
      <c r="BX85" s="3" t="e">
        <f>($BQ85/$BP85)*(BJ85-$BP85)*$AJ$18*AT85/1000</f>
        <v>#N/A</v>
      </c>
      <c r="BY85" s="175" t="e">
        <f>IF(Q85=0,0,(0.5*$O$12*BP85*BQ85/1000*(R85/2-$BP85/3)+BS85*(BE85-R85/2)+BT85*(BF85-R85/2)+BU85*(BG85-R85/2)+BV85*(BH85-R85/2)+BW85*(BI85-R85/2)+BX85*(BJ85-R85/2))/1000-ABS(P85))</f>
        <v>#N/A</v>
      </c>
      <c r="BZ85" s="10"/>
      <c r="CA85" s="176" t="e">
        <f>ABS(P85)/(BK85-BP85/3)/AV85*10^6-Q85*(R85/2-BP85/3)/(BK85-BP85/3)/AV85*1000</f>
        <v>#N/A</v>
      </c>
      <c r="CB85" s="177">
        <f>(AV85/($O$12*MIN(2.5*(R85-BK85),(R85-BP85)/3,R85/2)-AV85))</f>
        <v>-6.8675737623668989E-3</v>
      </c>
      <c r="CC85" s="177">
        <f>3.4*($O$16+$AX$14)+0.425*0.8*0.5*(T85^2+W85^2+Z85^2+AC85^2+AF85^2+AI85^2)/(T85+W85+Z85+AC85+AF85+AI85)/CB85</f>
        <v>-707.96046063644894</v>
      </c>
      <c r="CD85" s="177" t="e">
        <f>MAX(0.6*CA85/$AJ$17,(CA85-0.4*0.3*$AJ$14^(2/3)/CB85*(1+$AJ$17/$AJ$15*CB85))/$AJ$17)</f>
        <v>#N/A</v>
      </c>
      <c r="CE85" s="178" t="e">
        <f>CC85*CD85/1000</f>
        <v>#N/A</v>
      </c>
      <c r="CF85" s="23" t="e">
        <f>IF(AND(AV85&gt;=BD85,AV85&gt;=BO85,CE85&lt;=(+IF(CO85="External",0.25,0.3))),"O.K", "Not O.K")</f>
        <v>#N/A</v>
      </c>
      <c r="CG85" s="28"/>
      <c r="CH85" s="179" t="e">
        <f>IF(O85&lt;0.2*$AJ$14*R85*$O$12/1000,"N &lt; 0.2fckAc - OK!","TBA")</f>
        <v>#N/A</v>
      </c>
      <c r="CI85" s="24">
        <v>119</v>
      </c>
      <c r="CJ85" s="25"/>
      <c r="CK85" s="6" t="e">
        <f t="shared" si="35"/>
        <v>#N/A</v>
      </c>
      <c r="CL85" s="8" t="s">
        <v>72</v>
      </c>
      <c r="CM85" s="6" t="e">
        <f t="shared" si="36"/>
        <v>#N/A</v>
      </c>
      <c r="CN85" s="26" t="s">
        <v>147</v>
      </c>
      <c r="CO85" s="15" t="e">
        <f>IF(VLOOKUP(CI85,'Summary-input'!A:C,3,0)="Outward",
IF(CP85&lt;0,"External","Internal"),
IF(CP85&lt;0,"Internal","External")
)</f>
        <v>#N/A</v>
      </c>
      <c r="CP85" t="e">
        <f>VLOOKUP(CI85&amp;CN85,'Summary-output-ULS'!A:G,6,0)</f>
        <v>#N/A</v>
      </c>
      <c r="CQ85" t="e">
        <f>VLOOKUP(CI85&amp;CN85,'Summary-output-ULS'!A:G,7,0)</f>
        <v>#N/A</v>
      </c>
      <c r="CR85" s="3" t="e">
        <f>VLOOKUP(CI85&amp;CN85,'Summary-output-SLS'!A:G,6,0)</f>
        <v>#N/A</v>
      </c>
      <c r="CS85" s="3" t="e">
        <f>VLOOKUP(CI85&amp;CN85,'Summary-output-SLS'!A:G,7,0)</f>
        <v>#N/A</v>
      </c>
      <c r="CT85" s="20">
        <v>1000</v>
      </c>
      <c r="CU85" s="2" t="e">
        <f>VLOOKUP(CI85&amp;CN85,'Summary-output-ULS'!A:G,5,0)</f>
        <v>#N/A</v>
      </c>
      <c r="CV85" s="15" t="e">
        <f>VLOOKUP(CI85&amp;CN85,'Summary-output-SLS'!A:G,5,0)</f>
        <v>#N/A</v>
      </c>
      <c r="CW85" s="6"/>
      <c r="CX85" s="278">
        <f>CI85</f>
        <v>119</v>
      </c>
      <c r="CY85" s="6" t="e">
        <f t="shared" ref="CY85:DD85" si="129">MAX(DN85:DN88)</f>
        <v>#N/A</v>
      </c>
      <c r="CZ85" s="6" t="e">
        <f t="shared" si="129"/>
        <v>#N/A</v>
      </c>
      <c r="DA85" s="6" t="e">
        <f t="shared" si="129"/>
        <v>#N/A</v>
      </c>
      <c r="DB85" s="6" t="e">
        <f t="shared" si="129"/>
        <v>#N/A</v>
      </c>
      <c r="DC85" s="6" t="e">
        <f t="shared" si="129"/>
        <v>#N/A</v>
      </c>
      <c r="DD85" s="6" t="e">
        <f t="shared" si="129"/>
        <v>#N/A</v>
      </c>
      <c r="DE85" s="6"/>
      <c r="DF85" s="6" t="e">
        <f t="shared" ref="DF85:DK85" si="130">MAX(DU85:DU88)</f>
        <v>#N/A</v>
      </c>
      <c r="DG85" s="6" t="e">
        <f t="shared" si="130"/>
        <v>#N/A</v>
      </c>
      <c r="DH85" s="6" t="e">
        <f t="shared" si="130"/>
        <v>#N/A</v>
      </c>
      <c r="DI85" s="6" t="e">
        <f t="shared" si="130"/>
        <v>#N/A</v>
      </c>
      <c r="DJ85" s="6" t="e">
        <f t="shared" si="130"/>
        <v>#N/A</v>
      </c>
      <c r="DK85" s="6" t="e">
        <f t="shared" si="130"/>
        <v>#N/A</v>
      </c>
      <c r="DL85" s="13"/>
      <c r="DM85" s="202">
        <f>CI85</f>
        <v>119</v>
      </c>
      <c r="DN85" s="206" t="e">
        <f>IF(CO85="external",T85,0)</f>
        <v>#N/A</v>
      </c>
      <c r="DO85" s="206" t="e">
        <f>IF(CO85="external",W85,0)</f>
        <v>#N/A</v>
      </c>
      <c r="DP85" s="206" t="e">
        <f>IF(CO85="external",Z85,0)</f>
        <v>#N/A</v>
      </c>
      <c r="DQ85" s="206" t="e">
        <f>IF(CO85="external",AC85,0)</f>
        <v>#N/A</v>
      </c>
      <c r="DR85" s="206" t="e">
        <f>IF(CO85="external",AF85,0)</f>
        <v>#N/A</v>
      </c>
      <c r="DS85" s="207" t="e">
        <f>IF(CO85="external",AI85,0)</f>
        <v>#N/A</v>
      </c>
      <c r="DT85" s="208"/>
      <c r="DU85" s="207" t="e">
        <f>IF(CO85="internal",T85,0)</f>
        <v>#N/A</v>
      </c>
      <c r="DV85" s="207" t="e">
        <f>IF(CO85="internal",W85,0)</f>
        <v>#N/A</v>
      </c>
      <c r="DW85" s="207" t="e">
        <f>IF(CO85="internal",Z85,0)</f>
        <v>#N/A</v>
      </c>
      <c r="DX85" s="207" t="e">
        <f>IF(CO85="internal",AC85,0)</f>
        <v>#N/A</v>
      </c>
      <c r="DY85" s="207" t="e">
        <f>IF(CO85="internal",AF85,0)</f>
        <v>#N/A</v>
      </c>
      <c r="DZ85" s="207" t="e">
        <f>IF(CO85="internal",AI85,0)</f>
        <v>#N/A</v>
      </c>
    </row>
    <row r="86" spans="1:130" s="7" customFormat="1" x14ac:dyDescent="0.3">
      <c r="B86" s="19">
        <f>+CI86</f>
        <v>119</v>
      </c>
      <c r="C86" s="6">
        <f t="shared" si="126"/>
        <v>0</v>
      </c>
      <c r="D86" s="6" t="e">
        <f t="shared" si="126"/>
        <v>#N/A</v>
      </c>
      <c r="E86" s="6" t="str">
        <f t="shared" si="126"/>
        <v>--</v>
      </c>
      <c r="F86" s="6" t="e">
        <f>+CM86</f>
        <v>#N/A</v>
      </c>
      <c r="G86" s="174" t="str">
        <f t="shared" si="127"/>
        <v>Min Mz</v>
      </c>
      <c r="H86" s="6" t="e">
        <f t="shared" si="127"/>
        <v>#N/A</v>
      </c>
      <c r="I86" s="156"/>
      <c r="J86" s="10" t="e">
        <f t="shared" si="128"/>
        <v>#N/A</v>
      </c>
      <c r="K86" s="10" t="e">
        <f t="shared" si="128"/>
        <v>#N/A</v>
      </c>
      <c r="L86" s="10" t="e">
        <f t="shared" si="128"/>
        <v>#N/A</v>
      </c>
      <c r="M86" s="10" t="e">
        <f t="shared" si="128"/>
        <v>#N/A</v>
      </c>
      <c r="N86" s="10" t="e">
        <f>IF(I86*J86&gt;=0,J86*$J$19+I86*$J$18,J86)</f>
        <v>#N/A</v>
      </c>
      <c r="O86" s="10" t="e">
        <f>(K86)*$J$19</f>
        <v>#N/A</v>
      </c>
      <c r="P86" s="14" t="e">
        <f>IF(I86*L86&gt;=0,(L86)+I86,L86)</f>
        <v>#N/A</v>
      </c>
      <c r="Q86" s="3" t="e">
        <f>(M86)</f>
        <v>#N/A</v>
      </c>
      <c r="R86" s="20">
        <f t="shared" si="125"/>
        <v>1000</v>
      </c>
      <c r="S86" s="23"/>
      <c r="T86" s="12">
        <v>20</v>
      </c>
      <c r="U86" s="28"/>
      <c r="V86" s="28"/>
      <c r="W86" s="12"/>
      <c r="X86" s="28"/>
      <c r="Y86" s="28"/>
      <c r="Z86" s="12"/>
      <c r="AA86" s="28"/>
      <c r="AB86" s="28"/>
      <c r="AC86" s="158"/>
      <c r="AD86" s="28"/>
      <c r="AE86" s="28"/>
      <c r="AF86" s="158"/>
      <c r="AG86" s="28"/>
      <c r="AH86" s="28"/>
      <c r="AI86" s="29"/>
      <c r="AJ86" s="6">
        <f>PI()/4*T86^2*$O$12/$AX$16</f>
        <v>2094.3951023931954</v>
      </c>
      <c r="AK86" s="28" t="str">
        <f>IF(W86=0,"","+")</f>
        <v/>
      </c>
      <c r="AL86" s="6">
        <f>PI()/4*W86^2*$O$12/$AX$16</f>
        <v>0</v>
      </c>
      <c r="AM86" s="28" t="str">
        <f>IF(Z86=0,"","+")</f>
        <v/>
      </c>
      <c r="AN86" s="6">
        <f>PI()/4*Z86^2*$O$12/$AX$16</f>
        <v>0</v>
      </c>
      <c r="AO86" s="28" t="str">
        <f>IF(AC86=0,"","+")</f>
        <v/>
      </c>
      <c r="AP86" s="6">
        <f>PI()/4*AC86^2*$O$12/$AX$16</f>
        <v>0</v>
      </c>
      <c r="AQ86" s="28" t="str">
        <f>IF(AF86=0,"","+")</f>
        <v/>
      </c>
      <c r="AR86" s="6">
        <f>PI()/4*AF86^2*$O$12/$AX$16</f>
        <v>0</v>
      </c>
      <c r="AS86" s="28" t="str">
        <f>IF(AI86=0,"","+")</f>
        <v/>
      </c>
      <c r="AT86" s="6">
        <f>PI()/4*AI86^2*$O$12/$AX$16</f>
        <v>0</v>
      </c>
      <c r="AU86" s="28" t="s">
        <v>24</v>
      </c>
      <c r="AV86" s="15">
        <f>VALUE(AJ86)+VALUE(AL86)+VALUE(AN86)+VALUE(AP86)+VALUE(AR86)+VALUE(AT86)</f>
        <v>2094.3951023931954</v>
      </c>
      <c r="AW86" s="228">
        <f>MAX(0.3*$AJ$14^(2/3)/$AJ$16*0.26*100,0.13)</f>
        <v>0.15723814702688016</v>
      </c>
      <c r="AX86" s="6">
        <f>AW86/100*$O$12*BK86</f>
        <v>1426.1499935338031</v>
      </c>
      <c r="AY86" s="6"/>
      <c r="AZ86" s="6"/>
      <c r="BA86" s="24" t="str">
        <f>IF(BB86=0,"","+")</f>
        <v/>
      </c>
      <c r="BB86" s="24"/>
      <c r="BC86" s="28" t="s">
        <v>24</v>
      </c>
      <c r="BD86" s="15">
        <f>AX86+AZ86+BB86</f>
        <v>1426.1499935338031</v>
      </c>
      <c r="BE86" s="2">
        <f>(R86-($AX$14+$O$16+T86/2))</f>
        <v>907</v>
      </c>
      <c r="BF86" s="3">
        <f>IF(W86=0,0,(R86-($AX$14+T86/2+$O$16+$BI$16)))</f>
        <v>0</v>
      </c>
      <c r="BG86" s="3">
        <f>IF(Z86=0,0,(R86-($AX$14+T86/2+$BI$16+$O$16+$BI$17)))</f>
        <v>0</v>
      </c>
      <c r="BH86" s="3">
        <f>IF(AC86=0,0,(R86-($AX$14+T86/2+$O$16+$BI$16+$BI$17+$BI$18)))</f>
        <v>0</v>
      </c>
      <c r="BI86" s="3">
        <f>IF(AF86=0,0,(R86-($AX$14+T86/2+$O$16+$BI$16+$BI$17+$BI$18+$BL$16)))</f>
        <v>0</v>
      </c>
      <c r="BJ86" s="3">
        <f>IF(AI86=0,0,(R86-($AX$14+T86/2+$O$16+$BI$16+$BI$17+$BI$18+$BL$16+$BL$17)))</f>
        <v>0</v>
      </c>
      <c r="BK86" s="6">
        <f>(BE86*AJ86+BF86*AL86+BG86*AN86+BH86*AP86+BI86*AR86+BJ86*AT86)/AV86</f>
        <v>907</v>
      </c>
      <c r="BL86" s="175" t="e">
        <f>ABS(N86)*1000000/$O$12/BK86^2</f>
        <v>#N/A</v>
      </c>
      <c r="BM86" s="175" t="e">
        <f>BL86/$AJ$14</f>
        <v>#N/A</v>
      </c>
      <c r="BN86" s="21" t="e">
        <f>IF(BM86&lt;0.167,0.5+SQRT(0.25-(BM86/1.134)),0.82)</f>
        <v>#N/A</v>
      </c>
      <c r="BO86" s="15" t="e">
        <f>ABS(N86)/(0.87*$AJ$16*BN86*BK86)*10^6</f>
        <v>#N/A</v>
      </c>
      <c r="BP86" s="22">
        <v>1655.9508439806334</v>
      </c>
      <c r="BQ86" s="175" t="e">
        <f>IF(Q86=0,2*ABS(P86*10^6)/$O$12/BP86/(BK86-BP86/3),Q86*BP86*1000/($O$12/2*BP86^2-(BE86-BP86)*AJ86*$AJ$18-(BF86-BP86)*AL86*$AJ$18-(BG86-BP86)*AN86*$AJ$18-(BH86-BP86)*AP86*$AJ$18-(BI86-BP86)*AR86*$AJ$18-(BJ86-BP86)*AT86*$AJ$18))</f>
        <v>#N/A</v>
      </c>
      <c r="BR86" s="3" t="e">
        <f>0.5*$O$12*BP86*BQ86 /1000</f>
        <v>#N/A</v>
      </c>
      <c r="BS86" s="3" t="e">
        <f>($BQ86/$BP86)*(BE86-$BP86)*$AJ$18*AJ86/1000</f>
        <v>#N/A</v>
      </c>
      <c r="BT86" s="3" t="e">
        <f>($BQ86/$BP86)*(BF86-$BP86)*$AJ$18*AL86/1000</f>
        <v>#N/A</v>
      </c>
      <c r="BU86" s="3" t="e">
        <f>($BQ86/$BP86)*(BG86-$BP86)*$AJ$18*AN86/1000</f>
        <v>#N/A</v>
      </c>
      <c r="BV86" s="3" t="e">
        <f>($BQ86/$BP86)*(BH86-$BP86)*$AJ$18*AP86/1000</f>
        <v>#N/A</v>
      </c>
      <c r="BW86" s="3" t="e">
        <f>($BQ86/$BP86)*(BI86-$BP86)*$AJ$18*AR86/1000</f>
        <v>#N/A</v>
      </c>
      <c r="BX86" s="3" t="e">
        <f>($BQ86/$BP86)*(BJ86-$BP86)*$AJ$18*AT86/1000</f>
        <v>#N/A</v>
      </c>
      <c r="BY86" s="175" t="e">
        <f>IF(Q86=0,0,(0.5*$O$12*BP86*BQ86/1000*(R86/2-$BP86/3)+BS86*(BE86-R86/2)+BT86*(BF86-R86/2)+BU86*(BG86-R86/2)+BV86*(BH86-R86/2)+BW86*(BI86-R86/2)+BX86*(BJ86-R86/2))/1000-ABS(P86))</f>
        <v>#N/A</v>
      </c>
      <c r="BZ86" s="10"/>
      <c r="CA86" s="176" t="e">
        <f>ABS(P86)/(BK86-BP86/3)/AV86*10^6-Q86*(R86/2-BP86/3)/(BK86-BP86/3)/AV86*1000</f>
        <v>#N/A</v>
      </c>
      <c r="CB86" s="177">
        <f>(AV86/($O$12*MIN(2.5*(R86-BK86),(R86-BP86)/3,R86/2)-AV86))</f>
        <v>-9.4878623406542822E-3</v>
      </c>
      <c r="CC86" s="177">
        <f>3.4*($O$16+$AX$14)+0.425*0.8*0.5*(T86^2+W86^2+Z86^2+AC86^2+AF86^2+AI86^2)/(T86+W86+Z86+AC86+AF86+AI86)/CB86</f>
        <v>-76.152585432382693</v>
      </c>
      <c r="CD86" s="177" t="e">
        <f>MAX(0.6*CA86/$AJ$17,(CA86-0.4*0.3*$AJ$14^(2/3)/CB86*(1+$AJ$17/$AJ$15*CB86))/$AJ$17)</f>
        <v>#N/A</v>
      </c>
      <c r="CE86" s="178" t="e">
        <f>CC86*CD86/1000</f>
        <v>#N/A</v>
      </c>
      <c r="CF86" s="23" t="e">
        <f>IF(AND(AV86&gt;=BD86,AV86&gt;=BO86,CE86&lt;=(+IF(CO86="External",0.25,0.3))),"O.K", "Not O.K")</f>
        <v>#N/A</v>
      </c>
      <c r="CG86" s="28"/>
      <c r="CH86" s="179" t="e">
        <f>IF(O86&lt;0.2*$AJ$14*R86*$O$12/1000,"N &lt; 0.2fckAc - OK!","TBA")</f>
        <v>#N/A</v>
      </c>
      <c r="CI86" s="24">
        <v>119</v>
      </c>
      <c r="CJ86" s="25"/>
      <c r="CK86" s="6" t="e">
        <f t="shared" si="35"/>
        <v>#N/A</v>
      </c>
      <c r="CL86" s="8" t="s">
        <v>72</v>
      </c>
      <c r="CM86" s="6" t="e">
        <f t="shared" si="36"/>
        <v>#N/A</v>
      </c>
      <c r="CN86" s="26" t="s">
        <v>148</v>
      </c>
      <c r="CO86" s="15" t="e">
        <f>IF(VLOOKUP(CI86,'Summary-input'!A:C,3,0)="Outward",
IF(CP86&lt;0,"External","Internal"),
IF(CP86&lt;0,"Internal","External")
)</f>
        <v>#N/A</v>
      </c>
      <c r="CP86" t="e">
        <f>VLOOKUP(CI86&amp;CN86,'Summary-output-ULS'!A:G,6,0)</f>
        <v>#N/A</v>
      </c>
      <c r="CQ86" t="e">
        <f>VLOOKUP(CI86&amp;CN86,'Summary-output-ULS'!A:G,7,0)</f>
        <v>#N/A</v>
      </c>
      <c r="CR86" s="3" t="e">
        <f>VLOOKUP(CI86&amp;CN86,'Summary-output-SLS'!A:G,6,0)</f>
        <v>#N/A</v>
      </c>
      <c r="CS86" s="3" t="e">
        <f>VLOOKUP(CI86&amp;CN86,'Summary-output-SLS'!A:G,7,0)</f>
        <v>#N/A</v>
      </c>
      <c r="CT86" s="20">
        <v>1000</v>
      </c>
      <c r="CU86" s="2" t="e">
        <f>VLOOKUP(CI86&amp;CN86,'Summary-output-ULS'!A:G,5,0)</f>
        <v>#N/A</v>
      </c>
      <c r="CV86" s="15" t="e">
        <f>VLOOKUP(CI86&amp;CN86,'Summary-output-SLS'!A:G,5,0)</f>
        <v>#N/A</v>
      </c>
      <c r="CW86" s="6"/>
      <c r="CX86" s="278"/>
      <c r="CY86" s="6"/>
      <c r="CZ86" s="6"/>
      <c r="DA86" s="6"/>
      <c r="DB86" s="6"/>
      <c r="DC86" s="6"/>
      <c r="DD86" s="6"/>
      <c r="DE86" s="6"/>
      <c r="DF86" s="6"/>
      <c r="DG86" s="6"/>
      <c r="DH86" s="6"/>
      <c r="DI86" s="6"/>
      <c r="DJ86" s="212"/>
      <c r="DK86" s="13"/>
      <c r="DL86" s="13"/>
      <c r="DM86" s="202"/>
      <c r="DN86" s="206" t="e">
        <f>IF(CO86="external",T86,0)</f>
        <v>#N/A</v>
      </c>
      <c r="DO86" s="206" t="e">
        <f>IF(CO86="external",W86,0)</f>
        <v>#N/A</v>
      </c>
      <c r="DP86" s="206" t="e">
        <f>IF(CO86="external",Z86,0)</f>
        <v>#N/A</v>
      </c>
      <c r="DQ86" s="206" t="e">
        <f>IF(CO86="external",AC86,0)</f>
        <v>#N/A</v>
      </c>
      <c r="DR86" s="206" t="e">
        <f>IF(CO86="external",AF86,0)</f>
        <v>#N/A</v>
      </c>
      <c r="DS86" s="207" t="e">
        <f>IF(CO86="external",AI86,0)</f>
        <v>#N/A</v>
      </c>
      <c r="DT86" s="208"/>
      <c r="DU86" s="207" t="e">
        <f>IF(CO86="internal",T86,0)</f>
        <v>#N/A</v>
      </c>
      <c r="DV86" s="207" t="e">
        <f>IF(CO86="internal",W86,0)</f>
        <v>#N/A</v>
      </c>
      <c r="DW86" s="207" t="e">
        <f>IF(CO86="internal",Z86,0)</f>
        <v>#N/A</v>
      </c>
      <c r="DX86" s="207" t="e">
        <f>IF(CO86="internal",AC86,0)</f>
        <v>#N/A</v>
      </c>
      <c r="DY86" s="207" t="e">
        <f>IF(CO86="internal",AF86,0)</f>
        <v>#N/A</v>
      </c>
      <c r="DZ86" s="207" t="e">
        <f>IF(CO86="internal",AI86,0)</f>
        <v>#N/A</v>
      </c>
    </row>
    <row r="87" spans="1:130" s="7" customFormat="1" x14ac:dyDescent="0.3">
      <c r="B87" s="19">
        <f>+CI87</f>
        <v>119</v>
      </c>
      <c r="C87" s="6">
        <f t="shared" si="126"/>
        <v>0</v>
      </c>
      <c r="D87" s="6" t="e">
        <f t="shared" si="126"/>
        <v>#N/A</v>
      </c>
      <c r="E87" s="6" t="str">
        <f t="shared" si="126"/>
        <v>--</v>
      </c>
      <c r="F87" s="6" t="e">
        <f>+CM87</f>
        <v>#N/A</v>
      </c>
      <c r="G87" s="174" t="str">
        <f t="shared" si="127"/>
        <v>Max Fx</v>
      </c>
      <c r="H87" s="6" t="e">
        <f t="shared" si="127"/>
        <v>#N/A</v>
      </c>
      <c r="I87" s="156"/>
      <c r="J87" s="10" t="e">
        <f t="shared" si="128"/>
        <v>#N/A</v>
      </c>
      <c r="K87" s="10" t="e">
        <f t="shared" si="128"/>
        <v>#N/A</v>
      </c>
      <c r="L87" s="10" t="e">
        <f t="shared" si="128"/>
        <v>#N/A</v>
      </c>
      <c r="M87" s="10" t="e">
        <f t="shared" si="128"/>
        <v>#N/A</v>
      </c>
      <c r="N87" s="10" t="e">
        <f>IF(I87*J87&gt;=0,J87*$J$19+I87*$J$18,J87)</f>
        <v>#N/A</v>
      </c>
      <c r="O87" s="10" t="e">
        <f>(K87)*$J$19</f>
        <v>#N/A</v>
      </c>
      <c r="P87" s="14" t="e">
        <f>IF(I87*L87&gt;=0,(L87)+I87,L87)</f>
        <v>#N/A</v>
      </c>
      <c r="Q87" s="3" t="e">
        <f>(M87)</f>
        <v>#N/A</v>
      </c>
      <c r="R87" s="20">
        <f t="shared" si="125"/>
        <v>1000</v>
      </c>
      <c r="S87" s="23"/>
      <c r="T87" s="12">
        <v>20</v>
      </c>
      <c r="U87" s="28"/>
      <c r="V87" s="28"/>
      <c r="W87" s="12"/>
      <c r="X87" s="28"/>
      <c r="Y87" s="28"/>
      <c r="Z87" s="12"/>
      <c r="AA87" s="28"/>
      <c r="AB87" s="28"/>
      <c r="AC87" s="158"/>
      <c r="AD87" s="28"/>
      <c r="AE87" s="28"/>
      <c r="AF87" s="158"/>
      <c r="AG87" s="28"/>
      <c r="AH87" s="28"/>
      <c r="AI87" s="29"/>
      <c r="AJ87" s="6">
        <f>PI()/4*T87^2*$O$12/$AX$16</f>
        <v>2094.3951023931954</v>
      </c>
      <c r="AK87" s="28" t="str">
        <f>IF(W87=0,"","+")</f>
        <v/>
      </c>
      <c r="AL87" s="6">
        <f>PI()/4*W87^2*$O$12/$AX$16</f>
        <v>0</v>
      </c>
      <c r="AM87" s="28" t="str">
        <f>IF(Z87=0,"","+")</f>
        <v/>
      </c>
      <c r="AN87" s="6">
        <f>PI()/4*Z87^2*$O$12/$AX$16</f>
        <v>0</v>
      </c>
      <c r="AO87" s="28" t="str">
        <f>IF(AC87=0,"","+")</f>
        <v/>
      </c>
      <c r="AP87" s="6">
        <f>PI()/4*AC87^2*$O$12/$AX$16</f>
        <v>0</v>
      </c>
      <c r="AQ87" s="28" t="str">
        <f>IF(AF87=0,"","+")</f>
        <v/>
      </c>
      <c r="AR87" s="6">
        <f>PI()/4*AF87^2*$O$12/$AX$16</f>
        <v>0</v>
      </c>
      <c r="AS87" s="28" t="str">
        <f>IF(AI87=0,"","+")</f>
        <v/>
      </c>
      <c r="AT87" s="6">
        <f>PI()/4*AI87^2*$O$12/$AX$16</f>
        <v>0</v>
      </c>
      <c r="AU87" s="28" t="s">
        <v>24</v>
      </c>
      <c r="AV87" s="15">
        <f>VALUE(AJ87)+VALUE(AL87)+VALUE(AN87)+VALUE(AP87)+VALUE(AR87)+VALUE(AT87)</f>
        <v>2094.3951023931954</v>
      </c>
      <c r="AW87" s="228">
        <f>MAX(0.3*$AJ$14^(2/3)/$AJ$16*0.26*100,0.13)</f>
        <v>0.15723814702688016</v>
      </c>
      <c r="AX87" s="6">
        <f>AW87/100*$O$12*BK87</f>
        <v>1426.1499935338031</v>
      </c>
      <c r="AY87" s="6"/>
      <c r="AZ87" s="6"/>
      <c r="BA87" s="24" t="str">
        <f>IF(BB87=0,"","+")</f>
        <v/>
      </c>
      <c r="BB87" s="24"/>
      <c r="BC87" s="28" t="s">
        <v>24</v>
      </c>
      <c r="BD87" s="15">
        <f>AX87+AZ87+BB87</f>
        <v>1426.1499935338031</v>
      </c>
      <c r="BE87" s="2">
        <f>(R87-($AX$14+$O$16+T87/2))</f>
        <v>907</v>
      </c>
      <c r="BF87" s="3">
        <f>IF(W87=0,0,(R87-($AX$14+T87/2+$O$16+$BI$16)))</f>
        <v>0</v>
      </c>
      <c r="BG87" s="3">
        <f>IF(Z87=0,0,(R87-($AX$14+T87/2+$BI$16+$O$16+$BI$17)))</f>
        <v>0</v>
      </c>
      <c r="BH87" s="3">
        <f>IF(AC87=0,0,(R87-($AX$14+T87/2+$O$16+$BI$16+$BI$17+$BI$18)))</f>
        <v>0</v>
      </c>
      <c r="BI87" s="3">
        <f>IF(AF87=0,0,(R87-($AX$14+T87/2+$O$16+$BI$16+$BI$17+$BI$18+$BL$16)))</f>
        <v>0</v>
      </c>
      <c r="BJ87" s="3">
        <f>IF(AI87=0,0,(R87-($AX$14+T87/2+$O$16+$BI$16+$BI$17+$BI$18+$BL$16+$BL$17)))</f>
        <v>0</v>
      </c>
      <c r="BK87" s="6">
        <f>(BE87*AJ87+BF87*AL87+BG87*AN87+BH87*AP87+BI87*AR87+BJ87*AT87)/AV87</f>
        <v>907</v>
      </c>
      <c r="BL87" s="175" t="e">
        <f>ABS(N87)*1000000/$O$12/BK87^2</f>
        <v>#N/A</v>
      </c>
      <c r="BM87" s="175" t="e">
        <f>BL87/$AJ$14</f>
        <v>#N/A</v>
      </c>
      <c r="BN87" s="21" t="e">
        <f>IF(BM87&lt;0.167,0.5+SQRT(0.25-(BM87/1.134)),0.82)</f>
        <v>#N/A</v>
      </c>
      <c r="BO87" s="15" t="e">
        <f>ABS(N87)/(0.87*$AJ$16*BN87*BK87)*10^6</f>
        <v>#N/A</v>
      </c>
      <c r="BP87" s="22">
        <v>2109.9515369077285</v>
      </c>
      <c r="BQ87" s="175" t="e">
        <f>IF(Q87=0,2*ABS(P87*10^6)/$O$12/BP87/(BK87-BP87/3),Q87*BP87*1000/($O$12/2*BP87^2-(BE87-BP87)*AJ87*$AJ$18-(BF87-BP87)*AL87*$AJ$18-(BG87-BP87)*AN87*$AJ$18-(BH87-BP87)*AP87*$AJ$18-(BI87-BP87)*AR87*$AJ$18-(BJ87-BP87)*AT87*$AJ$18))</f>
        <v>#N/A</v>
      </c>
      <c r="BR87" s="3" t="e">
        <f>0.5*$O$12*BP87*BQ87 /1000</f>
        <v>#N/A</v>
      </c>
      <c r="BS87" s="3" t="e">
        <f>($BQ87/$BP87)*(BE87-$BP87)*$AJ$18*AJ87/1000</f>
        <v>#N/A</v>
      </c>
      <c r="BT87" s="3" t="e">
        <f>($BQ87/$BP87)*(BF87-$BP87)*$AJ$18*AL87/1000</f>
        <v>#N/A</v>
      </c>
      <c r="BU87" s="3" t="e">
        <f>($BQ87/$BP87)*(BG87-$BP87)*$AJ$18*AN87/1000</f>
        <v>#N/A</v>
      </c>
      <c r="BV87" s="3" t="e">
        <f>($BQ87/$BP87)*(BH87-$BP87)*$AJ$18*AP87/1000</f>
        <v>#N/A</v>
      </c>
      <c r="BW87" s="3" t="e">
        <f>($BQ87/$BP87)*(BI87-$BP87)*$AJ$18*AR87/1000</f>
        <v>#N/A</v>
      </c>
      <c r="BX87" s="3" t="e">
        <f>($BQ87/$BP87)*(BJ87-$BP87)*$AJ$18*AT87/1000</f>
        <v>#N/A</v>
      </c>
      <c r="BY87" s="175" t="e">
        <f>IF(Q87=0,0,(0.5*$O$12*BP87*BQ87/1000*(R87/2-$BP87/3)+BS87*(BE87-R87/2)+BT87*(BF87-R87/2)+BU87*(BG87-R87/2)+BV87*(BH87-R87/2)+BW87*(BI87-R87/2)+BX87*(BJ87-R87/2))/1000-ABS(P87))</f>
        <v>#N/A</v>
      </c>
      <c r="BZ87" s="10"/>
      <c r="CA87" s="176" t="e">
        <f>ABS(P87)/(BK87-BP87/3)/AV87*10^6-Q87*(R87/2-BP87/3)/(BK87-BP87/3)/AV87*1000</f>
        <v>#N/A</v>
      </c>
      <c r="CB87" s="177">
        <f>(AV87/($O$12*MIN(2.5*(R87-BK87),(R87-BP87)/3,R87/2)-AV87))</f>
        <v>-5.6289104631255934E-3</v>
      </c>
      <c r="CC87" s="177">
        <f>3.4*($O$16+$AX$14)+0.425*0.8*0.5*(T87^2+W87^2+Z87^2+AC87^2+AF87^2+AI87^2)/(T87+W87+Z87+AC87+AF87+AI87)/CB87</f>
        <v>-321.82453055045841</v>
      </c>
      <c r="CD87" s="177" t="e">
        <f>MAX(0.6*CA87/$AJ$17,(CA87-0.4*0.3*$AJ$14^(2/3)/CB87*(1+$AJ$17/$AJ$15*CB87))/$AJ$17)</f>
        <v>#N/A</v>
      </c>
      <c r="CE87" s="178" t="e">
        <f>CC87*CD87/1000</f>
        <v>#N/A</v>
      </c>
      <c r="CF87" s="23" t="e">
        <f>IF(AND(AV87&gt;=BD87,AV87&gt;=BO87,CE87&lt;=(+IF(CO87="External",0.25,0.3))),"O.K", "Not O.K")</f>
        <v>#N/A</v>
      </c>
      <c r="CG87" s="28"/>
      <c r="CH87" s="179" t="e">
        <f>IF(O87&lt;0.2*$AJ$14*R87*$O$12/1000,"N &lt; 0.2fckAc - OK!","TBA")</f>
        <v>#N/A</v>
      </c>
      <c r="CI87" s="24">
        <v>119</v>
      </c>
      <c r="CJ87" s="25"/>
      <c r="CK87" s="6" t="e">
        <f t="shared" si="35"/>
        <v>#N/A</v>
      </c>
      <c r="CL87" s="8" t="s">
        <v>72</v>
      </c>
      <c r="CM87" s="6" t="e">
        <f t="shared" si="36"/>
        <v>#N/A</v>
      </c>
      <c r="CN87" s="26" t="s">
        <v>145</v>
      </c>
      <c r="CO87" s="15" t="e">
        <f>IF(VLOOKUP(CI87,'Summary-input'!A:C,3,0)="Outward",
IF(CP87&lt;0,"External","Internal"),
IF(CP87&lt;0,"Internal","External")
)</f>
        <v>#N/A</v>
      </c>
      <c r="CP87" t="e">
        <f>VLOOKUP(CI87&amp;CN87,'Summary-output-ULS'!A:G,6,0)</f>
        <v>#N/A</v>
      </c>
      <c r="CQ87" t="e">
        <f>VLOOKUP(CI87&amp;CN87,'Summary-output-ULS'!A:G,7,0)</f>
        <v>#N/A</v>
      </c>
      <c r="CR87" s="3" t="e">
        <f>VLOOKUP(CI87&amp;CN87,'Summary-output-SLS'!A:G,6,0)</f>
        <v>#N/A</v>
      </c>
      <c r="CS87" s="3" t="e">
        <f>VLOOKUP(CI87&amp;CN87,'Summary-output-SLS'!A:G,7,0)</f>
        <v>#N/A</v>
      </c>
      <c r="CT87" s="20">
        <v>1000</v>
      </c>
      <c r="CU87" s="2" t="e">
        <f>VLOOKUP(CI87&amp;CN87,'Summary-output-ULS'!A:G,5,0)</f>
        <v>#N/A</v>
      </c>
      <c r="CV87" s="15" t="e">
        <f>VLOOKUP(CI87&amp;CN87,'Summary-output-SLS'!A:G,5,0)</f>
        <v>#N/A</v>
      </c>
      <c r="CW87" s="6"/>
      <c r="CX87" s="278"/>
      <c r="CY87" s="6"/>
      <c r="CZ87" s="6"/>
      <c r="DA87" s="6"/>
      <c r="DB87" s="6"/>
      <c r="DC87" s="6"/>
      <c r="DD87" s="6"/>
      <c r="DE87" s="6"/>
      <c r="DF87" s="6"/>
      <c r="DG87" s="6"/>
      <c r="DH87" s="6"/>
      <c r="DI87" s="6"/>
      <c r="DJ87" s="212"/>
      <c r="DK87" s="13"/>
      <c r="DL87" s="13"/>
      <c r="DM87" s="202"/>
      <c r="DN87" s="206" t="e">
        <f>IF(CO87="external",T87,0)</f>
        <v>#N/A</v>
      </c>
      <c r="DO87" s="206" t="e">
        <f>IF(CO87="external",W87,0)</f>
        <v>#N/A</v>
      </c>
      <c r="DP87" s="206" t="e">
        <f>IF(CO87="external",Z87,0)</f>
        <v>#N/A</v>
      </c>
      <c r="DQ87" s="206" t="e">
        <f>IF(CO87="external",AC87,0)</f>
        <v>#N/A</v>
      </c>
      <c r="DR87" s="206" t="e">
        <f>IF(CO87="external",AF87,0)</f>
        <v>#N/A</v>
      </c>
      <c r="DS87" s="207" t="e">
        <f>IF(CO87="external",AI87,0)</f>
        <v>#N/A</v>
      </c>
      <c r="DT87" s="208"/>
      <c r="DU87" s="207" t="e">
        <f>IF(CO87="internal",T87,0)</f>
        <v>#N/A</v>
      </c>
      <c r="DV87" s="207" t="e">
        <f>IF(CO87="internal",W87,0)</f>
        <v>#N/A</v>
      </c>
      <c r="DW87" s="207" t="e">
        <f>IF(CO87="internal",Z87,0)</f>
        <v>#N/A</v>
      </c>
      <c r="DX87" s="207" t="e">
        <f>IF(CO87="internal",AC87,0)</f>
        <v>#N/A</v>
      </c>
      <c r="DY87" s="207" t="e">
        <f>IF(CO87="internal",AF87,0)</f>
        <v>#N/A</v>
      </c>
      <c r="DZ87" s="207" t="e">
        <f>IF(CO87="internal",AI87,0)</f>
        <v>#N/A</v>
      </c>
    </row>
    <row r="88" spans="1:130" s="7" customFormat="1" x14ac:dyDescent="0.3">
      <c r="B88" s="19">
        <f>+CI88</f>
        <v>119</v>
      </c>
      <c r="C88" s="6">
        <f t="shared" si="126"/>
        <v>0</v>
      </c>
      <c r="D88" s="6" t="e">
        <f t="shared" si="126"/>
        <v>#N/A</v>
      </c>
      <c r="E88" s="6" t="str">
        <f t="shared" si="126"/>
        <v>--</v>
      </c>
      <c r="F88" s="6" t="e">
        <f>+CM88</f>
        <v>#N/A</v>
      </c>
      <c r="G88" s="174" t="str">
        <f t="shared" si="127"/>
        <v>Min Fx</v>
      </c>
      <c r="H88" s="6" t="e">
        <f t="shared" si="127"/>
        <v>#N/A</v>
      </c>
      <c r="I88" s="156"/>
      <c r="J88" s="10" t="e">
        <f t="shared" si="128"/>
        <v>#N/A</v>
      </c>
      <c r="K88" s="10" t="e">
        <f t="shared" si="128"/>
        <v>#N/A</v>
      </c>
      <c r="L88" s="10" t="e">
        <f t="shared" si="128"/>
        <v>#N/A</v>
      </c>
      <c r="M88" s="10" t="e">
        <f t="shared" si="128"/>
        <v>#N/A</v>
      </c>
      <c r="N88" s="10" t="e">
        <f>IF(I88*J88&gt;=0,J88*$J$19+I88*$J$18,J88)</f>
        <v>#N/A</v>
      </c>
      <c r="O88" s="10" t="e">
        <f>(K88)*$J$19</f>
        <v>#N/A</v>
      </c>
      <c r="P88" s="14" t="e">
        <f>IF(I88*L88&gt;=0,(L88)+I88,L88)</f>
        <v>#N/A</v>
      </c>
      <c r="Q88" s="3" t="e">
        <f>(M88)</f>
        <v>#N/A</v>
      </c>
      <c r="R88" s="20">
        <f t="shared" si="125"/>
        <v>1000</v>
      </c>
      <c r="S88" s="23"/>
      <c r="T88" s="12">
        <v>20</v>
      </c>
      <c r="U88" s="28"/>
      <c r="V88" s="28"/>
      <c r="W88" s="12"/>
      <c r="X88" s="28"/>
      <c r="Y88" s="28"/>
      <c r="Z88" s="12"/>
      <c r="AA88" s="28"/>
      <c r="AB88" s="28"/>
      <c r="AC88" s="158"/>
      <c r="AD88" s="28"/>
      <c r="AE88" s="28"/>
      <c r="AF88" s="158"/>
      <c r="AG88" s="28"/>
      <c r="AH88" s="28"/>
      <c r="AI88" s="29"/>
      <c r="AJ88" s="6">
        <f>PI()/4*T88^2*$O$12/$AX$16</f>
        <v>2094.3951023931954</v>
      </c>
      <c r="AK88" s="28" t="str">
        <f>IF(W88=0,"","+")</f>
        <v/>
      </c>
      <c r="AL88" s="6">
        <f>PI()/4*W88^2*$O$12/$AX$16</f>
        <v>0</v>
      </c>
      <c r="AM88" s="28" t="str">
        <f>IF(Z88=0,"","+")</f>
        <v/>
      </c>
      <c r="AN88" s="6">
        <f>PI()/4*Z88^2*$O$12/$AX$16</f>
        <v>0</v>
      </c>
      <c r="AO88" s="28" t="str">
        <f>IF(AC88=0,"","+")</f>
        <v/>
      </c>
      <c r="AP88" s="6">
        <f>PI()/4*AC88^2*$O$12/$AX$16</f>
        <v>0</v>
      </c>
      <c r="AQ88" s="28" t="str">
        <f>IF(AF88=0,"","+")</f>
        <v/>
      </c>
      <c r="AR88" s="6">
        <f>PI()/4*AF88^2*$O$12/$AX$16</f>
        <v>0</v>
      </c>
      <c r="AS88" s="28" t="str">
        <f>IF(AI88=0,"","+")</f>
        <v/>
      </c>
      <c r="AT88" s="6">
        <f>PI()/4*AI88^2*$O$12/$AX$16</f>
        <v>0</v>
      </c>
      <c r="AU88" s="28" t="s">
        <v>24</v>
      </c>
      <c r="AV88" s="15">
        <f>VALUE(AJ88)+VALUE(AL88)+VALUE(AN88)+VALUE(AP88)+VALUE(AR88)+VALUE(AT88)</f>
        <v>2094.3951023931954</v>
      </c>
      <c r="AW88" s="228">
        <f>MAX(0.3*$AJ$14^(2/3)/$AJ$16*0.26*100,0.13)</f>
        <v>0.15723814702688016</v>
      </c>
      <c r="AX88" s="6">
        <f>AW88/100*$O$12*BK88</f>
        <v>1426.1499935338031</v>
      </c>
      <c r="AY88" s="6"/>
      <c r="AZ88" s="6"/>
      <c r="BA88" s="24" t="str">
        <f>IF(BB88=0,"","+")</f>
        <v/>
      </c>
      <c r="BB88" s="24"/>
      <c r="BC88" s="28" t="s">
        <v>24</v>
      </c>
      <c r="BD88" s="15">
        <f>AX88+AZ88+BB88</f>
        <v>1426.1499935338031</v>
      </c>
      <c r="BE88" s="2">
        <f>(R88-($AX$14+$O$16+T88/2))</f>
        <v>907</v>
      </c>
      <c r="BF88" s="3">
        <f>IF(W88=0,0,(R88-($AX$14+T88/2+$O$16+$BI$16)))</f>
        <v>0</v>
      </c>
      <c r="BG88" s="3">
        <f>IF(Z88=0,0,(R88-($AX$14+T88/2+$BI$16+$O$16+$BI$17)))</f>
        <v>0</v>
      </c>
      <c r="BH88" s="3">
        <f>IF(AC88=0,0,(R88-($AX$14+T88/2+$O$16+$BI$16+$BI$17+$BI$18)))</f>
        <v>0</v>
      </c>
      <c r="BI88" s="3">
        <f>IF(AF88=0,0,(R88-($AX$14+T88/2+$O$16+$BI$16+$BI$17+$BI$18+$BL$16)))</f>
        <v>0</v>
      </c>
      <c r="BJ88" s="3">
        <f>IF(AI88=0,0,(R88-($AX$14+T88/2+$O$16+$BI$16+$BI$17+$BI$18+$BL$16+$BL$17)))</f>
        <v>0</v>
      </c>
      <c r="BK88" s="6">
        <f>(BE88*AJ88+BF88*AL88+BG88*AN88+BH88*AP88+BI88*AR88+BJ88*AT88)/AV88</f>
        <v>907</v>
      </c>
      <c r="BL88" s="175" t="e">
        <f>ABS(N88)*1000000/$O$12/BK88^2</f>
        <v>#N/A</v>
      </c>
      <c r="BM88" s="175" t="e">
        <f>BL88/$AJ$14</f>
        <v>#N/A</v>
      </c>
      <c r="BN88" s="21" t="e">
        <f>IF(BM88&lt;0.167,0.5+SQRT(0.25-(BM88/1.134)),0.82)</f>
        <v>#N/A</v>
      </c>
      <c r="BO88" s="15" t="e">
        <f>ABS(N88)/(0.87*$AJ$16*BN88*BK88)*10^6</f>
        <v>#N/A</v>
      </c>
      <c r="BP88" s="22">
        <v>2072.1478040476013</v>
      </c>
      <c r="BQ88" s="175" t="e">
        <f>IF(Q88=0,2*ABS(P88*10^6)/$O$12/BP88/(BK88-BP88/3),Q88*BP88*1000/($O$12/2*BP88^2-(BE88-BP88)*AJ88*$AJ$18-(BF88-BP88)*AL88*$AJ$18-(BG88-BP88)*AN88*$AJ$18-(BH88-BP88)*AP88*$AJ$18-(BI88-BP88)*AR88*$AJ$18-(BJ88-BP88)*AT88*$AJ$18))</f>
        <v>#N/A</v>
      </c>
      <c r="BR88" s="3" t="e">
        <f>0.5*$O$12*BP88*BQ88 /1000</f>
        <v>#N/A</v>
      </c>
      <c r="BS88" s="3" t="e">
        <f>($BQ88/$BP88)*(BE88-$BP88)*$AJ$18*AJ88/1000</f>
        <v>#N/A</v>
      </c>
      <c r="BT88" s="3" t="e">
        <f>($BQ88/$BP88)*(BF88-$BP88)*$AJ$18*AL88/1000</f>
        <v>#N/A</v>
      </c>
      <c r="BU88" s="3" t="e">
        <f>($BQ88/$BP88)*(BG88-$BP88)*$AJ$18*AN88/1000</f>
        <v>#N/A</v>
      </c>
      <c r="BV88" s="3" t="e">
        <f>($BQ88/$BP88)*(BH88-$BP88)*$AJ$18*AP88/1000</f>
        <v>#N/A</v>
      </c>
      <c r="BW88" s="3" t="e">
        <f>($BQ88/$BP88)*(BI88-$BP88)*$AJ$18*AR88/1000</f>
        <v>#N/A</v>
      </c>
      <c r="BX88" s="3" t="e">
        <f>($BQ88/$BP88)*(BJ88-$BP88)*$AJ$18*AT88/1000</f>
        <v>#N/A</v>
      </c>
      <c r="BY88" s="175" t="e">
        <f>IF(Q88=0,0,(0.5*$O$12*BP88*BQ88/1000*(R88/2-$BP88/3)+BS88*(BE88-R88/2)+BT88*(BF88-R88/2)+BU88*(BG88-R88/2)+BV88*(BH88-R88/2)+BW88*(BI88-R88/2)+BX88*(BJ88-R88/2))/1000-ABS(P88))</f>
        <v>#N/A</v>
      </c>
      <c r="BZ88" s="10"/>
      <c r="CA88" s="176" t="e">
        <f>ABS(P88)/(BK88-BP88/3)/AV88*10^6-Q88*(R88/2-BP88/3)/(BK88-BP88/3)/AV88*1000</f>
        <v>#N/A</v>
      </c>
      <c r="CB88" s="177">
        <f>(AV88/($O$12*MIN(2.5*(R88-BK88),(R88-BP88)/3,R88/2)-AV88))</f>
        <v>-5.8262284459562686E-3</v>
      </c>
      <c r="CC88" s="177">
        <f>3.4*($O$16+$AX$14)+0.425*0.8*0.5*(T88^2+W88^2+Z88^2+AC88^2+AF88^2+AI88^2)/(T88+W88+Z88+AC88+AF88+AI88)/CB88</f>
        <v>-301.36791731360819</v>
      </c>
      <c r="CD88" s="177" t="e">
        <f>MAX(0.6*CA88/$AJ$17,(CA88-0.4*0.3*$AJ$14^(2/3)/CB88*(1+$AJ$17/$AJ$15*CB88))/$AJ$17)</f>
        <v>#N/A</v>
      </c>
      <c r="CE88" s="178" t="e">
        <f>CC88*CD88/1000</f>
        <v>#N/A</v>
      </c>
      <c r="CF88" s="23" t="e">
        <f>IF(AND(AV88&gt;=BD88,AV88&gt;=BO88,CE88&lt;=(+IF(CO88="External",0.25,0.3))),"O.K", "Not O.K")</f>
        <v>#N/A</v>
      </c>
      <c r="CG88" s="28"/>
      <c r="CH88" s="179" t="e">
        <f>IF(O88&lt;0.2*$AJ$14*R88*$O$12/1000,"N &lt; 0.2fckAc - OK!","TBA")</f>
        <v>#N/A</v>
      </c>
      <c r="CI88" s="24">
        <v>119</v>
      </c>
      <c r="CJ88" s="25"/>
      <c r="CK88" s="6" t="e">
        <f t="shared" si="35"/>
        <v>#N/A</v>
      </c>
      <c r="CL88" s="8" t="s">
        <v>72</v>
      </c>
      <c r="CM88" s="6" t="e">
        <f t="shared" si="36"/>
        <v>#N/A</v>
      </c>
      <c r="CN88" s="26" t="s">
        <v>146</v>
      </c>
      <c r="CO88" s="15" t="e">
        <f>IF(VLOOKUP(CI88,'Summary-input'!A:C,3,0)="Outward",
IF(CP88&lt;0,"External","Internal"),
IF(CP88&lt;0,"Internal","External")
)</f>
        <v>#N/A</v>
      </c>
      <c r="CP88" t="e">
        <f>VLOOKUP(CI88&amp;CN88,'Summary-output-ULS'!A:G,6,0)</f>
        <v>#N/A</v>
      </c>
      <c r="CQ88" t="e">
        <f>VLOOKUP(CI88&amp;CN88,'Summary-output-ULS'!A:G,7,0)</f>
        <v>#N/A</v>
      </c>
      <c r="CR88" s="3" t="e">
        <f>VLOOKUP(CI88&amp;CN88,'Summary-output-SLS'!A:G,6,0)</f>
        <v>#N/A</v>
      </c>
      <c r="CS88" s="3" t="e">
        <f>VLOOKUP(CI88&amp;CN88,'Summary-output-SLS'!A:G,7,0)</f>
        <v>#N/A</v>
      </c>
      <c r="CT88" s="20">
        <v>1000</v>
      </c>
      <c r="CU88" s="2" t="e">
        <f>VLOOKUP(CI88&amp;CN88,'Summary-output-ULS'!A:G,5,0)</f>
        <v>#N/A</v>
      </c>
      <c r="CV88" s="15" t="e">
        <f>VLOOKUP(CI88&amp;CN88,'Summary-output-SLS'!A:G,5,0)</f>
        <v>#N/A</v>
      </c>
      <c r="CW88" s="6"/>
      <c r="CX88" s="278"/>
      <c r="CY88" s="6"/>
      <c r="CZ88" s="6"/>
      <c r="DA88" s="6"/>
      <c r="DB88" s="6"/>
      <c r="DC88" s="6"/>
      <c r="DD88" s="6"/>
      <c r="DE88" s="6"/>
      <c r="DF88" s="6"/>
      <c r="DG88" s="6"/>
      <c r="DH88" s="6"/>
      <c r="DI88" s="6"/>
      <c r="DJ88" s="212"/>
      <c r="DK88" s="13"/>
      <c r="DL88" s="13"/>
      <c r="DM88" s="202"/>
      <c r="DN88" s="206" t="e">
        <f>IF(CO88="external",T88,0)</f>
        <v>#N/A</v>
      </c>
      <c r="DO88" s="206" t="e">
        <f>IF(CO88="external",W88,0)</f>
        <v>#N/A</v>
      </c>
      <c r="DP88" s="206" t="e">
        <f>IF(CO88="external",Z88,0)</f>
        <v>#N/A</v>
      </c>
      <c r="DQ88" s="206" t="e">
        <f>IF(CO88="external",AC88,0)</f>
        <v>#N/A</v>
      </c>
      <c r="DR88" s="206" t="e">
        <f>IF(CO88="external",AF88,0)</f>
        <v>#N/A</v>
      </c>
      <c r="DS88" s="207" t="e">
        <f>IF(CO88="external",AI88,0)</f>
        <v>#N/A</v>
      </c>
      <c r="DT88" s="208"/>
      <c r="DU88" s="207" t="e">
        <f>IF(CO88="internal",T88,0)</f>
        <v>#N/A</v>
      </c>
      <c r="DV88" s="207" t="e">
        <f>IF(CO88="internal",W88,0)</f>
        <v>#N/A</v>
      </c>
      <c r="DW88" s="207" t="e">
        <f>IF(CO88="internal",Z88,0)</f>
        <v>#N/A</v>
      </c>
      <c r="DX88" s="207" t="e">
        <f>IF(CO88="internal",AC88,0)</f>
        <v>#N/A</v>
      </c>
      <c r="DY88" s="207" t="e">
        <f>IF(CO88="internal",AF88,0)</f>
        <v>#N/A</v>
      </c>
      <c r="DZ88" s="207" t="e">
        <f>IF(CO88="internal",AI88,0)</f>
        <v>#N/A</v>
      </c>
    </row>
    <row r="89" spans="1:130" s="7" customFormat="1" x14ac:dyDescent="0.3">
      <c r="B89" s="298" t="s">
        <v>167</v>
      </c>
      <c r="C89" s="6"/>
      <c r="D89" s="6"/>
      <c r="E89" s="6"/>
      <c r="F89" s="6"/>
      <c r="G89" s="232"/>
      <c r="H89" s="6"/>
      <c r="I89" s="24"/>
      <c r="J89" s="6"/>
      <c r="K89" s="6"/>
      <c r="L89" s="6"/>
      <c r="M89" s="6"/>
      <c r="N89" s="6"/>
      <c r="O89" s="6"/>
      <c r="P89" s="24"/>
      <c r="Q89" s="6"/>
      <c r="R89" s="6"/>
      <c r="S89" s="28"/>
      <c r="T89" s="12"/>
      <c r="U89" s="28"/>
      <c r="V89" s="28"/>
      <c r="W89" s="12"/>
      <c r="X89" s="28"/>
      <c r="Y89" s="28"/>
      <c r="Z89" s="12"/>
      <c r="AA89" s="28"/>
      <c r="AB89" s="28"/>
      <c r="AC89" s="158"/>
      <c r="AD89" s="28"/>
      <c r="AE89" s="28"/>
      <c r="AF89" s="158"/>
      <c r="AG89" s="28"/>
      <c r="AH89" s="28"/>
      <c r="AI89" s="12"/>
      <c r="AJ89" s="6"/>
      <c r="AK89" s="28"/>
      <c r="AL89" s="6"/>
      <c r="AM89" s="28"/>
      <c r="AN89" s="6"/>
      <c r="AO89" s="28"/>
      <c r="AP89" s="6"/>
      <c r="AQ89" s="28"/>
      <c r="AR89" s="6"/>
      <c r="AS89" s="28"/>
      <c r="AT89" s="6"/>
      <c r="AU89" s="28"/>
      <c r="AV89" s="6"/>
      <c r="AW89" s="233"/>
      <c r="AX89" s="6"/>
      <c r="AY89" s="6"/>
      <c r="AZ89" s="6"/>
      <c r="BA89" s="24"/>
      <c r="BB89" s="24"/>
      <c r="BC89" s="28"/>
      <c r="BD89" s="6"/>
      <c r="BE89" s="6"/>
      <c r="BF89" s="6"/>
      <c r="BG89" s="6"/>
      <c r="BH89" s="6"/>
      <c r="BI89" s="6"/>
      <c r="BJ89" s="6"/>
      <c r="BK89" s="6"/>
      <c r="BL89" s="231"/>
      <c r="BM89" s="231"/>
      <c r="BN89" s="231"/>
      <c r="BO89" s="6"/>
      <c r="BP89" s="234"/>
      <c r="BQ89" s="231"/>
      <c r="BR89" s="6"/>
      <c r="BS89" s="6"/>
      <c r="BT89" s="6"/>
      <c r="BU89" s="6"/>
      <c r="BV89" s="6"/>
      <c r="BW89" s="6"/>
      <c r="BX89" s="6"/>
      <c r="BY89" s="231"/>
      <c r="BZ89" s="6"/>
      <c r="CA89" s="234"/>
      <c r="CB89" s="235"/>
      <c r="CC89" s="235"/>
      <c r="CD89" s="235"/>
      <c r="CE89" s="235"/>
      <c r="CF89" s="28"/>
      <c r="CG89" s="28"/>
      <c r="CH89" s="173"/>
      <c r="CI89" s="24"/>
      <c r="CJ89" s="25"/>
      <c r="CK89" s="6" t="e">
        <f t="shared" si="35"/>
        <v>#N/A</v>
      </c>
      <c r="CL89" s="8" t="s">
        <v>72</v>
      </c>
      <c r="CM89" s="6" t="e">
        <f t="shared" si="36"/>
        <v>#N/A</v>
      </c>
      <c r="CN89" s="236"/>
      <c r="CO89" s="15" t="e">
        <f>IF(VLOOKUP(CI89,'Summary-input'!A:C,3,0)="Outward",
IF(CP89&lt;0,"External","Internal"),
IF(CP89&lt;0,"Internal","External")
)</f>
        <v>#N/A</v>
      </c>
      <c r="CP89" t="e">
        <f>VLOOKUP(CI89&amp;CN89,'Summary-output-ULS'!A:G,6,0)</f>
        <v>#N/A</v>
      </c>
      <c r="CQ89" t="e">
        <f>VLOOKUP(CI89&amp;CN89,'Summary-output-ULS'!A:G,7,0)</f>
        <v>#N/A</v>
      </c>
      <c r="CR89" s="3" t="e">
        <f>VLOOKUP(CI89&amp;CN89,'Summary-output-SLS'!A:G,6,0)</f>
        <v>#N/A</v>
      </c>
      <c r="CS89" s="3" t="e">
        <f>VLOOKUP(CI89&amp;CN89,'Summary-output-SLS'!A:G,7,0)</f>
        <v>#N/A</v>
      </c>
      <c r="CT89" s="6"/>
      <c r="CU89" s="2" t="e">
        <f>VLOOKUP(CI89&amp;CN89,'Summary-output-ULS'!A:G,5,0)</f>
        <v>#N/A</v>
      </c>
      <c r="CV89" s="15" t="e">
        <f>VLOOKUP(CI89&amp;CN89,'Summary-output-SLS'!A:G,5,0)</f>
        <v>#N/A</v>
      </c>
      <c r="CW89" s="6"/>
      <c r="CX89" s="278"/>
      <c r="CY89" s="6"/>
      <c r="CZ89" s="6"/>
      <c r="DA89" s="6"/>
      <c r="DB89" s="6"/>
      <c r="DC89" s="6"/>
      <c r="DD89" s="6"/>
      <c r="DE89" s="6"/>
      <c r="DF89" s="6"/>
      <c r="DG89" s="6"/>
      <c r="DH89" s="6"/>
      <c r="DI89" s="6"/>
      <c r="DJ89" s="212"/>
      <c r="DK89" s="13"/>
      <c r="DL89" s="13"/>
      <c r="DM89" s="202"/>
      <c r="DN89" s="206"/>
      <c r="DO89" s="206"/>
      <c r="DP89" s="206"/>
      <c r="DQ89" s="206"/>
      <c r="DR89" s="206"/>
      <c r="DS89" s="207"/>
      <c r="DT89" s="208"/>
      <c r="DU89" s="207"/>
      <c r="DV89" s="207"/>
      <c r="DW89" s="207"/>
      <c r="DX89" s="207"/>
      <c r="DY89" s="207"/>
      <c r="DZ89" s="207"/>
    </row>
    <row r="90" spans="1:130" s="7" customFormat="1" ht="13.8" x14ac:dyDescent="0.25">
      <c r="A90" s="7" t="s">
        <v>141</v>
      </c>
      <c r="B90" s="19">
        <f>+CI90</f>
        <v>88</v>
      </c>
      <c r="C90" s="6">
        <f t="shared" ref="C90:E93" si="131">CJ90</f>
        <v>0</v>
      </c>
      <c r="D90" s="6">
        <f t="shared" si="131"/>
        <v>106</v>
      </c>
      <c r="E90" s="6" t="str">
        <f t="shared" si="131"/>
        <v>--</v>
      </c>
      <c r="F90" s="6">
        <f>+CM90</f>
        <v>206</v>
      </c>
      <c r="G90" s="174" t="str">
        <f t="shared" ref="G90:H93" si="132">CN90</f>
        <v>Max Mz</v>
      </c>
      <c r="H90" s="6" t="str">
        <f t="shared" si="132"/>
        <v>External</v>
      </c>
      <c r="I90" s="156"/>
      <c r="J90" s="10">
        <f t="shared" ref="J90:M93" si="133">(CP90)</f>
        <v>1538.5422385118247</v>
      </c>
      <c r="K90" s="10">
        <f t="shared" si="133"/>
        <v>-945.0793922874434</v>
      </c>
      <c r="L90" s="10">
        <f t="shared" si="133"/>
        <v>1029.7521079484775</v>
      </c>
      <c r="M90" s="10">
        <f t="shared" si="133"/>
        <v>-874.5559914489213</v>
      </c>
      <c r="N90" s="10">
        <f>IF(I90*J90&gt;=0,J90*$J$19+I90*$J$18,J90)</f>
        <v>1538.5422385118247</v>
      </c>
      <c r="O90" s="10">
        <f>(K90)*$J$19</f>
        <v>-945.0793922874434</v>
      </c>
      <c r="P90" s="14">
        <f>IF(I90*L90&gt;=0,(L90)+I90,L90)</f>
        <v>1029.7521079484775</v>
      </c>
      <c r="Q90" s="3">
        <f>(M90)</f>
        <v>-874.5559914489213</v>
      </c>
      <c r="R90" s="20">
        <f t="shared" ref="R90:R108" si="134">CT90</f>
        <v>1000</v>
      </c>
      <c r="S90" s="23"/>
      <c r="T90" s="12">
        <v>32</v>
      </c>
      <c r="U90" s="28"/>
      <c r="V90" s="28"/>
      <c r="W90" s="12"/>
      <c r="X90" s="28"/>
      <c r="Y90" s="28"/>
      <c r="Z90" s="12"/>
      <c r="AA90" s="28"/>
      <c r="AB90" s="28"/>
      <c r="AC90" s="158"/>
      <c r="AD90" s="28"/>
      <c r="AE90" s="28"/>
      <c r="AF90" s="158"/>
      <c r="AG90" s="28"/>
      <c r="AH90" s="28"/>
      <c r="AI90" s="29"/>
      <c r="AJ90" s="6">
        <f>PI()/4*T90^2*$O$12/$AX$16</f>
        <v>5361.6514621265796</v>
      </c>
      <c r="AK90" s="28" t="str">
        <f>IF(W90=0,"","+")</f>
        <v/>
      </c>
      <c r="AL90" s="6">
        <f>PI()/4*W90^2*$O$12/$AX$16</f>
        <v>0</v>
      </c>
      <c r="AM90" s="28" t="str">
        <f>IF(Z90=0,"","+")</f>
        <v/>
      </c>
      <c r="AN90" s="6">
        <f>PI()/4*Z90^2*$O$12/$AX$16</f>
        <v>0</v>
      </c>
      <c r="AO90" s="28" t="str">
        <f>IF(AC90=0,"","+")</f>
        <v/>
      </c>
      <c r="AP90" s="6">
        <f>PI()/4*AC90^2*$O$12/$AX$16</f>
        <v>0</v>
      </c>
      <c r="AQ90" s="28" t="str">
        <f>IF(AF90=0,"","+")</f>
        <v/>
      </c>
      <c r="AR90" s="6">
        <f>PI()/4*AF90^2*$O$12/$AX$16</f>
        <v>0</v>
      </c>
      <c r="AS90" s="28" t="str">
        <f>IF(AI90=0,"","+")</f>
        <v/>
      </c>
      <c r="AT90" s="6">
        <f>PI()/4*AI90^2*$O$12/$AX$16</f>
        <v>0</v>
      </c>
      <c r="AU90" s="28" t="s">
        <v>24</v>
      </c>
      <c r="AV90" s="15">
        <f>VALUE(AJ90)+VALUE(AL90)+VALUE(AN90)+VALUE(AP90)+VALUE(AR90)+VALUE(AT90)</f>
        <v>5361.6514621265796</v>
      </c>
      <c r="AW90" s="228">
        <f>MAX(0.3*$AJ$14^(2/3)/$AJ$16*0.26*100,0.13)</f>
        <v>0.15723814702688016</v>
      </c>
      <c r="AX90" s="6">
        <f>AW90/100*$O$12*BK90</f>
        <v>1416.7157047121905</v>
      </c>
      <c r="AY90" s="6"/>
      <c r="AZ90" s="6"/>
      <c r="BA90" s="24" t="str">
        <f>IF(BB90=0,"","+")</f>
        <v/>
      </c>
      <c r="BB90" s="24"/>
      <c r="BC90" s="28" t="s">
        <v>24</v>
      </c>
      <c r="BD90" s="15">
        <f>AX90+AZ90+BB90</f>
        <v>1416.7157047121905</v>
      </c>
      <c r="BE90" s="2">
        <f>(R90-($AX$14+$O$16+T90/2))</f>
        <v>901</v>
      </c>
      <c r="BF90" s="3">
        <f>IF(W90=0,0,(R90-($AX$14+T90/2+$O$16+$BI$16)))</f>
        <v>0</v>
      </c>
      <c r="BG90" s="3">
        <f>IF(Z90=0,0,(R90-($AX$14+T90/2+$BI$16+$O$16+$BI$17)))</f>
        <v>0</v>
      </c>
      <c r="BH90" s="3">
        <f>IF(AC90=0,0,(R90-($AX$14+T90/2+$O$16+$BI$16+$BI$17+$BI$18)))</f>
        <v>0</v>
      </c>
      <c r="BI90" s="3">
        <f>IF(AF90=0,0,(R90-($AX$14+T90/2+$O$16+$BI$16+$BI$17+$BI$18+$BL$16)))</f>
        <v>0</v>
      </c>
      <c r="BJ90" s="3">
        <f>IF(AI90=0,0,(R90-($AX$14+T90/2+$O$16+$BI$16+$BI$17+$BI$18+$BL$16+$BL$17)))</f>
        <v>0</v>
      </c>
      <c r="BK90" s="6">
        <f>(BE90*AJ90+BF90*AL90+BG90*AN90+BH90*AP90+BI90*AR90+BJ90*AT90)/AV90</f>
        <v>901.00000000000011</v>
      </c>
      <c r="BL90" s="175">
        <f>ABS(N90)*1000000/$O$12/BK90^2</f>
        <v>1.8952209205357278</v>
      </c>
      <c r="BM90" s="175">
        <f>BL90/$AJ$14</f>
        <v>5.9225653766741493E-2</v>
      </c>
      <c r="BN90" s="21">
        <f>IF(BM90&lt;0.167,0.5+SQRT(0.25-(BM90/1.134)),0.82)</f>
        <v>0.94471653004225131</v>
      </c>
      <c r="BO90" s="15">
        <f>ABS(N90)/(0.87*$AJ$16*BN90*BK90)*10^6</f>
        <v>4155.2184565561729</v>
      </c>
      <c r="BP90" s="22">
        <v>3809.739214925874</v>
      </c>
      <c r="BQ90" s="175">
        <f>IF(Q90=0,2*ABS(P90*10^6)/$O$12/BP90/(BK90-BP90/3),Q90*BP90*1000/($O$12/2*BP90^2-(BE90-BP90)*AJ90*$AJ$18-(BF90-BP90)*AL90*$AJ$18-(BG90-BP90)*AN90*$AJ$18-(BH90-BP90)*AP90*$AJ$18-(BI90-BP90)*AR90*$AJ$18-(BJ90-BP90)*AT90*$AJ$18))</f>
        <v>-0.44367543632638501</v>
      </c>
      <c r="BR90" s="3">
        <f>0.5*$O$12*BP90*BQ90 /1000</f>
        <v>-845.14385423598833</v>
      </c>
      <c r="BS90" s="3">
        <f>($BQ90/$BP90)*(BE90-$BP90)*$AJ$18*AJ90/1000</f>
        <v>29.412137212932915</v>
      </c>
      <c r="BT90" s="3">
        <f>($BQ90/$BP90)*(BF90-$BP90)*$AJ$18*AL90/1000</f>
        <v>0</v>
      </c>
      <c r="BU90" s="3">
        <f>($BQ90/$BP90)*(BG90-$BP90)*$AJ$18*AN90/1000</f>
        <v>0</v>
      </c>
      <c r="BV90" s="3">
        <f>($BQ90/$BP90)*(BH90-$BP90)*$AJ$18*AP90/1000</f>
        <v>0</v>
      </c>
      <c r="BW90" s="3">
        <f>($BQ90/$BP90)*(BI90-$BP90)*$AJ$18*AR90/1000</f>
        <v>0</v>
      </c>
      <c r="BX90" s="3">
        <f>($BQ90/$BP90)*(BJ90-$BP90)*$AJ$18*AT90/1000</f>
        <v>0</v>
      </c>
      <c r="BY90" s="175">
        <f>IF(Q90=0,0,(0.5*$O$12*BP90*BQ90/1000*(R90/2-$BP90/3)+BS90*(BE90-R90/2)+BT90*(BF90-R90/2)+BU90*(BG90-R90/2)+BV90*(BH90-R90/2)+BW90*(BI90-R90/2)+BX90*(BJ90-R90/2))/1000-ABS(P90))</f>
        <v>-367.27054013193856</v>
      </c>
      <c r="BZ90" s="10"/>
      <c r="CA90" s="176">
        <f>ABS(P90)/(BK90-BP90/3)/AV90*10^6-Q90*(R90/2-BP90/3)/(BK90-BP90/3)/AV90*1000</f>
        <v>-180.19364291560129</v>
      </c>
      <c r="CB90" s="177">
        <f>(AV90/($O$12*MIN(2.5*(R90-BK90),(R90-BP90)/3,R90/2)-AV90))</f>
        <v>-5.6921285340603769E-3</v>
      </c>
      <c r="CC90" s="177">
        <f>3.4*($O$16+$AX$14)+0.425*0.8*0.5*(T90^2+W90^2+Z90^2+AC90^2+AF90^2+AI90^2)/(T90+W90+Z90+AC90+AF90+AI90)/CB90</f>
        <v>-673.50575531601271</v>
      </c>
      <c r="CD90" s="177">
        <f>MAX(0.6*CA90/$AJ$17,(CA90-0.4*0.3*$AJ$14^(2/3)/CB90*(1+$AJ$17/$AJ$15*CB90))/$AJ$17)</f>
        <v>6.3550199570953231E-2</v>
      </c>
      <c r="CE90" s="178">
        <f>CC90*CD90/1000</f>
        <v>-4.2801425162518197E-2</v>
      </c>
      <c r="CF90" s="23" t="str">
        <f>IF(AND(AV90&gt;=BD90,AV90&gt;=BO90,CE90&lt;=(+IF(CO90="External",0.25,0.3))),"O.K", "Not O.K")</f>
        <v>O.K</v>
      </c>
      <c r="CG90" s="28"/>
      <c r="CH90" s="179" t="str">
        <f>IF(O90&lt;0.2*$AJ$14*R90*$O$12/1000,"N &lt; 0.2fckAc - OK!","TBA")</f>
        <v>N &lt; 0.2fckAc - OK!</v>
      </c>
      <c r="CI90" s="24">
        <v>88</v>
      </c>
      <c r="CJ90" s="25"/>
      <c r="CK90" s="6">
        <f t="shared" si="35"/>
        <v>106</v>
      </c>
      <c r="CL90" s="8" t="s">
        <v>72</v>
      </c>
      <c r="CM90" s="6">
        <f t="shared" si="36"/>
        <v>206</v>
      </c>
      <c r="CN90" s="26" t="s">
        <v>147</v>
      </c>
      <c r="CO90" s="15" t="str">
        <f>IF(VLOOKUP(CI90,'Summary-input'!A:C,3,0)="Outward",
IF(CP90&lt;0,"External","Internal"),
IF(CP90&lt;0,"Internal","External")
)</f>
        <v>External</v>
      </c>
      <c r="CP90">
        <f>VLOOKUP(CI90&amp;CN90,'Summary-output-ULS'!A:G,6,0)</f>
        <v>1538.5422385118247</v>
      </c>
      <c r="CQ90">
        <f>VLOOKUP(CI90&amp;CN90,'Summary-output-ULS'!A:G,7,0)</f>
        <v>-945.0793922874434</v>
      </c>
      <c r="CR90" s="3">
        <f>VLOOKUP(CI90&amp;CN90,'Summary-output-SLS'!A:G,6,0)</f>
        <v>1029.7521079484775</v>
      </c>
      <c r="CS90" s="3">
        <f>VLOOKUP(CI90&amp;CN90,'Summary-output-SLS'!A:G,7,0)</f>
        <v>-874.5559914489213</v>
      </c>
      <c r="CT90" s="20">
        <v>1000</v>
      </c>
      <c r="CU90" s="2">
        <f>VLOOKUP(CI90&amp;CN90,'Summary-output-ULS'!A:G,5,0)</f>
        <v>106</v>
      </c>
      <c r="CV90" s="15">
        <f>VLOOKUP(CI90&amp;CN90,'Summary-output-SLS'!A:G,5,0)</f>
        <v>206</v>
      </c>
      <c r="CW90" s="6"/>
      <c r="CX90" s="278">
        <f>CI90</f>
        <v>88</v>
      </c>
      <c r="CY90" s="6">
        <f t="shared" ref="CY90:DD90" si="135">MAX(DN90:DN93)</f>
        <v>32</v>
      </c>
      <c r="CZ90" s="6">
        <f t="shared" si="135"/>
        <v>0</v>
      </c>
      <c r="DA90" s="6">
        <f t="shared" si="135"/>
        <v>0</v>
      </c>
      <c r="DB90" s="6">
        <f t="shared" si="135"/>
        <v>0</v>
      </c>
      <c r="DC90" s="6">
        <f t="shared" si="135"/>
        <v>0</v>
      </c>
      <c r="DD90" s="6">
        <f t="shared" si="135"/>
        <v>0</v>
      </c>
      <c r="DE90" s="6"/>
      <c r="DF90" s="6">
        <f t="shared" ref="DF90:DK90" si="136">MAX(DU90:DU93)</f>
        <v>0</v>
      </c>
      <c r="DG90" s="6">
        <f t="shared" si="136"/>
        <v>0</v>
      </c>
      <c r="DH90" s="6">
        <f t="shared" si="136"/>
        <v>0</v>
      </c>
      <c r="DI90" s="6">
        <f t="shared" si="136"/>
        <v>0</v>
      </c>
      <c r="DJ90" s="6">
        <f t="shared" si="136"/>
        <v>0</v>
      </c>
      <c r="DK90" s="6">
        <f t="shared" si="136"/>
        <v>0</v>
      </c>
      <c r="DL90" s="13"/>
      <c r="DM90" s="202">
        <f>CI90</f>
        <v>88</v>
      </c>
      <c r="DN90" s="206">
        <f>IF(CO90="external",T90,0)</f>
        <v>32</v>
      </c>
      <c r="DO90" s="206">
        <f>IF(CO90="external",W90,0)</f>
        <v>0</v>
      </c>
      <c r="DP90" s="206">
        <f>IF(CO90="external",Z90,0)</f>
        <v>0</v>
      </c>
      <c r="DQ90" s="206">
        <f>IF(CO90="external",AC90,0)</f>
        <v>0</v>
      </c>
      <c r="DR90" s="206">
        <f>IF(CO90="external",AF90,0)</f>
        <v>0</v>
      </c>
      <c r="DS90" s="207">
        <f>IF(CO90="external",AI90,0)</f>
        <v>0</v>
      </c>
      <c r="DT90" s="208"/>
      <c r="DU90" s="207">
        <f>IF(CO90="internal",T90,0)</f>
        <v>0</v>
      </c>
      <c r="DV90" s="207">
        <f>IF(CO90="internal",W90,0)</f>
        <v>0</v>
      </c>
      <c r="DW90" s="207">
        <f>IF(CO90="internal",Z90,0)</f>
        <v>0</v>
      </c>
      <c r="DX90" s="207">
        <f>IF(CO90="internal",AC90,0)</f>
        <v>0</v>
      </c>
      <c r="DY90" s="207">
        <f>IF(CO90="internal",AF90,0)</f>
        <v>0</v>
      </c>
      <c r="DZ90" s="207">
        <f>IF(CO90="internal",AI90,0)</f>
        <v>0</v>
      </c>
    </row>
    <row r="91" spans="1:130" s="7" customFormat="1" x14ac:dyDescent="0.3">
      <c r="B91" s="19">
        <f>+CI91</f>
        <v>88</v>
      </c>
      <c r="C91" s="6">
        <f t="shared" si="131"/>
        <v>0</v>
      </c>
      <c r="D91" s="6">
        <f t="shared" si="131"/>
        <v>112</v>
      </c>
      <c r="E91" s="6" t="str">
        <f t="shared" si="131"/>
        <v>--</v>
      </c>
      <c r="F91" s="6">
        <f>+CM91</f>
        <v>212</v>
      </c>
      <c r="G91" s="174" t="str">
        <f t="shared" si="132"/>
        <v>Min Mz</v>
      </c>
      <c r="H91" s="6" t="str">
        <f t="shared" si="132"/>
        <v>External</v>
      </c>
      <c r="I91" s="156"/>
      <c r="J91" s="10">
        <f t="shared" si="133"/>
        <v>43.304658659302085</v>
      </c>
      <c r="K91" s="10">
        <f t="shared" si="133"/>
        <v>-1382.7405439494896</v>
      </c>
      <c r="L91" s="10">
        <f t="shared" si="133"/>
        <v>-27.500841586904532</v>
      </c>
      <c r="M91" s="10">
        <f t="shared" si="133"/>
        <v>-1226.2332882530541</v>
      </c>
      <c r="N91" s="10">
        <f>IF(I91*J91&gt;=0,J91*$J$19+I91*$J$18,J91)</f>
        <v>43.304658659302085</v>
      </c>
      <c r="O91" s="10">
        <f>(K91)*$J$19</f>
        <v>-1382.7405439494896</v>
      </c>
      <c r="P91" s="14">
        <f>IF(I91*L91&gt;=0,(L91)+I91,L91)</f>
        <v>-27.500841586904532</v>
      </c>
      <c r="Q91" s="3">
        <f>(M91)</f>
        <v>-1226.2332882530541</v>
      </c>
      <c r="R91" s="20">
        <f t="shared" si="134"/>
        <v>1000</v>
      </c>
      <c r="S91" s="23"/>
      <c r="T91" s="12">
        <v>20</v>
      </c>
      <c r="U91" s="28"/>
      <c r="V91" s="28"/>
      <c r="W91" s="12"/>
      <c r="X91" s="28"/>
      <c r="Y91" s="28"/>
      <c r="Z91" s="12"/>
      <c r="AA91" s="28"/>
      <c r="AB91" s="28"/>
      <c r="AC91" s="158"/>
      <c r="AD91" s="28"/>
      <c r="AE91" s="28"/>
      <c r="AF91" s="158"/>
      <c r="AG91" s="28"/>
      <c r="AH91" s="28"/>
      <c r="AI91" s="29"/>
      <c r="AJ91" s="6">
        <f>PI()/4*T91^2*$O$12/$AX$16</f>
        <v>2094.3951023931954</v>
      </c>
      <c r="AK91" s="28" t="str">
        <f>IF(W91=0,"","+")</f>
        <v/>
      </c>
      <c r="AL91" s="6">
        <f>PI()/4*W91^2*$O$12/$AX$16</f>
        <v>0</v>
      </c>
      <c r="AM91" s="28" t="str">
        <f>IF(Z91=0,"","+")</f>
        <v/>
      </c>
      <c r="AN91" s="6">
        <f>PI()/4*Z91^2*$O$12/$AX$16</f>
        <v>0</v>
      </c>
      <c r="AO91" s="28" t="str">
        <f>IF(AC91=0,"","+")</f>
        <v/>
      </c>
      <c r="AP91" s="6">
        <f>PI()/4*AC91^2*$O$12/$AX$16</f>
        <v>0</v>
      </c>
      <c r="AQ91" s="28" t="str">
        <f>IF(AF91=0,"","+")</f>
        <v/>
      </c>
      <c r="AR91" s="6">
        <f>PI()/4*AF91^2*$O$12/$AX$16</f>
        <v>0</v>
      </c>
      <c r="AS91" s="28" t="str">
        <f>IF(AI91=0,"","+")</f>
        <v/>
      </c>
      <c r="AT91" s="6">
        <f>PI()/4*AI91^2*$O$12/$AX$16</f>
        <v>0</v>
      </c>
      <c r="AU91" s="28" t="s">
        <v>24</v>
      </c>
      <c r="AV91" s="15">
        <f>VALUE(AJ91)+VALUE(AL91)+VALUE(AN91)+VALUE(AP91)+VALUE(AR91)+VALUE(AT91)</f>
        <v>2094.3951023931954</v>
      </c>
      <c r="AW91" s="228">
        <f>MAX(0.3*$AJ$14^(2/3)/$AJ$16*0.26*100,0.13)</f>
        <v>0.15723814702688016</v>
      </c>
      <c r="AX91" s="6">
        <f>AW91/100*$O$12*BK91</f>
        <v>1426.1499935338031</v>
      </c>
      <c r="AY91" s="6"/>
      <c r="AZ91" s="6"/>
      <c r="BA91" s="24" t="str">
        <f>IF(BB91=0,"","+")</f>
        <v/>
      </c>
      <c r="BB91" s="24"/>
      <c r="BC91" s="28" t="s">
        <v>24</v>
      </c>
      <c r="BD91" s="15">
        <f>AX91+AZ91+BB91</f>
        <v>1426.1499935338031</v>
      </c>
      <c r="BE91" s="2">
        <f>(R91-($AX$14+$O$16+T91/2))</f>
        <v>907</v>
      </c>
      <c r="BF91" s="3">
        <f>IF(W91=0,0,(R91-($AX$14+T91/2+$O$16+$BI$16)))</f>
        <v>0</v>
      </c>
      <c r="BG91" s="3">
        <f>IF(Z91=0,0,(R91-($AX$14+T91/2+$BI$16+$O$16+$BI$17)))</f>
        <v>0</v>
      </c>
      <c r="BH91" s="3">
        <f>IF(AC91=0,0,(R91-($AX$14+T91/2+$O$16+$BI$16+$BI$17+$BI$18)))</f>
        <v>0</v>
      </c>
      <c r="BI91" s="3">
        <f>IF(AF91=0,0,(R91-($AX$14+T91/2+$O$16+$BI$16+$BI$17+$BI$18+$BL$16)))</f>
        <v>0</v>
      </c>
      <c r="BJ91" s="3">
        <f>IF(AI91=0,0,(R91-($AX$14+T91/2+$O$16+$BI$16+$BI$17+$BI$18+$BL$16+$BL$17)))</f>
        <v>0</v>
      </c>
      <c r="BK91" s="6">
        <f>(BE91*AJ91+BF91*AL91+BG91*AN91+BH91*AP91+BI91*AR91+BJ91*AT91)/AV91</f>
        <v>907</v>
      </c>
      <c r="BL91" s="175">
        <f>ABS(N91)*1000000/$O$12/BK91^2</f>
        <v>5.264050483171083E-2</v>
      </c>
      <c r="BM91" s="175">
        <f>BL91/$AJ$14</f>
        <v>1.6450157759909634E-3</v>
      </c>
      <c r="BN91" s="21">
        <f>IF(BM91&lt;0.167,0.5+SQRT(0.25-(BM91/1.134)),0.82)</f>
        <v>0.99854725834592728</v>
      </c>
      <c r="BO91" s="15">
        <f>ABS(N91)/(0.87*$AJ$16*BN91*BK91)*10^6</f>
        <v>109.91816058090164</v>
      </c>
      <c r="BP91" s="22">
        <v>1520.1552643055086</v>
      </c>
      <c r="BQ91" s="175">
        <f>IF(Q91=0,2*ABS(P91*10^6)/$O$12/BP91/(BK91-BP91/3),Q91*BP91*1000/($O$12/2*BP91^2-(BE91-BP91)*AJ91*$AJ$18-(BF91-BP91)*AL91*$AJ$18-(BG91-BP91)*AN91*$AJ$18-(BH91-BP91)*AP91*$AJ$18-(BI91-BP91)*AR91*$AJ$18-(BJ91-BP91)*AT91*$AJ$18))</f>
        <v>-1.5847764627842813</v>
      </c>
      <c r="BR91" s="3">
        <f>0.5*$O$12*BP91*BQ91 /1000</f>
        <v>-1204.5531413244942</v>
      </c>
      <c r="BS91" s="3">
        <f>($BQ91/$BP91)*(BE91-$BP91)*$AJ$18*AJ91/1000</f>
        <v>21.68014692856023</v>
      </c>
      <c r="BT91" s="3">
        <f>($BQ91/$BP91)*(BF91-$BP91)*$AJ$18*AL91/1000</f>
        <v>0</v>
      </c>
      <c r="BU91" s="3">
        <f>($BQ91/$BP91)*(BG91-$BP91)*$AJ$18*AN91/1000</f>
        <v>0</v>
      </c>
      <c r="BV91" s="3">
        <f>($BQ91/$BP91)*(BH91-$BP91)*$AJ$18*AP91/1000</f>
        <v>0</v>
      </c>
      <c r="BW91" s="3">
        <f>($BQ91/$BP91)*(BI91-$BP91)*$AJ$18*AR91/1000</f>
        <v>0</v>
      </c>
      <c r="BX91" s="3">
        <f>($BQ91/$BP91)*(BJ91-$BP91)*$AJ$18*AT91/1000</f>
        <v>0</v>
      </c>
      <c r="BY91" s="175">
        <f>IF(Q91=0,0,(0.5*$O$12*BP91*BQ91/1000*(R91/2-$BP91/3)+BS91*(BE91-R91/2)+BT91*(BF91-R91/2)+BU91*(BG91-R91/2)+BV91*(BH91-R91/2)+BW91*(BI91-R91/2)+BX91*(BJ91-R91/2))/1000-ABS(P91))</f>
        <v>-10.584326142505226</v>
      </c>
      <c r="BZ91" s="10"/>
      <c r="CA91" s="176">
        <f>ABS(P91)/(BK91-BP91/3)/AV91*10^6-Q91*(R91/2-BP91/3)/(BK91-BP91/3)/AV91*1000</f>
        <v>22.97672885931977</v>
      </c>
      <c r="CB91" s="177">
        <f>(AV91/($O$12*MIN(2.5*(R91-BK91),(R91-BP91)/3,R91/2)-AV91))</f>
        <v>-1.1935270517953726E-2</v>
      </c>
      <c r="CC91" s="177">
        <f>3.4*($O$16+$AX$14)+0.425*0.8*0.5*(T91^2+W91^2+Z91^2+AC91^2+AF91^2+AI91^2)/(T91+W91+Z91+AC91+AF91+AI91)/CB91</f>
        <v>-2.6699570642762183</v>
      </c>
      <c r="CD91" s="177">
        <f>MAX(0.6*CA91/$AJ$17,(CA91-0.4*0.3*$AJ$14^(2/3)/CB91*(1+$AJ$17/$AJ$15*CB91))/$AJ$17)</f>
        <v>0.52365033785058657</v>
      </c>
      <c r="CE91" s="178">
        <f>CC91*CD91/1000</f>
        <v>-1.3981239187548021E-3</v>
      </c>
      <c r="CF91" s="23" t="str">
        <f>IF(AND(AV91&gt;=BD91,AV91&gt;=BO91,CE91&lt;=(+IF(CO91="External",0.25,0.3))),"O.K", "Not O.K")</f>
        <v>O.K</v>
      </c>
      <c r="CG91" s="28"/>
      <c r="CH91" s="179" t="str">
        <f>IF(O91&lt;0.2*$AJ$14*R91*$O$12/1000,"N &lt; 0.2fckAc - OK!","TBA")</f>
        <v>N &lt; 0.2fckAc - OK!</v>
      </c>
      <c r="CI91" s="24">
        <v>88</v>
      </c>
      <c r="CJ91" s="25"/>
      <c r="CK91" s="6">
        <f t="shared" si="35"/>
        <v>112</v>
      </c>
      <c r="CL91" s="8" t="s">
        <v>72</v>
      </c>
      <c r="CM91" s="6">
        <f t="shared" si="36"/>
        <v>212</v>
      </c>
      <c r="CN91" s="26" t="s">
        <v>148</v>
      </c>
      <c r="CO91" s="15" t="str">
        <f>IF(VLOOKUP(CI91,'Summary-input'!A:C,3,0)="Outward",
IF(CP91&lt;0,"External","Internal"),
IF(CP91&lt;0,"Internal","External")
)</f>
        <v>External</v>
      </c>
      <c r="CP91">
        <f>VLOOKUP(CI91&amp;CN91,'Summary-output-ULS'!A:G,6,0)</f>
        <v>43.304658659302085</v>
      </c>
      <c r="CQ91">
        <f>VLOOKUP(CI91&amp;CN91,'Summary-output-ULS'!A:G,7,0)</f>
        <v>-1382.7405439494896</v>
      </c>
      <c r="CR91" s="3">
        <f>VLOOKUP(CI91&amp;CN91,'Summary-output-SLS'!A:G,6,0)</f>
        <v>-27.500841586904532</v>
      </c>
      <c r="CS91" s="3">
        <f>VLOOKUP(CI91&amp;CN91,'Summary-output-SLS'!A:G,7,0)</f>
        <v>-1226.2332882530541</v>
      </c>
      <c r="CT91" s="20">
        <v>1000</v>
      </c>
      <c r="CU91" s="2">
        <f>VLOOKUP(CI91&amp;CN91,'Summary-output-ULS'!A:G,5,0)</f>
        <v>112</v>
      </c>
      <c r="CV91" s="15">
        <f>VLOOKUP(CI91&amp;CN91,'Summary-output-SLS'!A:G,5,0)</f>
        <v>212</v>
      </c>
      <c r="CW91" s="6"/>
      <c r="CX91" s="278"/>
      <c r="CY91" s="6"/>
      <c r="CZ91" s="6"/>
      <c r="DA91" s="6"/>
      <c r="DB91" s="6"/>
      <c r="DC91" s="6"/>
      <c r="DD91" s="6"/>
      <c r="DE91" s="6"/>
      <c r="DF91" s="6"/>
      <c r="DG91" s="6"/>
      <c r="DH91" s="6"/>
      <c r="DI91" s="6"/>
      <c r="DJ91" s="212"/>
      <c r="DK91" s="13"/>
      <c r="DL91" s="13"/>
      <c r="DM91" s="202"/>
      <c r="DN91" s="206">
        <f>IF(CO91="external",T91,0)</f>
        <v>20</v>
      </c>
      <c r="DO91" s="206">
        <f>IF(CO91="external",W91,0)</f>
        <v>0</v>
      </c>
      <c r="DP91" s="206">
        <f>IF(CO91="external",Z91,0)</f>
        <v>0</v>
      </c>
      <c r="DQ91" s="206">
        <f>IF(CO91="external",AC91,0)</f>
        <v>0</v>
      </c>
      <c r="DR91" s="206">
        <f>IF(CO91="external",AF91,0)</f>
        <v>0</v>
      </c>
      <c r="DS91" s="207">
        <f>IF(CO91="external",AI91,0)</f>
        <v>0</v>
      </c>
      <c r="DT91" s="208"/>
      <c r="DU91" s="207">
        <f>IF(CO91="internal",T91,0)</f>
        <v>0</v>
      </c>
      <c r="DV91" s="207">
        <f>IF(CO91="internal",W91,0)</f>
        <v>0</v>
      </c>
      <c r="DW91" s="207">
        <f>IF(CO91="internal",Z91,0)</f>
        <v>0</v>
      </c>
      <c r="DX91" s="207">
        <f>IF(CO91="internal",AC91,0)</f>
        <v>0</v>
      </c>
      <c r="DY91" s="207">
        <f>IF(CO91="internal",AF91,0)</f>
        <v>0</v>
      </c>
      <c r="DZ91" s="207">
        <f>IF(CO91="internal",AI91,0)</f>
        <v>0</v>
      </c>
    </row>
    <row r="92" spans="1:130" s="7" customFormat="1" x14ac:dyDescent="0.3">
      <c r="B92" s="19">
        <f>+CI92</f>
        <v>88</v>
      </c>
      <c r="C92" s="6">
        <f t="shared" si="131"/>
        <v>0</v>
      </c>
      <c r="D92" s="6">
        <f t="shared" si="131"/>
        <v>101</v>
      </c>
      <c r="E92" s="6" t="str">
        <f t="shared" si="131"/>
        <v>--</v>
      </c>
      <c r="F92" s="6">
        <f>+CM92</f>
        <v>201</v>
      </c>
      <c r="G92" s="174" t="str">
        <f t="shared" si="132"/>
        <v>Max Fx</v>
      </c>
      <c r="H92" s="6" t="str">
        <f t="shared" si="132"/>
        <v>External</v>
      </c>
      <c r="I92" s="156"/>
      <c r="J92" s="10">
        <f t="shared" si="133"/>
        <v>1231.2535120563011</v>
      </c>
      <c r="K92" s="10">
        <f t="shared" si="133"/>
        <v>-1768.6836844405352</v>
      </c>
      <c r="L92" s="10">
        <f t="shared" si="133"/>
        <v>894.59498692410796</v>
      </c>
      <c r="M92" s="10">
        <f t="shared" si="133"/>
        <v>-1279.5923228395541</v>
      </c>
      <c r="N92" s="10">
        <f>IF(I92*J92&gt;=0,J92*$J$19+I92*$J$18,J92)</f>
        <v>1231.2535120563011</v>
      </c>
      <c r="O92" s="10">
        <f>(K92)*$J$19</f>
        <v>-1768.6836844405352</v>
      </c>
      <c r="P92" s="14">
        <f>IF(I92*L92&gt;=0,(L92)+I92,L92)</f>
        <v>894.59498692410796</v>
      </c>
      <c r="Q92" s="3">
        <f>(M92)</f>
        <v>-1279.5923228395541</v>
      </c>
      <c r="R92" s="20">
        <f t="shared" si="134"/>
        <v>1000</v>
      </c>
      <c r="S92" s="23"/>
      <c r="T92" s="12">
        <v>32</v>
      </c>
      <c r="U92" s="28"/>
      <c r="V92" s="28"/>
      <c r="W92" s="12"/>
      <c r="X92" s="28"/>
      <c r="Y92" s="28"/>
      <c r="Z92" s="12"/>
      <c r="AA92" s="28"/>
      <c r="AB92" s="28"/>
      <c r="AC92" s="158"/>
      <c r="AD92" s="28"/>
      <c r="AE92" s="28"/>
      <c r="AF92" s="158"/>
      <c r="AG92" s="28"/>
      <c r="AH92" s="28"/>
      <c r="AI92" s="29"/>
      <c r="AJ92" s="6">
        <f>PI()/4*T92^2*$O$12/$AX$16</f>
        <v>5361.6514621265796</v>
      </c>
      <c r="AK92" s="28" t="str">
        <f>IF(W92=0,"","+")</f>
        <v/>
      </c>
      <c r="AL92" s="6">
        <f>PI()/4*W92^2*$O$12/$AX$16</f>
        <v>0</v>
      </c>
      <c r="AM92" s="28" t="str">
        <f>IF(Z92=0,"","+")</f>
        <v/>
      </c>
      <c r="AN92" s="6">
        <f>PI()/4*Z92^2*$O$12/$AX$16</f>
        <v>0</v>
      </c>
      <c r="AO92" s="28" t="str">
        <f>IF(AC92=0,"","+")</f>
        <v/>
      </c>
      <c r="AP92" s="6">
        <f>PI()/4*AC92^2*$O$12/$AX$16</f>
        <v>0</v>
      </c>
      <c r="AQ92" s="28" t="str">
        <f>IF(AF92=0,"","+")</f>
        <v/>
      </c>
      <c r="AR92" s="6">
        <f>PI()/4*AF92^2*$O$12/$AX$16</f>
        <v>0</v>
      </c>
      <c r="AS92" s="28" t="str">
        <f>IF(AI92=0,"","+")</f>
        <v/>
      </c>
      <c r="AT92" s="6">
        <f>PI()/4*AI92^2*$O$12/$AX$16</f>
        <v>0</v>
      </c>
      <c r="AU92" s="28" t="s">
        <v>24</v>
      </c>
      <c r="AV92" s="15">
        <f>VALUE(AJ92)+VALUE(AL92)+VALUE(AN92)+VALUE(AP92)+VALUE(AR92)+VALUE(AT92)</f>
        <v>5361.6514621265796</v>
      </c>
      <c r="AW92" s="228">
        <f>MAX(0.3*$AJ$14^(2/3)/$AJ$16*0.26*100,0.13)</f>
        <v>0.15723814702688016</v>
      </c>
      <c r="AX92" s="6">
        <f>AW92/100*$O$12*BK92</f>
        <v>1416.7157047121905</v>
      </c>
      <c r="AY92" s="6"/>
      <c r="AZ92" s="6"/>
      <c r="BA92" s="24" t="str">
        <f>IF(BB92=0,"","+")</f>
        <v/>
      </c>
      <c r="BB92" s="24"/>
      <c r="BC92" s="28" t="s">
        <v>24</v>
      </c>
      <c r="BD92" s="15">
        <f>AX92+AZ92+BB92</f>
        <v>1416.7157047121905</v>
      </c>
      <c r="BE92" s="2">
        <f>(R92-($AX$14+$O$16+T92/2))</f>
        <v>901</v>
      </c>
      <c r="BF92" s="3">
        <f>IF(W92=0,0,(R92-($AX$14+T92/2+$O$16+$BI$16)))</f>
        <v>0</v>
      </c>
      <c r="BG92" s="3">
        <f>IF(Z92=0,0,(R92-($AX$14+T92/2+$BI$16+$O$16+$BI$17)))</f>
        <v>0</v>
      </c>
      <c r="BH92" s="3">
        <f>IF(AC92=0,0,(R92-($AX$14+T92/2+$O$16+$BI$16+$BI$17+$BI$18)))</f>
        <v>0</v>
      </c>
      <c r="BI92" s="3">
        <f>IF(AF92=0,0,(R92-($AX$14+T92/2+$O$16+$BI$16+$BI$17+$BI$18+$BL$16)))</f>
        <v>0</v>
      </c>
      <c r="BJ92" s="3">
        <f>IF(AI92=0,0,(R92-($AX$14+T92/2+$O$16+$BI$16+$BI$17+$BI$18+$BL$16+$BL$17)))</f>
        <v>0</v>
      </c>
      <c r="BK92" s="6">
        <f>(BE92*AJ92+BF92*AL92+BG92*AN92+BH92*AP92+BI92*AR92+BJ92*AT92)/AV92</f>
        <v>901.00000000000011</v>
      </c>
      <c r="BL92" s="175">
        <f>ABS(N92)*1000000/$O$12/BK92^2</f>
        <v>1.5166937612251041</v>
      </c>
      <c r="BM92" s="175">
        <f>BL92/$AJ$14</f>
        <v>4.7396680038284504E-2</v>
      </c>
      <c r="BN92" s="21">
        <f>IF(BM92&lt;0.167,0.5+SQRT(0.25-(BM92/1.134)),0.82)</f>
        <v>0.95629374952643387</v>
      </c>
      <c r="BO92" s="15">
        <f>ABS(N92)/(0.87*$AJ$16*BN92*BK92)*10^6</f>
        <v>3285.0510066286806</v>
      </c>
      <c r="BP92" s="22">
        <v>3809.739214925874</v>
      </c>
      <c r="BQ92" s="175">
        <f>IF(Q92=0,2*ABS(P92*10^6)/$O$12/BP92/(BK92-BP92/3),Q92*BP92*1000/($O$12/2*BP92^2-(BE92-BP92)*AJ92*$AJ$18-(BF92-BP92)*AL92*$AJ$18-(BG92-BP92)*AN92*$AJ$18-(BH92-BP92)*AP92*$AJ$18-(BI92-BP92)*AR92*$AJ$18-(BJ92-BP92)*AT92*$AJ$18))</f>
        <v>-0.64915647220614781</v>
      </c>
      <c r="BR92" s="3">
        <f>0.5*$O$12*BP92*BQ92 /1000</f>
        <v>-1236.5584343933499</v>
      </c>
      <c r="BS92" s="3">
        <f>($BQ92/$BP92)*(BE92-$BP92)*$AJ$18*AJ92/1000</f>
        <v>43.033888446204351</v>
      </c>
      <c r="BT92" s="3">
        <f>($BQ92/$BP92)*(BF92-$BP92)*$AJ$18*AL92/1000</f>
        <v>0</v>
      </c>
      <c r="BU92" s="3">
        <f>($BQ92/$BP92)*(BG92-$BP92)*$AJ$18*AN92/1000</f>
        <v>0</v>
      </c>
      <c r="BV92" s="3">
        <f>($BQ92/$BP92)*(BH92-$BP92)*$AJ$18*AP92/1000</f>
        <v>0</v>
      </c>
      <c r="BW92" s="3">
        <f>($BQ92/$BP92)*(BI92-$BP92)*$AJ$18*AR92/1000</f>
        <v>0</v>
      </c>
      <c r="BX92" s="3">
        <f>($BQ92/$BP92)*(BJ92-$BP92)*$AJ$18*AT92/1000</f>
        <v>0</v>
      </c>
      <c r="BY92" s="175">
        <f>IF(Q92=0,0,(0.5*$O$12*BP92*BQ92/1000*(R92/2-$BP92/3)+BS92*(BE92-R92/2)+BT92*(BF92-R92/2)+BU92*(BG92-R92/2)+BV92*(BH92-R92/2)+BW92*(BI92-R92/2)+BX92*(BJ92-R92/2))/1000-ABS(P92))</f>
        <v>74.70410483137448</v>
      </c>
      <c r="BZ92" s="10"/>
      <c r="CA92" s="176">
        <f>ABS(P92)/(BK92-BP92/3)/AV92*10^6-Q92*(R92/2-BP92/3)/(BK92-BP92/3)/AV92*1000</f>
        <v>45.794051115772788</v>
      </c>
      <c r="CB92" s="177">
        <f>(AV92/($O$12*MIN(2.5*(R92-BK92),(R92-BP92)/3,R92/2)-AV92))</f>
        <v>-5.6921285340603769E-3</v>
      </c>
      <c r="CC92" s="177">
        <f>3.4*($O$16+$AX$14)+0.425*0.8*0.5*(T92^2+W92^2+Z92^2+AC92^2+AF92^2+AI92^2)/(T92+W92+Z92+AC92+AF92+AI92)/CB92</f>
        <v>-673.50575531601271</v>
      </c>
      <c r="CD92" s="177">
        <f>MAX(0.6*CA92/$AJ$17,(CA92-0.4*0.3*$AJ$14^(2/3)/CB92*(1+$AJ$17/$AJ$15*CB92))/$AJ$17)</f>
        <v>1.1934886697278235</v>
      </c>
      <c r="CE92" s="178">
        <f>CC92*CD92/1000</f>
        <v>-0.80382148796614106</v>
      </c>
      <c r="CF92" s="23" t="str">
        <f>IF(AND(AV92&gt;=BD92,AV92&gt;=BO92,CE92&lt;=(+IF(CO92="External",0.25,0.3))),"O.K", "Not O.K")</f>
        <v>O.K</v>
      </c>
      <c r="CG92" s="28"/>
      <c r="CH92" s="179" t="str">
        <f>IF(O92&lt;0.2*$AJ$14*R92*$O$12/1000,"N &lt; 0.2fckAc - OK!","TBA")</f>
        <v>N &lt; 0.2fckAc - OK!</v>
      </c>
      <c r="CI92" s="24">
        <v>88</v>
      </c>
      <c r="CJ92" s="25"/>
      <c r="CK92" s="6">
        <f t="shared" si="35"/>
        <v>101</v>
      </c>
      <c r="CL92" s="8" t="s">
        <v>72</v>
      </c>
      <c r="CM92" s="6">
        <f t="shared" si="36"/>
        <v>201</v>
      </c>
      <c r="CN92" s="26" t="s">
        <v>145</v>
      </c>
      <c r="CO92" s="15" t="str">
        <f>IF(VLOOKUP(CI92,'Summary-input'!A:C,3,0)="Outward",
IF(CP92&lt;0,"External","Internal"),
IF(CP92&lt;0,"Internal","External")
)</f>
        <v>External</v>
      </c>
      <c r="CP92">
        <f>VLOOKUP(CI92&amp;CN92,'Summary-output-ULS'!A:G,6,0)</f>
        <v>1231.2535120563011</v>
      </c>
      <c r="CQ92">
        <f>VLOOKUP(CI92&amp;CN92,'Summary-output-ULS'!A:G,7,0)</f>
        <v>-1768.6836844405352</v>
      </c>
      <c r="CR92" s="3">
        <f>VLOOKUP(CI92&amp;CN92,'Summary-output-SLS'!A:G,6,0)</f>
        <v>894.59498692410796</v>
      </c>
      <c r="CS92" s="3">
        <f>VLOOKUP(CI92&amp;CN92,'Summary-output-SLS'!A:G,7,0)</f>
        <v>-1279.5923228395541</v>
      </c>
      <c r="CT92" s="20">
        <v>1000</v>
      </c>
      <c r="CU92" s="2">
        <f>VLOOKUP(CI92&amp;CN92,'Summary-output-ULS'!A:G,5,0)</f>
        <v>101</v>
      </c>
      <c r="CV92" s="15">
        <f>VLOOKUP(CI92&amp;CN92,'Summary-output-SLS'!A:G,5,0)</f>
        <v>201</v>
      </c>
      <c r="CW92" s="6"/>
      <c r="CX92" s="278"/>
      <c r="CY92" s="6"/>
      <c r="CZ92" s="6"/>
      <c r="DA92" s="6"/>
      <c r="DB92" s="6"/>
      <c r="DC92" s="6"/>
      <c r="DD92" s="6"/>
      <c r="DE92" s="6"/>
      <c r="DF92" s="6"/>
      <c r="DG92" s="6"/>
      <c r="DH92" s="6"/>
      <c r="DI92" s="6"/>
      <c r="DJ92" s="212"/>
      <c r="DK92" s="13"/>
      <c r="DL92" s="13"/>
      <c r="DM92" s="202"/>
      <c r="DN92" s="206">
        <f>IF(CO92="external",T92,0)</f>
        <v>32</v>
      </c>
      <c r="DO92" s="206">
        <f>IF(CO92="external",W92,0)</f>
        <v>0</v>
      </c>
      <c r="DP92" s="206">
        <f>IF(CO92="external",Z92,0)</f>
        <v>0</v>
      </c>
      <c r="DQ92" s="206">
        <f>IF(CO92="external",AC92,0)</f>
        <v>0</v>
      </c>
      <c r="DR92" s="206">
        <f>IF(CO92="external",AF92,0)</f>
        <v>0</v>
      </c>
      <c r="DS92" s="207">
        <f>IF(CO92="external",AI92,0)</f>
        <v>0</v>
      </c>
      <c r="DT92" s="208"/>
      <c r="DU92" s="207">
        <f>IF(CO92="internal",T92,0)</f>
        <v>0</v>
      </c>
      <c r="DV92" s="207">
        <f>IF(CO92="internal",W92,0)</f>
        <v>0</v>
      </c>
      <c r="DW92" s="207">
        <f>IF(CO92="internal",Z92,0)</f>
        <v>0</v>
      </c>
      <c r="DX92" s="207">
        <f>IF(CO92="internal",AC92,0)</f>
        <v>0</v>
      </c>
      <c r="DY92" s="207">
        <f>IF(CO92="internal",AF92,0)</f>
        <v>0</v>
      </c>
      <c r="DZ92" s="207">
        <f>IF(CO92="internal",AI92,0)</f>
        <v>0</v>
      </c>
    </row>
    <row r="93" spans="1:130" s="7" customFormat="1" x14ac:dyDescent="0.3">
      <c r="B93" s="19">
        <f>+CI93</f>
        <v>88</v>
      </c>
      <c r="C93" s="6">
        <f t="shared" si="131"/>
        <v>0</v>
      </c>
      <c r="D93" s="6">
        <f t="shared" si="131"/>
        <v>106</v>
      </c>
      <c r="E93" s="6" t="str">
        <f t="shared" si="131"/>
        <v>--</v>
      </c>
      <c r="F93" s="6">
        <f>+CM93</f>
        <v>206</v>
      </c>
      <c r="G93" s="174" t="str">
        <f t="shared" si="132"/>
        <v>Min Fx</v>
      </c>
      <c r="H93" s="6" t="str">
        <f t="shared" si="132"/>
        <v>External</v>
      </c>
      <c r="I93" s="156"/>
      <c r="J93" s="10">
        <f t="shared" si="133"/>
        <v>719.79795980040103</v>
      </c>
      <c r="K93" s="10">
        <f t="shared" si="133"/>
        <v>-918.5708804705929</v>
      </c>
      <c r="L93" s="10">
        <f t="shared" si="133"/>
        <v>422.41856303255543</v>
      </c>
      <c r="M93" s="10">
        <f t="shared" si="133"/>
        <v>-848.04747963207046</v>
      </c>
      <c r="N93" s="10">
        <f>IF(I93*J93&gt;=0,J93*$J$19+I93*$J$18,J93)</f>
        <v>719.79795980040103</v>
      </c>
      <c r="O93" s="10">
        <f>(K93)*$J$19</f>
        <v>-918.5708804705929</v>
      </c>
      <c r="P93" s="14">
        <f>IF(I93*L93&gt;=0,(L93)+I93,L93)</f>
        <v>422.41856303255543</v>
      </c>
      <c r="Q93" s="3">
        <f>(M93)</f>
        <v>-848.04747963207046</v>
      </c>
      <c r="R93" s="20">
        <f t="shared" si="134"/>
        <v>1000</v>
      </c>
      <c r="S93" s="23"/>
      <c r="T93" s="12">
        <v>20</v>
      </c>
      <c r="U93" s="28"/>
      <c r="V93" s="28"/>
      <c r="W93" s="12"/>
      <c r="X93" s="28"/>
      <c r="Y93" s="28"/>
      <c r="Z93" s="12"/>
      <c r="AA93" s="28"/>
      <c r="AB93" s="28"/>
      <c r="AC93" s="158"/>
      <c r="AD93" s="28"/>
      <c r="AE93" s="28"/>
      <c r="AF93" s="158"/>
      <c r="AG93" s="28"/>
      <c r="AH93" s="28"/>
      <c r="AI93" s="29"/>
      <c r="AJ93" s="6">
        <f>PI()/4*T93^2*$O$12/$AX$16</f>
        <v>2094.3951023931954</v>
      </c>
      <c r="AK93" s="28" t="str">
        <f>IF(W93=0,"","+")</f>
        <v/>
      </c>
      <c r="AL93" s="6">
        <f>PI()/4*W93^2*$O$12/$AX$16</f>
        <v>0</v>
      </c>
      <c r="AM93" s="28" t="str">
        <f>IF(Z93=0,"","+")</f>
        <v/>
      </c>
      <c r="AN93" s="6">
        <f>PI()/4*Z93^2*$O$12/$AX$16</f>
        <v>0</v>
      </c>
      <c r="AO93" s="28" t="str">
        <f>IF(AC93=0,"","+")</f>
        <v/>
      </c>
      <c r="AP93" s="6">
        <f>PI()/4*AC93^2*$O$12/$AX$16</f>
        <v>0</v>
      </c>
      <c r="AQ93" s="28" t="str">
        <f>IF(AF93=0,"","+")</f>
        <v/>
      </c>
      <c r="AR93" s="6">
        <f>PI()/4*AF93^2*$O$12/$AX$16</f>
        <v>0</v>
      </c>
      <c r="AS93" s="28" t="str">
        <f>IF(AI93=0,"","+")</f>
        <v/>
      </c>
      <c r="AT93" s="6">
        <f>PI()/4*AI93^2*$O$12/$AX$16</f>
        <v>0</v>
      </c>
      <c r="AU93" s="28" t="s">
        <v>24</v>
      </c>
      <c r="AV93" s="15">
        <f>VALUE(AJ93)+VALUE(AL93)+VALUE(AN93)+VALUE(AP93)+VALUE(AR93)+VALUE(AT93)</f>
        <v>2094.3951023931954</v>
      </c>
      <c r="AW93" s="228">
        <f>MAX(0.3*$AJ$14^(2/3)/$AJ$16*0.26*100,0.13)</f>
        <v>0.15723814702688016</v>
      </c>
      <c r="AX93" s="6">
        <f>AW93/100*$O$12*BK93</f>
        <v>1426.1499935338031</v>
      </c>
      <c r="AY93" s="6"/>
      <c r="AZ93" s="6"/>
      <c r="BA93" s="24" t="str">
        <f>IF(BB93=0,"","+")</f>
        <v/>
      </c>
      <c r="BB93" s="24"/>
      <c r="BC93" s="28" t="s">
        <v>24</v>
      </c>
      <c r="BD93" s="15">
        <f>AX93+AZ93+BB93</f>
        <v>1426.1499935338031</v>
      </c>
      <c r="BE93" s="2">
        <f>(R93-($AX$14+$O$16+T93/2))</f>
        <v>907</v>
      </c>
      <c r="BF93" s="3">
        <f>IF(W93=0,0,(R93-($AX$14+T93/2+$O$16+$BI$16)))</f>
        <v>0</v>
      </c>
      <c r="BG93" s="3">
        <f>IF(Z93=0,0,(R93-($AX$14+T93/2+$BI$16+$O$16+$BI$17)))</f>
        <v>0</v>
      </c>
      <c r="BH93" s="3">
        <f>IF(AC93=0,0,(R93-($AX$14+T93/2+$O$16+$BI$16+$BI$17+$BI$18)))</f>
        <v>0</v>
      </c>
      <c r="BI93" s="3">
        <f>IF(AF93=0,0,(R93-($AX$14+T93/2+$O$16+$BI$16+$BI$17+$BI$18+$BL$16)))</f>
        <v>0</v>
      </c>
      <c r="BJ93" s="3">
        <f>IF(AI93=0,0,(R93-($AX$14+T93/2+$O$16+$BI$16+$BI$17+$BI$18+$BL$16+$BL$17)))</f>
        <v>0</v>
      </c>
      <c r="BK93" s="6">
        <f>(BE93*AJ93+BF93*AL93+BG93*AN93+BH93*AP93+BI93*AR93+BJ93*AT93)/AV93</f>
        <v>907</v>
      </c>
      <c r="BL93" s="175">
        <f>ABS(N93)*1000000/$O$12/BK93^2</f>
        <v>0.87497579137688253</v>
      </c>
      <c r="BM93" s="175">
        <f>BL93/$AJ$14</f>
        <v>2.7342993480527579E-2</v>
      </c>
      <c r="BN93" s="21">
        <f>IF(BM93&lt;0.167,0.5+SQRT(0.25-(BM93/1.134)),0.82)</f>
        <v>0.97527677494673304</v>
      </c>
      <c r="BO93" s="15">
        <f>ABS(N93)/(0.87*$AJ$16*BN93*BK93)*10^6</f>
        <v>1870.6226353903119</v>
      </c>
      <c r="BP93" s="22">
        <v>2126.609271999147</v>
      </c>
      <c r="BQ93" s="175">
        <f>IF(Q93=0,2*ABS(P93*10^6)/$O$12/BP93/(BK93-BP93/3),Q93*BP93*1000/($O$12/2*BP93^2-(BE93-BP93)*AJ93*$AJ$18-(BF93-BP93)*AL93*$AJ$18-(BG93-BP93)*AN93*$AJ$18-(BH93-BP93)*AP93*$AJ$18-(BI93-BP93)*AR93*$AJ$18-(BJ93-BP93)*AT93*$AJ$18))</f>
        <v>-0.78323063308669871</v>
      </c>
      <c r="BR93" s="3">
        <f>0.5*$O$12*BP93*BQ93 /1000</f>
        <v>-832.81276321796781</v>
      </c>
      <c r="BS93" s="3">
        <f>($BQ93/$BP93)*(BE93-$BP93)*$AJ$18*AJ93/1000</f>
        <v>15.234716414102614</v>
      </c>
      <c r="BT93" s="3">
        <f>($BQ93/$BP93)*(BF93-$BP93)*$AJ$18*AL93/1000</f>
        <v>0</v>
      </c>
      <c r="BU93" s="3">
        <f>($BQ93/$BP93)*(BG93-$BP93)*$AJ$18*AN93/1000</f>
        <v>0</v>
      </c>
      <c r="BV93" s="3">
        <f>($BQ93/$BP93)*(BH93-$BP93)*$AJ$18*AP93/1000</f>
        <v>0</v>
      </c>
      <c r="BW93" s="3">
        <f>($BQ93/$BP93)*(BI93-$BP93)*$AJ$18*AR93/1000</f>
        <v>0</v>
      </c>
      <c r="BX93" s="3">
        <f>($BQ93/$BP93)*(BJ93-$BP93)*$AJ$18*AT93/1000</f>
        <v>0</v>
      </c>
      <c r="BY93" s="175">
        <f>IF(Q93=0,0,(0.5*$O$12*BP93*BQ93/1000*(R93/2-$BP93/3)+BS93*(BE93-R93/2)+BT93*(BF93-R93/2)+BU93*(BG93-R93/2)+BV93*(BH93-R93/2)+BW93*(BI93-R93/2)+BX93*(BJ93-R93/2))/1000-ABS(P93))</f>
        <v>-242.26863369481268</v>
      </c>
      <c r="BZ93" s="10"/>
      <c r="CA93" s="176">
        <f>ABS(P93)/(BK93-BP93/3)/AV93*10^6-Q93*(R93/2-BP93/3)/(BK93-BP93/3)/AV93*1000</f>
        <v>591.10592008485355</v>
      </c>
      <c r="CB93" s="177">
        <f>(AV93/($O$12*MIN(2.5*(R93-BK93),(R93-BP93)/3,R93/2)-AV93))</f>
        <v>-5.5461445317758484E-3</v>
      </c>
      <c r="CC93" s="177">
        <f>3.4*($O$16+$AX$14)+0.425*0.8*0.5*(T93^2+W93^2+Z93^2+AC93^2+AF93^2+AI93^2)/(T93+W93+Z93+AC93+AF93+AI93)/CB93</f>
        <v>-330.83847754420793</v>
      </c>
      <c r="CD93" s="177">
        <f>MAX(0.6*CA93/$AJ$17,(CA93-0.4*0.3*$AJ$14^(2/3)/CB93*(1+$AJ$17/$AJ$15*CB93))/$AJ$17)</f>
        <v>3.9480136024942873</v>
      </c>
      <c r="CE93" s="178">
        <f>CC93*CD93/1000</f>
        <v>-1.3061548095730338</v>
      </c>
      <c r="CF93" s="23" t="str">
        <f>IF(AND(AV93&gt;=BD93,AV93&gt;=BO93,CE93&lt;=(+IF(CO93="External",0.25,0.3))),"O.K", "Not O.K")</f>
        <v>O.K</v>
      </c>
      <c r="CG93" s="28"/>
      <c r="CH93" s="179" t="str">
        <f>IF(O93&lt;0.2*$AJ$14*R93*$O$12/1000,"N &lt; 0.2fckAc - OK!","TBA")</f>
        <v>N &lt; 0.2fckAc - OK!</v>
      </c>
      <c r="CI93" s="24">
        <v>88</v>
      </c>
      <c r="CJ93" s="25"/>
      <c r="CK93" s="6">
        <f t="shared" si="35"/>
        <v>106</v>
      </c>
      <c r="CL93" s="8" t="s">
        <v>72</v>
      </c>
      <c r="CM93" s="6">
        <f t="shared" si="36"/>
        <v>206</v>
      </c>
      <c r="CN93" s="26" t="s">
        <v>146</v>
      </c>
      <c r="CO93" s="15" t="str">
        <f>IF(VLOOKUP(CI93,'Summary-input'!A:C,3,0)="Outward",
IF(CP93&lt;0,"External","Internal"),
IF(CP93&lt;0,"Internal","External")
)</f>
        <v>External</v>
      </c>
      <c r="CP93">
        <f>VLOOKUP(CI93&amp;CN93,'Summary-output-ULS'!A:G,6,0)</f>
        <v>719.79795980040103</v>
      </c>
      <c r="CQ93">
        <f>VLOOKUP(CI93&amp;CN93,'Summary-output-ULS'!A:G,7,0)</f>
        <v>-918.5708804705929</v>
      </c>
      <c r="CR93" s="3">
        <f>VLOOKUP(CI93&amp;CN93,'Summary-output-SLS'!A:G,6,0)</f>
        <v>422.41856303255543</v>
      </c>
      <c r="CS93" s="3">
        <f>VLOOKUP(CI93&amp;CN93,'Summary-output-SLS'!A:G,7,0)</f>
        <v>-848.04747963207046</v>
      </c>
      <c r="CT93" s="20">
        <v>1000</v>
      </c>
      <c r="CU93" s="2">
        <f>VLOOKUP(CI93&amp;CN93,'Summary-output-ULS'!A:G,5,0)</f>
        <v>106</v>
      </c>
      <c r="CV93" s="15">
        <f>VLOOKUP(CI93&amp;CN93,'Summary-output-SLS'!A:G,5,0)</f>
        <v>206</v>
      </c>
      <c r="CW93" s="6"/>
      <c r="CX93" s="278"/>
      <c r="CY93" s="6"/>
      <c r="CZ93" s="6"/>
      <c r="DA93" s="6"/>
      <c r="DB93" s="6"/>
      <c r="DC93" s="6"/>
      <c r="DD93" s="6"/>
      <c r="DE93" s="6"/>
      <c r="DF93" s="6"/>
      <c r="DG93" s="6"/>
      <c r="DH93" s="6"/>
      <c r="DI93" s="6"/>
      <c r="DJ93" s="212"/>
      <c r="DK93" s="13"/>
      <c r="DL93" s="13"/>
      <c r="DM93" s="202"/>
      <c r="DN93" s="206">
        <f>IF(CO93="external",T93,0)</f>
        <v>20</v>
      </c>
      <c r="DO93" s="206">
        <f>IF(CO93="external",W93,0)</f>
        <v>0</v>
      </c>
      <c r="DP93" s="206">
        <f>IF(CO93="external",Z93,0)</f>
        <v>0</v>
      </c>
      <c r="DQ93" s="206">
        <f>IF(CO93="external",AC93,0)</f>
        <v>0</v>
      </c>
      <c r="DR93" s="206">
        <f>IF(CO93="external",AF93,0)</f>
        <v>0</v>
      </c>
      <c r="DS93" s="207">
        <f>IF(CO93="external",AI93,0)</f>
        <v>0</v>
      </c>
      <c r="DT93" s="208"/>
      <c r="DU93" s="207">
        <f>IF(CO93="internal",T93,0)</f>
        <v>0</v>
      </c>
      <c r="DV93" s="207">
        <f>IF(CO93="internal",W93,0)</f>
        <v>0</v>
      </c>
      <c r="DW93" s="207">
        <f>IF(CO93="internal",Z93,0)</f>
        <v>0</v>
      </c>
      <c r="DX93" s="207">
        <f>IF(CO93="internal",AC93,0)</f>
        <v>0</v>
      </c>
      <c r="DY93" s="207">
        <f>IF(CO93="internal",AF93,0)</f>
        <v>0</v>
      </c>
      <c r="DZ93" s="207">
        <f>IF(CO93="internal",AI93,0)</f>
        <v>0</v>
      </c>
    </row>
    <row r="94" spans="1:130" s="7" customFormat="1" x14ac:dyDescent="0.3">
      <c r="B94" s="19"/>
      <c r="C94" s="6"/>
      <c r="D94" s="6"/>
      <c r="E94" s="6"/>
      <c r="F94" s="6"/>
      <c r="G94" s="232"/>
      <c r="H94" s="6"/>
      <c r="I94" s="24"/>
      <c r="J94" s="6"/>
      <c r="K94" s="6"/>
      <c r="L94" s="6">
        <v>253</v>
      </c>
      <c r="M94" s="6"/>
      <c r="N94" s="6"/>
      <c r="O94" s="6"/>
      <c r="P94" s="24"/>
      <c r="Q94" s="6"/>
      <c r="R94" s="6">
        <f t="shared" ref="R94:R98" si="137">CT94</f>
        <v>0</v>
      </c>
      <c r="S94" s="28"/>
      <c r="T94" s="12"/>
      <c r="U94" s="28"/>
      <c r="V94" s="28"/>
      <c r="W94" s="12"/>
      <c r="X94" s="28"/>
      <c r="Y94" s="28"/>
      <c r="Z94" s="12"/>
      <c r="AA94" s="28"/>
      <c r="AB94" s="28"/>
      <c r="AC94" s="158"/>
      <c r="AD94" s="28"/>
      <c r="AE94" s="28"/>
      <c r="AF94" s="158"/>
      <c r="AG94" s="28"/>
      <c r="AH94" s="28"/>
      <c r="AI94" s="12"/>
      <c r="AJ94" s="6"/>
      <c r="AK94" s="28"/>
      <c r="AL94" s="6"/>
      <c r="AM94" s="28"/>
      <c r="AN94" s="6"/>
      <c r="AO94" s="28"/>
      <c r="AP94" s="6"/>
      <c r="AQ94" s="28"/>
      <c r="AR94" s="6"/>
      <c r="AS94" s="28"/>
      <c r="AT94" s="6"/>
      <c r="AU94" s="28"/>
      <c r="AV94" s="6"/>
      <c r="AW94" s="233"/>
      <c r="AX94" s="6"/>
      <c r="AY94" s="6"/>
      <c r="AZ94" s="6"/>
      <c r="BA94" s="24"/>
      <c r="BB94" s="24"/>
      <c r="BC94" s="28"/>
      <c r="BD94" s="6"/>
      <c r="BE94" s="6"/>
      <c r="BF94" s="6"/>
      <c r="BG94" s="6"/>
      <c r="BH94" s="6"/>
      <c r="BI94" s="6"/>
      <c r="BJ94" s="6"/>
      <c r="BK94" s="6"/>
      <c r="BL94" s="231"/>
      <c r="BM94" s="231"/>
      <c r="BN94" s="231"/>
      <c r="BO94" s="6"/>
      <c r="BP94" s="234"/>
      <c r="BQ94" s="231"/>
      <c r="BR94" s="6"/>
      <c r="BS94" s="6"/>
      <c r="BT94" s="6"/>
      <c r="BU94" s="6"/>
      <c r="BV94" s="6"/>
      <c r="BW94" s="6"/>
      <c r="BX94" s="6"/>
      <c r="BY94" s="231"/>
      <c r="BZ94" s="6"/>
      <c r="CA94" s="234"/>
      <c r="CB94" s="235"/>
      <c r="CC94" s="235"/>
      <c r="CD94" s="235"/>
      <c r="CE94" s="235"/>
      <c r="CF94" s="28"/>
      <c r="CG94" s="28"/>
      <c r="CH94" s="173"/>
      <c r="CI94" s="24"/>
      <c r="CJ94" s="25"/>
      <c r="CK94" s="6" t="e">
        <f t="shared" ref="CK94:CK98" si="138">CU94</f>
        <v>#N/A</v>
      </c>
      <c r="CL94" s="8" t="s">
        <v>72</v>
      </c>
      <c r="CM94" s="6" t="e">
        <f t="shared" ref="CM94:CM98" si="139">CV94</f>
        <v>#N/A</v>
      </c>
      <c r="CN94" s="236"/>
      <c r="CO94" s="15" t="e">
        <f>IF(VLOOKUP(CI94,'Summary-input'!A:C,3,0)="Outward",
IF(CP94&lt;0,"External","Internal"),
IF(CP94&lt;0,"Internal","External")
)</f>
        <v>#N/A</v>
      </c>
      <c r="CP94" t="e">
        <f>VLOOKUP(CI94&amp;CN94,'Summary-output-ULS'!A:G,6,0)</f>
        <v>#N/A</v>
      </c>
      <c r="CQ94" t="e">
        <f>VLOOKUP(CI94&amp;CN94,'Summary-output-ULS'!A:G,7,0)</f>
        <v>#N/A</v>
      </c>
      <c r="CR94" s="3" t="e">
        <f>VLOOKUP(CI94&amp;CN94,'Summary-output-SLS'!A:G,6,0)</f>
        <v>#N/A</v>
      </c>
      <c r="CS94" s="3" t="e">
        <f>VLOOKUP(CI94&amp;CN94,'Summary-output-SLS'!A:G,7,0)</f>
        <v>#N/A</v>
      </c>
      <c r="CT94" s="6"/>
      <c r="CU94" s="2" t="e">
        <f>VLOOKUP(CI94&amp;CN94,'Summary-output-ULS'!A:G,5,0)</f>
        <v>#N/A</v>
      </c>
      <c r="CV94" s="15" t="e">
        <f>VLOOKUP(CI94&amp;CN94,'Summary-output-SLS'!A:G,5,0)</f>
        <v>#N/A</v>
      </c>
      <c r="CW94" s="6"/>
      <c r="CX94" s="278"/>
      <c r="CY94" s="6"/>
      <c r="CZ94" s="6"/>
      <c r="DA94" s="6"/>
      <c r="DB94" s="6"/>
      <c r="DC94" s="6"/>
      <c r="DD94" s="6"/>
      <c r="DE94" s="6"/>
      <c r="DF94" s="6"/>
      <c r="DG94" s="6"/>
      <c r="DH94" s="6"/>
      <c r="DI94" s="6"/>
      <c r="DJ94" s="212"/>
      <c r="DK94" s="13"/>
      <c r="DL94" s="13"/>
      <c r="DM94" s="202"/>
      <c r="DN94" s="206"/>
      <c r="DO94" s="206"/>
      <c r="DP94" s="206"/>
      <c r="DQ94" s="206"/>
      <c r="DR94" s="206"/>
      <c r="DS94" s="207"/>
      <c r="DT94" s="208"/>
      <c r="DU94" s="207"/>
      <c r="DV94" s="207"/>
      <c r="DW94" s="207"/>
      <c r="DX94" s="207"/>
      <c r="DY94" s="207"/>
      <c r="DZ94" s="207"/>
    </row>
    <row r="95" spans="1:130" s="7" customFormat="1" ht="13.8" x14ac:dyDescent="0.25">
      <c r="A95" s="7" t="s">
        <v>141</v>
      </c>
      <c r="B95" s="19">
        <f>+CI95</f>
        <v>89</v>
      </c>
      <c r="C95" s="6">
        <f t="shared" ref="C95:C98" si="140">CJ95</f>
        <v>0</v>
      </c>
      <c r="D95" s="6">
        <f t="shared" ref="D95:D98" si="141">CK95</f>
        <v>103</v>
      </c>
      <c r="E95" s="6" t="str">
        <f t="shared" ref="E95:E98" si="142">CL95</f>
        <v>--</v>
      </c>
      <c r="F95" s="6">
        <f>+CM95</f>
        <v>203</v>
      </c>
      <c r="G95" s="174" t="str">
        <f t="shared" ref="G95:G98" si="143">CN95</f>
        <v>Max Mz</v>
      </c>
      <c r="H95" s="6" t="str">
        <f t="shared" ref="H95:H98" si="144">CO95</f>
        <v>Internal</v>
      </c>
      <c r="I95" s="156"/>
      <c r="J95" s="10">
        <f t="shared" ref="J95:J98" si="145">(CP95)</f>
        <v>-1472.6159240256648</v>
      </c>
      <c r="K95" s="10">
        <f t="shared" ref="K95:K98" si="146">(CQ95)</f>
        <v>-1614.2318390407127</v>
      </c>
      <c r="L95" s="10">
        <f t="shared" ref="L95:L98" si="147">(CR95)</f>
        <v>-1080.3543636475181</v>
      </c>
      <c r="M95" s="10">
        <f t="shared" ref="M95:M98" si="148">(CS95)</f>
        <v>-1183.0708579370908</v>
      </c>
      <c r="N95" s="10">
        <f>IF(I95*J95&gt;=0,J95*$J$19+I95*$J$18,J95)</f>
        <v>-1472.6159240256648</v>
      </c>
      <c r="O95" s="10">
        <f>(K95)*$J$19</f>
        <v>-1614.2318390407127</v>
      </c>
      <c r="P95" s="14">
        <f>IF(I95*L95&gt;=0,(L95)+I95,L95)</f>
        <v>-1080.3543636475181</v>
      </c>
      <c r="Q95" s="3">
        <f>(M95)</f>
        <v>-1183.0708579370908</v>
      </c>
      <c r="R95" s="20">
        <f t="shared" si="137"/>
        <v>1000</v>
      </c>
      <c r="S95" s="23"/>
      <c r="T95" s="12">
        <v>32</v>
      </c>
      <c r="U95" s="28"/>
      <c r="V95" s="28"/>
      <c r="W95" s="12"/>
      <c r="X95" s="28"/>
      <c r="Y95" s="28"/>
      <c r="Z95" s="12"/>
      <c r="AA95" s="28"/>
      <c r="AB95" s="28"/>
      <c r="AC95" s="158"/>
      <c r="AD95" s="28"/>
      <c r="AE95" s="28"/>
      <c r="AF95" s="158"/>
      <c r="AG95" s="28"/>
      <c r="AH95" s="28"/>
      <c r="AI95" s="29"/>
      <c r="AJ95" s="6">
        <f>PI()/4*T95^2*$O$12/$AX$16</f>
        <v>5361.6514621265796</v>
      </c>
      <c r="AK95" s="28" t="str">
        <f>IF(W95=0,"","+")</f>
        <v/>
      </c>
      <c r="AL95" s="6">
        <f>PI()/4*W95^2*$O$12/$AX$16</f>
        <v>0</v>
      </c>
      <c r="AM95" s="28" t="str">
        <f>IF(Z95=0,"","+")</f>
        <v/>
      </c>
      <c r="AN95" s="6">
        <f>PI()/4*Z95^2*$O$12/$AX$16</f>
        <v>0</v>
      </c>
      <c r="AO95" s="28" t="str">
        <f>IF(AC95=0,"","+")</f>
        <v/>
      </c>
      <c r="AP95" s="6">
        <f>PI()/4*AC95^2*$O$12/$AX$16</f>
        <v>0</v>
      </c>
      <c r="AQ95" s="28" t="str">
        <f>IF(AF95=0,"","+")</f>
        <v/>
      </c>
      <c r="AR95" s="6">
        <f>PI()/4*AF95^2*$O$12/$AX$16</f>
        <v>0</v>
      </c>
      <c r="AS95" s="28" t="str">
        <f>IF(AI95=0,"","+")</f>
        <v/>
      </c>
      <c r="AT95" s="6">
        <f>PI()/4*AI95^2*$O$12/$AX$16</f>
        <v>0</v>
      </c>
      <c r="AU95" s="28" t="s">
        <v>24</v>
      </c>
      <c r="AV95" s="15">
        <f>VALUE(AJ95)+VALUE(AL95)+VALUE(AN95)+VALUE(AP95)+VALUE(AR95)+VALUE(AT95)</f>
        <v>5361.6514621265796</v>
      </c>
      <c r="AW95" s="228">
        <f>MAX(0.3*$AJ$14^(2/3)/$AJ$16*0.26*100,0.13)</f>
        <v>0.15723814702688016</v>
      </c>
      <c r="AX95" s="6">
        <f>AW95/100*$O$12*BK95</f>
        <v>1416.7157047121905</v>
      </c>
      <c r="AY95" s="6"/>
      <c r="AZ95" s="6"/>
      <c r="BA95" s="24" t="str">
        <f>IF(BB95=0,"","+")</f>
        <v/>
      </c>
      <c r="BB95" s="24"/>
      <c r="BC95" s="28" t="s">
        <v>24</v>
      </c>
      <c r="BD95" s="15">
        <f>AX95+AZ95+BB95</f>
        <v>1416.7157047121905</v>
      </c>
      <c r="BE95" s="2">
        <f>(R95-($AX$14+$O$16+T95/2))</f>
        <v>901</v>
      </c>
      <c r="BF95" s="3">
        <f>IF(W95=0,0,(R95-($AX$14+T95/2+$O$16+$BI$16)))</f>
        <v>0</v>
      </c>
      <c r="BG95" s="3">
        <f>IF(Z95=0,0,(R95-($AX$14+T95/2+$BI$16+$O$16+$BI$17)))</f>
        <v>0</v>
      </c>
      <c r="BH95" s="3">
        <f>IF(AC95=0,0,(R95-($AX$14+T95/2+$O$16+$BI$16+$BI$17+$BI$18)))</f>
        <v>0</v>
      </c>
      <c r="BI95" s="3">
        <f>IF(AF95=0,0,(R95-($AX$14+T95/2+$O$16+$BI$16+$BI$17+$BI$18+$BL$16)))</f>
        <v>0</v>
      </c>
      <c r="BJ95" s="3">
        <f>IF(AI95=0,0,(R95-($AX$14+T95/2+$O$16+$BI$16+$BI$17+$BI$18+$BL$16+$BL$17)))</f>
        <v>0</v>
      </c>
      <c r="BK95" s="6">
        <f>(BE95*AJ95+BF95*AL95+BG95*AN95+BH95*AP95+BI95*AR95+BJ95*AT95)/AV95</f>
        <v>901.00000000000011</v>
      </c>
      <c r="BL95" s="175">
        <f>ABS(N95)*1000000/$O$12/BK95^2</f>
        <v>1.8140109756278502</v>
      </c>
      <c r="BM95" s="175">
        <f>BL95/$AJ$14</f>
        <v>5.6687842988370318E-2</v>
      </c>
      <c r="BN95" s="21">
        <f>IF(BM95&lt;0.167,0.5+SQRT(0.25-(BM95/1.134)),0.82)</f>
        <v>0.94722558118784894</v>
      </c>
      <c r="BO95" s="15">
        <f>ABS(N95)/(0.87*$AJ$16*BN95*BK95)*10^6</f>
        <v>3966.6330505279539</v>
      </c>
      <c r="BP95" s="22">
        <v>4859.1089045298058</v>
      </c>
      <c r="BQ95" s="175">
        <f>IF(Q95=0,2*ABS(P95*10^6)/$O$12/BP95/(BK95-BP95/3),Q95*BP95*1000/($O$12/2*BP95^2-(BE95-BP95)*AJ95*$AJ$18-(BF95-BP95)*AL95*$AJ$18-(BG95-BP95)*AN95*$AJ$18-(BH95-BP95)*AP95*$AJ$18-(BI95-BP95)*AR95*$AJ$18-(BJ95-BP95)*AT95*$AJ$18))</f>
        <v>-0.47317514882364342</v>
      </c>
      <c r="BR95" s="3">
        <f>0.5*$O$12*BP95*BQ95 /1000</f>
        <v>-1149.6047895255911</v>
      </c>
      <c r="BS95" s="3">
        <f>($BQ95/$BP95)*(BE95-$BP95)*$AJ$18*AJ95/1000</f>
        <v>33.466068411499698</v>
      </c>
      <c r="BT95" s="3">
        <f>($BQ95/$BP95)*(BF95-$BP95)*$AJ$18*AL95/1000</f>
        <v>0</v>
      </c>
      <c r="BU95" s="3">
        <f>($BQ95/$BP95)*(BG95-$BP95)*$AJ$18*AN95/1000</f>
        <v>0</v>
      </c>
      <c r="BV95" s="3">
        <f>($BQ95/$BP95)*(BH95-$BP95)*$AJ$18*AP95/1000</f>
        <v>0</v>
      </c>
      <c r="BW95" s="3">
        <f>($BQ95/$BP95)*(BI95-$BP95)*$AJ$18*AR95/1000</f>
        <v>0</v>
      </c>
      <c r="BX95" s="3">
        <f>($BQ95/$BP95)*(BJ95-$BP95)*$AJ$18*AT95/1000</f>
        <v>0</v>
      </c>
      <c r="BY95" s="175">
        <f>IF(Q95=0,0,(0.5*$O$12*BP95*BQ95/1000*(R95/2-$BP95/3)+BS95*(BE95-R95/2)+BT95*(BF95-R95/2)+BU95*(BG95-R95/2)+BV95*(BH95-R95/2)+BW95*(BI95-R95/2)+BX95*(BJ95-R95/2))/1000-ABS(P95))</f>
        <v>220.2814248473353</v>
      </c>
      <c r="BZ95" s="10"/>
      <c r="CA95" s="176">
        <f>ABS(P95)/(BK95-BP95/3)/AV95*10^6-Q95*(R95/2-BP95/3)/(BK95-BP95/3)/AV95*1000</f>
        <v>63.406700502543629</v>
      </c>
      <c r="CB95" s="177">
        <f>(AV95/($O$12*MIN(2.5*(R95-BK95),(R95-BP95)/3,R95/2)-AV95))</f>
        <v>-4.1507483165960576E-3</v>
      </c>
      <c r="CC95" s="177">
        <f>3.4*($O$16+$AX$14)+0.425*0.8*0.5*(T95^2+W95^2+Z95^2+AC95^2+AF95^2+AI95^2)/(T95+W95+Z95+AC95+AF95+AI95)/CB95</f>
        <v>-1028.4070484324693</v>
      </c>
      <c r="CD95" s="177">
        <f>MAX(0.6*CA95/$AJ$17,(CA95-0.4*0.3*$AJ$14^(2/3)/CB95*(1+$AJ$17/$AJ$15*CB95))/$AJ$17)</f>
        <v>1.6760939253372666</v>
      </c>
      <c r="CE95" s="178">
        <f>CC95*CD95/1000</f>
        <v>-1.7237068066516898</v>
      </c>
      <c r="CF95" s="23" t="str">
        <f>IF(AND(AV95&gt;=BD95,AV95&gt;=BO95,CE95&lt;=(+IF(CO95="External",0.25,0.3))),"O.K", "Not O.K")</f>
        <v>O.K</v>
      </c>
      <c r="CG95" s="28"/>
      <c r="CH95" s="179" t="str">
        <f>IF(O95&lt;0.2*$AJ$14*R95*$O$12/1000,"N &lt; 0.2fckAc - OK!","TBA")</f>
        <v>N &lt; 0.2fckAc - OK!</v>
      </c>
      <c r="CI95" s="24">
        <v>89</v>
      </c>
      <c r="CJ95" s="25"/>
      <c r="CK95" s="6">
        <f t="shared" si="138"/>
        <v>103</v>
      </c>
      <c r="CL95" s="8" t="s">
        <v>72</v>
      </c>
      <c r="CM95" s="6">
        <f t="shared" si="139"/>
        <v>203</v>
      </c>
      <c r="CN95" s="26" t="s">
        <v>147</v>
      </c>
      <c r="CO95" s="15" t="str">
        <f>IF(VLOOKUP(CI95,'Summary-input'!A:C,3,0)="Outward",
IF(CP95&lt;0,"External","Internal"),
IF(CP95&lt;0,"Internal","External")
)</f>
        <v>Internal</v>
      </c>
      <c r="CP95">
        <f>VLOOKUP(CI95&amp;CN95,'Summary-output-ULS'!A:G,6,0)</f>
        <v>-1472.6159240256648</v>
      </c>
      <c r="CQ95">
        <f>VLOOKUP(CI95&amp;CN95,'Summary-output-ULS'!A:G,7,0)</f>
        <v>-1614.2318390407127</v>
      </c>
      <c r="CR95" s="3">
        <f>VLOOKUP(CI95&amp;CN95,'Summary-output-SLS'!A:G,6,0)</f>
        <v>-1080.3543636475181</v>
      </c>
      <c r="CS95" s="3">
        <f>VLOOKUP(CI95&amp;CN95,'Summary-output-SLS'!A:G,7,0)</f>
        <v>-1183.0708579370908</v>
      </c>
      <c r="CT95" s="20">
        <v>1000</v>
      </c>
      <c r="CU95" s="2">
        <f>VLOOKUP(CI95&amp;CN95,'Summary-output-ULS'!A:G,5,0)</f>
        <v>103</v>
      </c>
      <c r="CV95" s="15">
        <f>VLOOKUP(CI95&amp;CN95,'Summary-output-SLS'!A:G,5,0)</f>
        <v>203</v>
      </c>
      <c r="CW95" s="6"/>
      <c r="CX95" s="278">
        <f>CI95</f>
        <v>89</v>
      </c>
      <c r="CY95" s="6">
        <f t="shared" ref="CY95" si="149">MAX(DN95:DN98)</f>
        <v>20</v>
      </c>
      <c r="CZ95" s="6">
        <f t="shared" ref="CZ95" si="150">MAX(DO95:DO98)</f>
        <v>0</v>
      </c>
      <c r="DA95" s="6">
        <f t="shared" ref="DA95" si="151">MAX(DP95:DP98)</f>
        <v>0</v>
      </c>
      <c r="DB95" s="6">
        <f t="shared" ref="DB95" si="152">MAX(DQ95:DQ98)</f>
        <v>0</v>
      </c>
      <c r="DC95" s="6">
        <f t="shared" ref="DC95" si="153">MAX(DR95:DR98)</f>
        <v>0</v>
      </c>
      <c r="DD95" s="6">
        <f t="shared" ref="DD95" si="154">MAX(DS95:DS98)</f>
        <v>0</v>
      </c>
      <c r="DE95" s="6"/>
      <c r="DF95" s="6">
        <f t="shared" ref="DF95" si="155">MAX(DU95:DU98)</f>
        <v>32</v>
      </c>
      <c r="DG95" s="6">
        <f t="shared" ref="DG95" si="156">MAX(DV95:DV98)</f>
        <v>0</v>
      </c>
      <c r="DH95" s="6">
        <f t="shared" ref="DH95" si="157">MAX(DW95:DW98)</f>
        <v>0</v>
      </c>
      <c r="DI95" s="6">
        <f t="shared" ref="DI95" si="158">MAX(DX95:DX98)</f>
        <v>0</v>
      </c>
      <c r="DJ95" s="6">
        <f t="shared" ref="DJ95" si="159">MAX(DY95:DY98)</f>
        <v>0</v>
      </c>
      <c r="DK95" s="6">
        <f t="shared" ref="DK95" si="160">MAX(DZ95:DZ98)</f>
        <v>0</v>
      </c>
      <c r="DL95" s="13"/>
      <c r="DM95" s="202">
        <f>CI95</f>
        <v>89</v>
      </c>
      <c r="DN95" s="206">
        <f>IF(CO95="external",T95,0)</f>
        <v>0</v>
      </c>
      <c r="DO95" s="206">
        <f>IF(CO95="external",W95,0)</f>
        <v>0</v>
      </c>
      <c r="DP95" s="206">
        <f>IF(CO95="external",Z95,0)</f>
        <v>0</v>
      </c>
      <c r="DQ95" s="206">
        <f>IF(CO95="external",AC95,0)</f>
        <v>0</v>
      </c>
      <c r="DR95" s="206">
        <f>IF(CO95="external",AF95,0)</f>
        <v>0</v>
      </c>
      <c r="DS95" s="207">
        <f>IF(CO95="external",AI95,0)</f>
        <v>0</v>
      </c>
      <c r="DT95" s="208"/>
      <c r="DU95" s="207">
        <f>IF(CO95="internal",T95,0)</f>
        <v>32</v>
      </c>
      <c r="DV95" s="207">
        <f>IF(CO95="internal",W95,0)</f>
        <v>0</v>
      </c>
      <c r="DW95" s="207">
        <f>IF(CO95="internal",Z95,0)</f>
        <v>0</v>
      </c>
      <c r="DX95" s="207">
        <f>IF(CO95="internal",AC95,0)</f>
        <v>0</v>
      </c>
      <c r="DY95" s="207">
        <f>IF(CO95="internal",AF95,0)</f>
        <v>0</v>
      </c>
      <c r="DZ95" s="207">
        <f>IF(CO95="internal",AI95,0)</f>
        <v>0</v>
      </c>
    </row>
    <row r="96" spans="1:130" s="7" customFormat="1" x14ac:dyDescent="0.3">
      <c r="B96" s="19">
        <f>+CI96</f>
        <v>89</v>
      </c>
      <c r="C96" s="6">
        <f t="shared" si="140"/>
        <v>0</v>
      </c>
      <c r="D96" s="6">
        <f t="shared" si="141"/>
        <v>112</v>
      </c>
      <c r="E96" s="6" t="str">
        <f t="shared" si="142"/>
        <v>--</v>
      </c>
      <c r="F96" s="6">
        <f>+CM96</f>
        <v>212</v>
      </c>
      <c r="G96" s="174" t="str">
        <f t="shared" si="143"/>
        <v>Min Mz</v>
      </c>
      <c r="H96" s="6" t="str">
        <f t="shared" si="144"/>
        <v>External</v>
      </c>
      <c r="I96" s="156"/>
      <c r="J96" s="10">
        <f t="shared" si="145"/>
        <v>43.275204757281358</v>
      </c>
      <c r="K96" s="10">
        <f t="shared" si="146"/>
        <v>-1382.6227283414139</v>
      </c>
      <c r="L96" s="10">
        <f t="shared" si="147"/>
        <v>-27.530295488924303</v>
      </c>
      <c r="M96" s="10">
        <f t="shared" si="148"/>
        <v>-1226.1154726449795</v>
      </c>
      <c r="N96" s="10">
        <f>IF(I96*J96&gt;=0,J96*$J$19+I96*$J$18,J96)</f>
        <v>43.275204757281358</v>
      </c>
      <c r="O96" s="10">
        <f>(K96)*$J$19</f>
        <v>-1382.6227283414139</v>
      </c>
      <c r="P96" s="14">
        <f>IF(I96*L96&gt;=0,(L96)+I96,L96)</f>
        <v>-27.530295488924303</v>
      </c>
      <c r="Q96" s="3">
        <f>(M96)</f>
        <v>-1226.1154726449795</v>
      </c>
      <c r="R96" s="20">
        <f t="shared" si="137"/>
        <v>1000</v>
      </c>
      <c r="S96" s="23"/>
      <c r="T96" s="12">
        <v>20</v>
      </c>
      <c r="U96" s="28"/>
      <c r="V96" s="28"/>
      <c r="W96" s="12"/>
      <c r="X96" s="28"/>
      <c r="Y96" s="28"/>
      <c r="Z96" s="12"/>
      <c r="AA96" s="28"/>
      <c r="AB96" s="28"/>
      <c r="AC96" s="158"/>
      <c r="AD96" s="28"/>
      <c r="AE96" s="28"/>
      <c r="AF96" s="158"/>
      <c r="AG96" s="28"/>
      <c r="AH96" s="28"/>
      <c r="AI96" s="29"/>
      <c r="AJ96" s="6">
        <f>PI()/4*T96^2*$O$12/$AX$16</f>
        <v>2094.3951023931954</v>
      </c>
      <c r="AK96" s="28" t="str">
        <f>IF(W96=0,"","+")</f>
        <v/>
      </c>
      <c r="AL96" s="6">
        <f>PI()/4*W96^2*$O$12/$AX$16</f>
        <v>0</v>
      </c>
      <c r="AM96" s="28" t="str">
        <f>IF(Z96=0,"","+")</f>
        <v/>
      </c>
      <c r="AN96" s="6">
        <f>PI()/4*Z96^2*$O$12/$AX$16</f>
        <v>0</v>
      </c>
      <c r="AO96" s="28" t="str">
        <f>IF(AC96=0,"","+")</f>
        <v/>
      </c>
      <c r="AP96" s="6">
        <f>PI()/4*AC96^2*$O$12/$AX$16</f>
        <v>0</v>
      </c>
      <c r="AQ96" s="28" t="str">
        <f>IF(AF96=0,"","+")</f>
        <v/>
      </c>
      <c r="AR96" s="6">
        <f>PI()/4*AF96^2*$O$12/$AX$16</f>
        <v>0</v>
      </c>
      <c r="AS96" s="28" t="str">
        <f>IF(AI96=0,"","+")</f>
        <v/>
      </c>
      <c r="AT96" s="6">
        <f>PI()/4*AI96^2*$O$12/$AX$16</f>
        <v>0</v>
      </c>
      <c r="AU96" s="28" t="s">
        <v>24</v>
      </c>
      <c r="AV96" s="15">
        <f>VALUE(AJ96)+VALUE(AL96)+VALUE(AN96)+VALUE(AP96)+VALUE(AR96)+VALUE(AT96)</f>
        <v>2094.3951023931954</v>
      </c>
      <c r="AW96" s="228">
        <f>MAX(0.3*$AJ$14^(2/3)/$AJ$16*0.26*100,0.13)</f>
        <v>0.15723814702688016</v>
      </c>
      <c r="AX96" s="6">
        <f>AW96/100*$O$12*BK96</f>
        <v>1426.1499935338031</v>
      </c>
      <c r="AY96" s="6"/>
      <c r="AZ96" s="6"/>
      <c r="BA96" s="24" t="str">
        <f>IF(BB96=0,"","+")</f>
        <v/>
      </c>
      <c r="BB96" s="24"/>
      <c r="BC96" s="28" t="s">
        <v>24</v>
      </c>
      <c r="BD96" s="15">
        <f>AX96+AZ96+BB96</f>
        <v>1426.1499935338031</v>
      </c>
      <c r="BE96" s="2">
        <f>(R96-($AX$14+$O$16+T96/2))</f>
        <v>907</v>
      </c>
      <c r="BF96" s="3">
        <f>IF(W96=0,0,(R96-($AX$14+T96/2+$O$16+$BI$16)))</f>
        <v>0</v>
      </c>
      <c r="BG96" s="3">
        <f>IF(Z96=0,0,(R96-($AX$14+T96/2+$BI$16+$O$16+$BI$17)))</f>
        <v>0</v>
      </c>
      <c r="BH96" s="3">
        <f>IF(AC96=0,0,(R96-($AX$14+T96/2+$O$16+$BI$16+$BI$17+$BI$18)))</f>
        <v>0</v>
      </c>
      <c r="BI96" s="3">
        <f>IF(AF96=0,0,(R96-($AX$14+T96/2+$O$16+$BI$16+$BI$17+$BI$18+$BL$16)))</f>
        <v>0</v>
      </c>
      <c r="BJ96" s="3">
        <f>IF(AI96=0,0,(R96-($AX$14+T96/2+$O$16+$BI$16+$BI$17+$BI$18+$BL$16+$BL$17)))</f>
        <v>0</v>
      </c>
      <c r="BK96" s="6">
        <f>(BE96*AJ96+BF96*AL96+BG96*AN96+BH96*AP96+BI96*AR96+BJ96*AT96)/AV96</f>
        <v>907</v>
      </c>
      <c r="BL96" s="175">
        <f>ABS(N96)*1000000/$O$12/BK96^2</f>
        <v>5.2604701102513168E-2</v>
      </c>
      <c r="BM96" s="175">
        <f>BL96/$AJ$14</f>
        <v>1.6438969094535365E-3</v>
      </c>
      <c r="BN96" s="21">
        <f>IF(BM96&lt;0.167,0.5+SQRT(0.25-(BM96/1.134)),0.82)</f>
        <v>0.99854824787480267</v>
      </c>
      <c r="BO96" s="15">
        <f>ABS(N96)/(0.87*$AJ$16*BN96*BK96)*10^6</f>
        <v>109.84329028753761</v>
      </c>
      <c r="BP96" s="22">
        <v>1500.1534432228182</v>
      </c>
      <c r="BQ96" s="175">
        <f>IF(Q96=0,2*ABS(P96*10^6)/$O$12/BP96/(BK96-BP96/3),Q96*BP96*1000/($O$12/2*BP96^2-(BE96-BP96)*AJ96*$AJ$18-(BF96-BP96)*AL96*$AJ$18-(BG96-BP96)*AN96*$AJ$18-(BH96-BP96)*AP96*$AJ$18-(BI96-BP96)*AR96*$AJ$18-(BJ96-BP96)*AT96*$AJ$18))</f>
        <v>-1.6059411765995244</v>
      </c>
      <c r="BR96" s="3">
        <f>0.5*$O$12*BP96*BQ96 /1000</f>
        <v>-1204.5790928445404</v>
      </c>
      <c r="BS96" s="3">
        <f>($BQ96/$BP96)*(BE96-$BP96)*$AJ$18*AJ96/1000</f>
        <v>21.536379800439242</v>
      </c>
      <c r="BT96" s="3">
        <f>($BQ96/$BP96)*(BF96-$BP96)*$AJ$18*AL96/1000</f>
        <v>0</v>
      </c>
      <c r="BU96" s="3">
        <f>($BQ96/$BP96)*(BG96-$BP96)*$AJ$18*AN96/1000</f>
        <v>0</v>
      </c>
      <c r="BV96" s="3">
        <f>($BQ96/$BP96)*(BH96-$BP96)*$AJ$18*AP96/1000</f>
        <v>0</v>
      </c>
      <c r="BW96" s="3">
        <f>($BQ96/$BP96)*(BI96-$BP96)*$AJ$18*AR96/1000</f>
        <v>0</v>
      </c>
      <c r="BX96" s="3">
        <f>($BQ96/$BP96)*(BJ96-$BP96)*$AJ$18*AT96/1000</f>
        <v>0</v>
      </c>
      <c r="BY96" s="175">
        <f>IF(Q96=0,0,(0.5*$O$12*BP96*BQ96/1000*(R96/2-$BP96/3)+BS96*(BE96-R96/2)+BT96*(BF96-R96/2)+BU96*(BG96-R96/2)+BV96*(BH96-R96/2)+BW96*(BI96-R96/2)+BX96*(BJ96-R96/2))/1000-ABS(P96))</f>
        <v>-18.703377410763736</v>
      </c>
      <c r="BZ96" s="10"/>
      <c r="CA96" s="176">
        <f>ABS(P96)/(BK96-BP96/3)/AV96*10^6-Q96*(R96/2-BP96/3)/(BK96-BP96/3)/AV96*1000</f>
        <v>32.2271570332057</v>
      </c>
      <c r="CB96" s="177">
        <f>(AV96/($O$12*MIN(2.5*(R96-BK96),(R96-BP96)/3,R96/2)-AV96))</f>
        <v>-1.2406656535522319E-2</v>
      </c>
      <c r="CC96" s="177">
        <f>3.4*($O$16+$AX$14)+0.425*0.8*0.5*(T96^2+W96^2+Z96^2+AC96^2+AF96^2+AI96^2)/(T96+W96+Z96+AC96+AF96+AI96)/CB96</f>
        <v>8.1535645026333441</v>
      </c>
      <c r="CD96" s="177">
        <f>MAX(0.6*CA96/$AJ$17,(CA96-0.4*0.3*$AJ$14^(2/3)/CB96*(1+$AJ$17/$AJ$15*CB96))/$AJ$17)</f>
        <v>0.55065055026428855</v>
      </c>
      <c r="CE96" s="178">
        <f>CC96*CD96/1000</f>
        <v>4.4897647799904206E-3</v>
      </c>
      <c r="CF96" s="23" t="str">
        <f>IF(AND(AV96&gt;=BD96,AV96&gt;=BO96,CE96&lt;=(+IF(CO96="External",0.25,0.3))),"O.K", "Not O.K")</f>
        <v>O.K</v>
      </c>
      <c r="CG96" s="28"/>
      <c r="CH96" s="179" t="str">
        <f>IF(O96&lt;0.2*$AJ$14*R96*$O$12/1000,"N &lt; 0.2fckAc - OK!","TBA")</f>
        <v>N &lt; 0.2fckAc - OK!</v>
      </c>
      <c r="CI96" s="24">
        <v>89</v>
      </c>
      <c r="CJ96" s="25"/>
      <c r="CK96" s="6">
        <f t="shared" si="138"/>
        <v>112</v>
      </c>
      <c r="CL96" s="8" t="s">
        <v>72</v>
      </c>
      <c r="CM96" s="6">
        <f t="shared" si="139"/>
        <v>212</v>
      </c>
      <c r="CN96" s="26" t="s">
        <v>148</v>
      </c>
      <c r="CO96" s="15" t="str">
        <f>IF(VLOOKUP(CI96,'Summary-input'!A:C,3,0)="Outward",
IF(CP96&lt;0,"External","Internal"),
IF(CP96&lt;0,"Internal","External")
)</f>
        <v>External</v>
      </c>
      <c r="CP96">
        <f>VLOOKUP(CI96&amp;CN96,'Summary-output-ULS'!A:G,6,0)</f>
        <v>43.275204757281358</v>
      </c>
      <c r="CQ96">
        <f>VLOOKUP(CI96&amp;CN96,'Summary-output-ULS'!A:G,7,0)</f>
        <v>-1382.6227283414139</v>
      </c>
      <c r="CR96" s="3">
        <f>VLOOKUP(CI96&amp;CN96,'Summary-output-SLS'!A:G,6,0)</f>
        <v>-27.530295488924303</v>
      </c>
      <c r="CS96" s="3">
        <f>VLOOKUP(CI96&amp;CN96,'Summary-output-SLS'!A:G,7,0)</f>
        <v>-1226.1154726449795</v>
      </c>
      <c r="CT96" s="20">
        <v>1000</v>
      </c>
      <c r="CU96" s="2">
        <f>VLOOKUP(CI96&amp;CN96,'Summary-output-ULS'!A:G,5,0)</f>
        <v>112</v>
      </c>
      <c r="CV96" s="15">
        <f>VLOOKUP(CI96&amp;CN96,'Summary-output-SLS'!A:G,5,0)</f>
        <v>212</v>
      </c>
      <c r="CW96" s="6"/>
      <c r="CX96" s="278"/>
      <c r="CY96" s="6"/>
      <c r="CZ96" s="6"/>
      <c r="DA96" s="6"/>
      <c r="DB96" s="6"/>
      <c r="DC96" s="6"/>
      <c r="DD96" s="6"/>
      <c r="DE96" s="6"/>
      <c r="DF96" s="6"/>
      <c r="DG96" s="6"/>
      <c r="DH96" s="6"/>
      <c r="DI96" s="6"/>
      <c r="DJ96" s="212"/>
      <c r="DK96" s="13"/>
      <c r="DL96" s="13"/>
      <c r="DM96" s="202"/>
      <c r="DN96" s="206">
        <f>IF(CO96="external",T96,0)</f>
        <v>20</v>
      </c>
      <c r="DO96" s="206">
        <f>IF(CO96="external",W96,0)</f>
        <v>0</v>
      </c>
      <c r="DP96" s="206">
        <f>IF(CO96="external",Z96,0)</f>
        <v>0</v>
      </c>
      <c r="DQ96" s="206">
        <f>IF(CO96="external",AC96,0)</f>
        <v>0</v>
      </c>
      <c r="DR96" s="206">
        <f>IF(CO96="external",AF96,0)</f>
        <v>0</v>
      </c>
      <c r="DS96" s="207">
        <f>IF(CO96="external",AI96,0)</f>
        <v>0</v>
      </c>
      <c r="DT96" s="208"/>
      <c r="DU96" s="207">
        <f>IF(CO96="internal",T96,0)</f>
        <v>0</v>
      </c>
      <c r="DV96" s="207">
        <f>IF(CO96="internal",W96,0)</f>
        <v>0</v>
      </c>
      <c r="DW96" s="207">
        <f>IF(CO96="internal",Z96,0)</f>
        <v>0</v>
      </c>
      <c r="DX96" s="207">
        <f>IF(CO96="internal",AC96,0)</f>
        <v>0</v>
      </c>
      <c r="DY96" s="207">
        <f>IF(CO96="internal",AF96,0)</f>
        <v>0</v>
      </c>
      <c r="DZ96" s="207">
        <f>IF(CO96="internal",AI96,0)</f>
        <v>0</v>
      </c>
    </row>
    <row r="97" spans="1:131" s="7" customFormat="1" x14ac:dyDescent="0.3">
      <c r="B97" s="19">
        <f>+CI97</f>
        <v>89</v>
      </c>
      <c r="C97" s="6">
        <f t="shared" si="140"/>
        <v>0</v>
      </c>
      <c r="D97" s="6">
        <f t="shared" si="141"/>
        <v>101</v>
      </c>
      <c r="E97" s="6" t="str">
        <f t="shared" si="142"/>
        <v>--</v>
      </c>
      <c r="F97" s="6">
        <f>+CM97</f>
        <v>201</v>
      </c>
      <c r="G97" s="174" t="str">
        <f t="shared" si="143"/>
        <v>Max Fx</v>
      </c>
      <c r="H97" s="6" t="str">
        <f t="shared" si="144"/>
        <v>External</v>
      </c>
      <c r="I97" s="156"/>
      <c r="J97" s="10">
        <f t="shared" si="145"/>
        <v>236.01457877851959</v>
      </c>
      <c r="K97" s="10">
        <f t="shared" si="146"/>
        <v>-1732.7381424168834</v>
      </c>
      <c r="L97" s="10">
        <f t="shared" si="147"/>
        <v>175.99524295097646</v>
      </c>
      <c r="M97" s="10">
        <f t="shared" si="148"/>
        <v>-1252.9659954146275</v>
      </c>
      <c r="N97" s="10">
        <f>IF(I97*J97&gt;=0,J97*$J$19+I97*$J$18,J97)</f>
        <v>236.01457877851959</v>
      </c>
      <c r="O97" s="10">
        <f>(K97)*$J$19</f>
        <v>-1732.7381424168834</v>
      </c>
      <c r="P97" s="14">
        <f>IF(I97*L97&gt;=0,(L97)+I97,L97)</f>
        <v>175.99524295097646</v>
      </c>
      <c r="Q97" s="3">
        <f>(M97)</f>
        <v>-1252.9659954146275</v>
      </c>
      <c r="R97" s="20">
        <f t="shared" si="137"/>
        <v>1000</v>
      </c>
      <c r="S97" s="23"/>
      <c r="T97" s="12">
        <v>20</v>
      </c>
      <c r="U97" s="28"/>
      <c r="V97" s="28"/>
      <c r="W97" s="12"/>
      <c r="X97" s="28"/>
      <c r="Y97" s="28"/>
      <c r="Z97" s="12"/>
      <c r="AA97" s="28"/>
      <c r="AB97" s="28"/>
      <c r="AC97" s="158"/>
      <c r="AD97" s="28"/>
      <c r="AE97" s="28"/>
      <c r="AF97" s="158"/>
      <c r="AG97" s="28"/>
      <c r="AH97" s="28"/>
      <c r="AI97" s="29"/>
      <c r="AJ97" s="6">
        <f>PI()/4*T97^2*$O$12/$AX$16</f>
        <v>2094.3951023931954</v>
      </c>
      <c r="AK97" s="28" t="str">
        <f>IF(W97=0,"","+")</f>
        <v/>
      </c>
      <c r="AL97" s="6">
        <f>PI()/4*W97^2*$O$12/$AX$16</f>
        <v>0</v>
      </c>
      <c r="AM97" s="28" t="str">
        <f>IF(Z97=0,"","+")</f>
        <v/>
      </c>
      <c r="AN97" s="6">
        <f>PI()/4*Z97^2*$O$12/$AX$16</f>
        <v>0</v>
      </c>
      <c r="AO97" s="28" t="str">
        <f>IF(AC97=0,"","+")</f>
        <v/>
      </c>
      <c r="AP97" s="6">
        <f>PI()/4*AC97^2*$O$12/$AX$16</f>
        <v>0</v>
      </c>
      <c r="AQ97" s="28" t="str">
        <f>IF(AF97=0,"","+")</f>
        <v/>
      </c>
      <c r="AR97" s="6">
        <f>PI()/4*AF97^2*$O$12/$AX$16</f>
        <v>0</v>
      </c>
      <c r="AS97" s="28" t="str">
        <f>IF(AI97=0,"","+")</f>
        <v/>
      </c>
      <c r="AT97" s="6">
        <f>PI()/4*AI97^2*$O$12/$AX$16</f>
        <v>0</v>
      </c>
      <c r="AU97" s="28" t="s">
        <v>24</v>
      </c>
      <c r="AV97" s="15">
        <f>VALUE(AJ97)+VALUE(AL97)+VALUE(AN97)+VALUE(AP97)+VALUE(AR97)+VALUE(AT97)</f>
        <v>2094.3951023931954</v>
      </c>
      <c r="AW97" s="228">
        <f>MAX(0.3*$AJ$14^(2/3)/$AJ$16*0.26*100,0.13)</f>
        <v>0.15723814702688016</v>
      </c>
      <c r="AX97" s="6">
        <f>AW97/100*$O$12*BK97</f>
        <v>1426.1499935338031</v>
      </c>
      <c r="AY97" s="6"/>
      <c r="AZ97" s="6"/>
      <c r="BA97" s="24" t="str">
        <f>IF(BB97=0,"","+")</f>
        <v/>
      </c>
      <c r="BB97" s="24"/>
      <c r="BC97" s="28" t="s">
        <v>24</v>
      </c>
      <c r="BD97" s="15">
        <f>AX97+AZ97+BB97</f>
        <v>1426.1499935338031</v>
      </c>
      <c r="BE97" s="2">
        <f>(R97-($AX$14+$O$16+T97/2))</f>
        <v>907</v>
      </c>
      <c r="BF97" s="3">
        <f>IF(W97=0,0,(R97-($AX$14+T97/2+$O$16+$BI$16)))</f>
        <v>0</v>
      </c>
      <c r="BG97" s="3">
        <f>IF(Z97=0,0,(R97-($AX$14+T97/2+$BI$16+$O$16+$BI$17)))</f>
        <v>0</v>
      </c>
      <c r="BH97" s="3">
        <f>IF(AC97=0,0,(R97-($AX$14+T97/2+$O$16+$BI$16+$BI$17+$BI$18)))</f>
        <v>0</v>
      </c>
      <c r="BI97" s="3">
        <f>IF(AF97=0,0,(R97-($AX$14+T97/2+$O$16+$BI$16+$BI$17+$BI$18+$BL$16)))</f>
        <v>0</v>
      </c>
      <c r="BJ97" s="3">
        <f>IF(AI97=0,0,(R97-($AX$14+T97/2+$O$16+$BI$16+$BI$17+$BI$18+$BL$16+$BL$17)))</f>
        <v>0</v>
      </c>
      <c r="BK97" s="6">
        <f>(BE97*AJ97+BF97*AL97+BG97*AN97+BH97*AP97+BI97*AR97+BJ97*AT97)/AV97</f>
        <v>907</v>
      </c>
      <c r="BL97" s="175">
        <f>ABS(N97)*1000000/$O$12/BK97^2</f>
        <v>0.28689584352320319</v>
      </c>
      <c r="BM97" s="175">
        <f>BL97/$AJ$14</f>
        <v>8.9654951101000996E-3</v>
      </c>
      <c r="BN97" s="21">
        <f>IF(BM97&lt;0.167,0.5+SQRT(0.25-(BM97/1.134)),0.82)</f>
        <v>0.99203040521495867</v>
      </c>
      <c r="BO97" s="15">
        <f>ABS(N97)/(0.87*$AJ$16*BN97*BK97)*10^6</f>
        <v>602.99998756905813</v>
      </c>
      <c r="BP97" s="22">
        <v>2104.5143919368206</v>
      </c>
      <c r="BQ97" s="175">
        <f>IF(Q97=0,2*ABS(P97*10^6)/$O$12/BP97/(BK97-BP97/3),Q97*BP97*1000/($O$12/2*BP97^2-(BE97-BP97)*AJ97*$AJ$18-(BF97-BP97)*AL97*$AJ$18-(BG97-BP97)*AN97*$AJ$18-(BH97-BP97)*AP97*$AJ$18-(BI97-BP97)*AR97*$AJ$18-(BJ97-BP97)*AT97*$AJ$18))</f>
        <v>-1.1692953690723469</v>
      </c>
      <c r="BR97" s="3">
        <f>0.5*$O$12*BP97*BQ97 /1000</f>
        <v>-1230.3994663189151</v>
      </c>
      <c r="BS97" s="3">
        <f>($BQ97/$BP97)*(BE97-$BP97)*$AJ$18*AJ97/1000</f>
        <v>22.56652909571217</v>
      </c>
      <c r="BT97" s="3">
        <f>($BQ97/$BP97)*(BF97-$BP97)*$AJ$18*AL97/1000</f>
        <v>0</v>
      </c>
      <c r="BU97" s="3">
        <f>($BQ97/$BP97)*(BG97-$BP97)*$AJ$18*AN97/1000</f>
        <v>0</v>
      </c>
      <c r="BV97" s="3">
        <f>($BQ97/$BP97)*(BH97-$BP97)*$AJ$18*AP97/1000</f>
        <v>0</v>
      </c>
      <c r="BW97" s="3">
        <f>($BQ97/$BP97)*(BI97-$BP97)*$AJ$18*AR97/1000</f>
        <v>0</v>
      </c>
      <c r="BX97" s="3">
        <f>($BQ97/$BP97)*(BJ97-$BP97)*$AJ$18*AT97/1000</f>
        <v>0</v>
      </c>
      <c r="BY97" s="175">
        <f>IF(Q97=0,0,(0.5*$O$12*BP97*BQ97/1000*(R97/2-$BP97/3)+BS97*(BE97-R97/2)+BT97*(BF97-R97/2)+BU97*(BG97-R97/2)+BV97*(BH97-R97/2)+BW97*(BI97-R97/2)+BX97*(BJ97-R97/2))/1000-ABS(P97))</f>
        <v>81.120729464700929</v>
      </c>
      <c r="BZ97" s="10"/>
      <c r="CA97" s="176">
        <f>ABS(P97)/(BK97-BP97/3)/AV97*10^6-Q97*(R97/2-BP97/3)/(BK97-BP97/3)/AV97*1000</f>
        <v>-177.70799844702276</v>
      </c>
      <c r="CB97" s="177">
        <f>(AV97/($O$12*MIN(2.5*(R97-BK97),(R97-BP97)/3,R97/2)-AV97))</f>
        <v>-5.656462919885725E-3</v>
      </c>
      <c r="CC97" s="177">
        <f>3.4*($O$16+$AX$14)+0.425*0.8*0.5*(T97^2+W97^2+Z97^2+AC97^2+AF97^2+AI97^2)/(T97+W97+Z97+AC97+AF97+AI97)/CB97</f>
        <v>-318.88234565580586</v>
      </c>
      <c r="CD97" s="177">
        <f>MAX(0.6*CA97/$AJ$17,(CA97-0.4*0.3*$AJ$14^(2/3)/CB97*(1+$AJ$17/$AJ$15*CB97))/$AJ$17)</f>
        <v>8.2677493729234761E-2</v>
      </c>
      <c r="CE97" s="178">
        <f>CC97*CD97/1000</f>
        <v>-2.6364393133321559E-2</v>
      </c>
      <c r="CF97" s="23" t="str">
        <f>IF(AND(AV97&gt;=BD97,AV97&gt;=BO97,CE97&lt;=(+IF(CO97="External",0.25,0.3))),"O.K", "Not O.K")</f>
        <v>O.K</v>
      </c>
      <c r="CG97" s="28"/>
      <c r="CH97" s="179" t="str">
        <f>IF(O97&lt;0.2*$AJ$14*R97*$O$12/1000,"N &lt; 0.2fckAc - OK!","TBA")</f>
        <v>N &lt; 0.2fckAc - OK!</v>
      </c>
      <c r="CI97" s="24">
        <v>89</v>
      </c>
      <c r="CJ97" s="25"/>
      <c r="CK97" s="6">
        <f t="shared" si="138"/>
        <v>101</v>
      </c>
      <c r="CL97" s="8" t="s">
        <v>72</v>
      </c>
      <c r="CM97" s="6">
        <f t="shared" si="139"/>
        <v>201</v>
      </c>
      <c r="CN97" s="26" t="s">
        <v>145</v>
      </c>
      <c r="CO97" s="15" t="str">
        <f>IF(VLOOKUP(CI97,'Summary-input'!A:C,3,0)="Outward",
IF(CP97&lt;0,"External","Internal"),
IF(CP97&lt;0,"Internal","External")
)</f>
        <v>External</v>
      </c>
      <c r="CP97">
        <f>VLOOKUP(CI97&amp;CN97,'Summary-output-ULS'!A:G,6,0)</f>
        <v>236.01457877851959</v>
      </c>
      <c r="CQ97">
        <f>VLOOKUP(CI97&amp;CN97,'Summary-output-ULS'!A:G,7,0)</f>
        <v>-1732.7381424168834</v>
      </c>
      <c r="CR97" s="3">
        <f>VLOOKUP(CI97&amp;CN97,'Summary-output-SLS'!A:G,6,0)</f>
        <v>175.99524295097646</v>
      </c>
      <c r="CS97" s="3">
        <f>VLOOKUP(CI97&amp;CN97,'Summary-output-SLS'!A:G,7,0)</f>
        <v>-1252.9659954146275</v>
      </c>
      <c r="CT97" s="20">
        <v>1000</v>
      </c>
      <c r="CU97" s="2">
        <f>VLOOKUP(CI97&amp;CN97,'Summary-output-ULS'!A:G,5,0)</f>
        <v>101</v>
      </c>
      <c r="CV97" s="15">
        <f>VLOOKUP(CI97&amp;CN97,'Summary-output-SLS'!A:G,5,0)</f>
        <v>201</v>
      </c>
      <c r="CW97" s="6"/>
      <c r="CX97" s="278"/>
      <c r="CY97" s="6"/>
      <c r="CZ97" s="6"/>
      <c r="DA97" s="6"/>
      <c r="DB97" s="6"/>
      <c r="DC97" s="6"/>
      <c r="DD97" s="6"/>
      <c r="DE97" s="6"/>
      <c r="DF97" s="6"/>
      <c r="DG97" s="6"/>
      <c r="DH97" s="6"/>
      <c r="DI97" s="6"/>
      <c r="DJ97" s="212"/>
      <c r="DK97" s="13"/>
      <c r="DL97" s="13"/>
      <c r="DM97" s="202"/>
      <c r="DN97" s="206">
        <f>IF(CO97="external",T97,0)</f>
        <v>20</v>
      </c>
      <c r="DO97" s="206">
        <f>IF(CO97="external",W97,0)</f>
        <v>0</v>
      </c>
      <c r="DP97" s="206">
        <f>IF(CO97="external",Z97,0)</f>
        <v>0</v>
      </c>
      <c r="DQ97" s="206">
        <f>IF(CO97="external",AC97,0)</f>
        <v>0</v>
      </c>
      <c r="DR97" s="206">
        <f>IF(CO97="external",AF97,0)</f>
        <v>0</v>
      </c>
      <c r="DS97" s="207">
        <f>IF(CO97="external",AI97,0)</f>
        <v>0</v>
      </c>
      <c r="DT97" s="208"/>
      <c r="DU97" s="207">
        <f>IF(CO97="internal",T97,0)</f>
        <v>0</v>
      </c>
      <c r="DV97" s="207">
        <f>IF(CO97="internal",W97,0)</f>
        <v>0</v>
      </c>
      <c r="DW97" s="207">
        <f>IF(CO97="internal",Z97,0)</f>
        <v>0</v>
      </c>
      <c r="DX97" s="207">
        <f>IF(CO97="internal",AC97,0)</f>
        <v>0</v>
      </c>
      <c r="DY97" s="207">
        <f>IF(CO97="internal",AF97,0)</f>
        <v>0</v>
      </c>
      <c r="DZ97" s="207">
        <f>IF(CO97="internal",AI97,0)</f>
        <v>0</v>
      </c>
    </row>
    <row r="98" spans="1:131" s="7" customFormat="1" x14ac:dyDescent="0.3">
      <c r="B98" s="19">
        <f>+CI98</f>
        <v>89</v>
      </c>
      <c r="C98" s="6">
        <f t="shared" si="140"/>
        <v>0</v>
      </c>
      <c r="D98" s="6">
        <f t="shared" si="141"/>
        <v>106</v>
      </c>
      <c r="E98" s="6" t="str">
        <f t="shared" si="142"/>
        <v>--</v>
      </c>
      <c r="F98" s="6">
        <f>+CM98</f>
        <v>206</v>
      </c>
      <c r="G98" s="174" t="str">
        <f t="shared" si="143"/>
        <v>Min Fx</v>
      </c>
      <c r="H98" s="6" t="str">
        <f t="shared" si="144"/>
        <v>Internal</v>
      </c>
      <c r="I98" s="156"/>
      <c r="J98" s="10">
        <f t="shared" si="145"/>
        <v>-512.58500651901568</v>
      </c>
      <c r="K98" s="10">
        <f t="shared" si="146"/>
        <v>-891.94455304566441</v>
      </c>
      <c r="L98" s="10">
        <f t="shared" si="147"/>
        <v>-484.64217642415497</v>
      </c>
      <c r="M98" s="10">
        <f t="shared" si="148"/>
        <v>-821.42115220714334</v>
      </c>
      <c r="N98" s="10">
        <f>IF(I98*J98&gt;=0,J98*$J$19+I98*$J$18,J98)</f>
        <v>-512.58500651901568</v>
      </c>
      <c r="O98" s="10">
        <f>(K98)*$J$19</f>
        <v>-891.94455304566441</v>
      </c>
      <c r="P98" s="14">
        <f>IF(I98*L98&gt;=0,(L98)+I98,L98)</f>
        <v>-484.64217642415497</v>
      </c>
      <c r="Q98" s="3">
        <f>(M98)</f>
        <v>-821.42115220714334</v>
      </c>
      <c r="R98" s="20">
        <f t="shared" si="137"/>
        <v>1000</v>
      </c>
      <c r="S98" s="23"/>
      <c r="T98" s="12">
        <v>20</v>
      </c>
      <c r="U98" s="28"/>
      <c r="V98" s="28"/>
      <c r="W98" s="12"/>
      <c r="X98" s="28"/>
      <c r="Y98" s="28"/>
      <c r="Z98" s="12"/>
      <c r="AA98" s="28"/>
      <c r="AB98" s="28"/>
      <c r="AC98" s="158"/>
      <c r="AD98" s="28"/>
      <c r="AE98" s="28"/>
      <c r="AF98" s="158"/>
      <c r="AG98" s="28"/>
      <c r="AH98" s="28"/>
      <c r="AI98" s="29"/>
      <c r="AJ98" s="6">
        <f>PI()/4*T98^2*$O$12/$AX$16</f>
        <v>2094.3951023931954</v>
      </c>
      <c r="AK98" s="28" t="str">
        <f>IF(W98=0,"","+")</f>
        <v/>
      </c>
      <c r="AL98" s="6">
        <f>PI()/4*W98^2*$O$12/$AX$16</f>
        <v>0</v>
      </c>
      <c r="AM98" s="28" t="str">
        <f>IF(Z98=0,"","+")</f>
        <v/>
      </c>
      <c r="AN98" s="6">
        <f>PI()/4*Z98^2*$O$12/$AX$16</f>
        <v>0</v>
      </c>
      <c r="AO98" s="28" t="str">
        <f>IF(AC98=0,"","+")</f>
        <v/>
      </c>
      <c r="AP98" s="6">
        <f>PI()/4*AC98^2*$O$12/$AX$16</f>
        <v>0</v>
      </c>
      <c r="AQ98" s="28" t="str">
        <f>IF(AF98=0,"","+")</f>
        <v/>
      </c>
      <c r="AR98" s="6">
        <f>PI()/4*AF98^2*$O$12/$AX$16</f>
        <v>0</v>
      </c>
      <c r="AS98" s="28" t="str">
        <f>IF(AI98=0,"","+")</f>
        <v/>
      </c>
      <c r="AT98" s="6">
        <f>PI()/4*AI98^2*$O$12/$AX$16</f>
        <v>0</v>
      </c>
      <c r="AU98" s="28" t="s">
        <v>24</v>
      </c>
      <c r="AV98" s="15">
        <f>VALUE(AJ98)+VALUE(AL98)+VALUE(AN98)+VALUE(AP98)+VALUE(AR98)+VALUE(AT98)</f>
        <v>2094.3951023931954</v>
      </c>
      <c r="AW98" s="228">
        <f>MAX(0.3*$AJ$14^(2/3)/$AJ$16*0.26*100,0.13)</f>
        <v>0.15723814702688016</v>
      </c>
      <c r="AX98" s="6">
        <f>AW98/100*$O$12*BK98</f>
        <v>1426.1499935338031</v>
      </c>
      <c r="AY98" s="6"/>
      <c r="AZ98" s="6"/>
      <c r="BA98" s="24" t="str">
        <f>IF(BB98=0,"","+")</f>
        <v/>
      </c>
      <c r="BB98" s="24"/>
      <c r="BC98" s="28" t="s">
        <v>24</v>
      </c>
      <c r="BD98" s="15">
        <f>AX98+AZ98+BB98</f>
        <v>1426.1499935338031</v>
      </c>
      <c r="BE98" s="2">
        <f>(R98-($AX$14+$O$16+T98/2))</f>
        <v>907</v>
      </c>
      <c r="BF98" s="3">
        <f>IF(W98=0,0,(R98-($AX$14+T98/2+$O$16+$BI$16)))</f>
        <v>0</v>
      </c>
      <c r="BG98" s="3">
        <f>IF(Z98=0,0,(R98-($AX$14+T98/2+$BI$16+$O$16+$BI$17)))</f>
        <v>0</v>
      </c>
      <c r="BH98" s="3">
        <f>IF(AC98=0,0,(R98-($AX$14+T98/2+$O$16+$BI$16+$BI$17+$BI$18)))</f>
        <v>0</v>
      </c>
      <c r="BI98" s="3">
        <f>IF(AF98=0,0,(R98-($AX$14+T98/2+$O$16+$BI$16+$BI$17+$BI$18+$BL$16)))</f>
        <v>0</v>
      </c>
      <c r="BJ98" s="3">
        <f>IF(AI98=0,0,(R98-($AX$14+T98/2+$O$16+$BI$16+$BI$17+$BI$18+$BL$16+$BL$17)))</f>
        <v>0</v>
      </c>
      <c r="BK98" s="6">
        <f>(BE98*AJ98+BF98*AL98+BG98*AN98+BH98*AP98+BI98*AR98+BJ98*AT98)/AV98</f>
        <v>907</v>
      </c>
      <c r="BL98" s="175">
        <f>ABS(N98)*1000000/$O$12/BK98^2</f>
        <v>0.62309077932267065</v>
      </c>
      <c r="BM98" s="175">
        <f>BL98/$AJ$14</f>
        <v>1.9471586853833458E-2</v>
      </c>
      <c r="BN98" s="21">
        <f>IF(BM98&lt;0.167,0.5+SQRT(0.25-(BM98/1.134)),0.82)</f>
        <v>0.98252387349092163</v>
      </c>
      <c r="BO98" s="15">
        <f>ABS(N98)/(0.87*$AJ$16*BN98*BK98)*10^6</f>
        <v>1322.2885669807351</v>
      </c>
      <c r="BP98" s="22">
        <v>2042.7782860198708</v>
      </c>
      <c r="BQ98" s="175">
        <f>IF(Q98=0,2*ABS(P98*10^6)/$O$12/BP98/(BK98-BP98/3),Q98*BP98*1000/($O$12/2*BP98^2-(BE98-BP98)*AJ98*$AJ$18-(BF98-BP98)*AL98*$AJ$18-(BG98-BP98)*AN98*$AJ$18-(BH98-BP98)*AP98*$AJ$18-(BI98-BP98)*AR98*$AJ$18-(BJ98-BP98)*AT98*$AJ$18))</f>
        <v>-0.7896407653862253</v>
      </c>
      <c r="BR98" s="3">
        <f>0.5*$O$12*BP98*BQ98 /1000</f>
        <v>-806.53050464354612</v>
      </c>
      <c r="BS98" s="3">
        <f>($BQ98/$BP98)*(BE98-$BP98)*$AJ$18*AJ98/1000</f>
        <v>14.890647563597289</v>
      </c>
      <c r="BT98" s="3">
        <f>($BQ98/$BP98)*(BF98-$BP98)*$AJ$18*AL98/1000</f>
        <v>0</v>
      </c>
      <c r="BU98" s="3">
        <f>($BQ98/$BP98)*(BG98-$BP98)*$AJ$18*AN98/1000</f>
        <v>0</v>
      </c>
      <c r="BV98" s="3">
        <f>($BQ98/$BP98)*(BH98-$BP98)*$AJ$18*AP98/1000</f>
        <v>0</v>
      </c>
      <c r="BW98" s="3">
        <f>($BQ98/$BP98)*(BI98-$BP98)*$AJ$18*AR98/1000</f>
        <v>0</v>
      </c>
      <c r="BX98" s="3">
        <f>($BQ98/$BP98)*(BJ98-$BP98)*$AJ$18*AT98/1000</f>
        <v>0</v>
      </c>
      <c r="BY98" s="175">
        <f>IF(Q98=0,0,(0.5*$O$12*BP98*BQ98/1000*(R98/2-$BP98/3)+BS98*(BE98-R98/2)+BT98*(BF98-R98/2)+BU98*(BG98-R98/2)+BV98*(BH98-R98/2)+BW98*(BI98-R98/2)+BX98*(BJ98-R98/2))/1000-ABS(P98))</f>
        <v>-332.65926788804904</v>
      </c>
      <c r="BZ98" s="10"/>
      <c r="CA98" s="176">
        <f>ABS(P98)/(BK98-BP98/3)/AV98*10^6-Q98*(R98/2-BP98/3)/(BK98-BP98/3)/AV98*1000</f>
        <v>709.68134118399382</v>
      </c>
      <c r="CB98" s="177">
        <f>(AV98/($O$12*MIN(2.5*(R98-BK98),(R98-BP98)/3,R98/2)-AV98))</f>
        <v>-5.9893394990776193E-3</v>
      </c>
      <c r="CC98" s="177">
        <f>3.4*($O$16+$AX$14)+0.425*0.8*0.5*(T98^2+W98^2+Z98^2+AC98^2+AF98^2+AI98^2)/(T98+W98+Z98+AC98+AF98+AI98)/CB98</f>
        <v>-285.47528381445278</v>
      </c>
      <c r="CD98" s="177">
        <f>MAX(0.6*CA98/$AJ$17,(CA98-0.4*0.3*$AJ$14^(2/3)/CB98*(1+$AJ$17/$AJ$15*CB98))/$AJ$17)</f>
        <v>4.4602026477491732</v>
      </c>
      <c r="CE98" s="178">
        <f>CC98*CD98/1000</f>
        <v>-1.273277616736169</v>
      </c>
      <c r="CF98" s="23" t="str">
        <f>IF(AND(AV98&gt;=BD98,AV98&gt;=BO98,CE98&lt;=(+IF(CO98="External",0.25,0.3))),"O.K", "Not O.K")</f>
        <v>O.K</v>
      </c>
      <c r="CG98" s="28"/>
      <c r="CH98" s="179" t="str">
        <f>IF(O98&lt;0.2*$AJ$14*R98*$O$12/1000,"N &lt; 0.2fckAc - OK!","TBA")</f>
        <v>N &lt; 0.2fckAc - OK!</v>
      </c>
      <c r="CI98" s="24">
        <v>89</v>
      </c>
      <c r="CJ98" s="25"/>
      <c r="CK98" s="6">
        <f t="shared" si="138"/>
        <v>106</v>
      </c>
      <c r="CL98" s="8" t="s">
        <v>72</v>
      </c>
      <c r="CM98" s="6">
        <f t="shared" si="139"/>
        <v>206</v>
      </c>
      <c r="CN98" s="26" t="s">
        <v>146</v>
      </c>
      <c r="CO98" s="15" t="str">
        <f>IF(VLOOKUP(CI98,'Summary-input'!A:C,3,0)="Outward",
IF(CP98&lt;0,"External","Internal"),
IF(CP98&lt;0,"Internal","External")
)</f>
        <v>Internal</v>
      </c>
      <c r="CP98">
        <f>VLOOKUP(CI98&amp;CN98,'Summary-output-ULS'!A:G,6,0)</f>
        <v>-512.58500651901568</v>
      </c>
      <c r="CQ98">
        <f>VLOOKUP(CI98&amp;CN98,'Summary-output-ULS'!A:G,7,0)</f>
        <v>-891.94455304566441</v>
      </c>
      <c r="CR98" s="3">
        <f>VLOOKUP(CI98&amp;CN98,'Summary-output-SLS'!A:G,6,0)</f>
        <v>-484.64217642415497</v>
      </c>
      <c r="CS98" s="3">
        <f>VLOOKUP(CI98&amp;CN98,'Summary-output-SLS'!A:G,7,0)</f>
        <v>-821.42115220714334</v>
      </c>
      <c r="CT98" s="20">
        <v>1000</v>
      </c>
      <c r="CU98" s="2">
        <f>VLOOKUP(CI98&amp;CN98,'Summary-output-ULS'!A:G,5,0)</f>
        <v>106</v>
      </c>
      <c r="CV98" s="15">
        <f>VLOOKUP(CI98&amp;CN98,'Summary-output-SLS'!A:G,5,0)</f>
        <v>206</v>
      </c>
      <c r="CW98" s="6"/>
      <c r="CX98" s="278"/>
      <c r="CY98" s="6"/>
      <c r="CZ98" s="6"/>
      <c r="DA98" s="6"/>
      <c r="DB98" s="6"/>
      <c r="DC98" s="6"/>
      <c r="DD98" s="6"/>
      <c r="DE98" s="6"/>
      <c r="DF98" s="6"/>
      <c r="DG98" s="6"/>
      <c r="DH98" s="6"/>
      <c r="DI98" s="6"/>
      <c r="DJ98" s="212"/>
      <c r="DK98" s="13"/>
      <c r="DL98" s="13"/>
      <c r="DM98" s="202"/>
      <c r="DN98" s="206">
        <f>IF(CO98="external",T98,0)</f>
        <v>0</v>
      </c>
      <c r="DO98" s="206">
        <f>IF(CO98="external",W98,0)</f>
        <v>0</v>
      </c>
      <c r="DP98" s="206">
        <f>IF(CO98="external",Z98,0)</f>
        <v>0</v>
      </c>
      <c r="DQ98" s="206">
        <f>IF(CO98="external",AC98,0)</f>
        <v>0</v>
      </c>
      <c r="DR98" s="206">
        <f>IF(CO98="external",AF98,0)</f>
        <v>0</v>
      </c>
      <c r="DS98" s="207">
        <f>IF(CO98="external",AI98,0)</f>
        <v>0</v>
      </c>
      <c r="DT98" s="208"/>
      <c r="DU98" s="207">
        <f>IF(CO98="internal",T98,0)</f>
        <v>20</v>
      </c>
      <c r="DV98" s="207">
        <f>IF(CO98="internal",W98,0)</f>
        <v>0</v>
      </c>
      <c r="DW98" s="207">
        <f>IF(CO98="internal",Z98,0)</f>
        <v>0</v>
      </c>
      <c r="DX98" s="207">
        <f>IF(CO98="internal",AC98,0)</f>
        <v>0</v>
      </c>
      <c r="DY98" s="207">
        <f>IF(CO98="internal",AF98,0)</f>
        <v>0</v>
      </c>
      <c r="DZ98" s="207">
        <f>IF(CO98="internal",AI98,0)</f>
        <v>0</v>
      </c>
    </row>
    <row r="99" spans="1:131" s="7" customFormat="1" x14ac:dyDescent="0.3">
      <c r="B99" s="19"/>
      <c r="C99" s="6"/>
      <c r="D99" s="6"/>
      <c r="E99" s="6"/>
      <c r="F99" s="6"/>
      <c r="G99" s="232"/>
      <c r="H99" s="6"/>
      <c r="I99" s="24"/>
      <c r="J99" s="6"/>
      <c r="K99" s="6"/>
      <c r="L99" s="6">
        <v>253</v>
      </c>
      <c r="M99" s="6"/>
      <c r="N99" s="6"/>
      <c r="O99" s="6"/>
      <c r="P99" s="24"/>
      <c r="Q99" s="6"/>
      <c r="R99" s="6">
        <f t="shared" si="134"/>
        <v>0</v>
      </c>
      <c r="S99" s="28"/>
      <c r="T99" s="12"/>
      <c r="U99" s="28"/>
      <c r="V99" s="28"/>
      <c r="W99" s="12"/>
      <c r="X99" s="28"/>
      <c r="Y99" s="28"/>
      <c r="Z99" s="12"/>
      <c r="AA99" s="28"/>
      <c r="AB99" s="28"/>
      <c r="AC99" s="158"/>
      <c r="AD99" s="28"/>
      <c r="AE99" s="28"/>
      <c r="AF99" s="158"/>
      <c r="AG99" s="28"/>
      <c r="AH99" s="28"/>
      <c r="AI99" s="12"/>
      <c r="AJ99" s="6"/>
      <c r="AK99" s="28"/>
      <c r="AL99" s="6"/>
      <c r="AM99" s="28"/>
      <c r="AN99" s="6"/>
      <c r="AO99" s="28"/>
      <c r="AP99" s="6"/>
      <c r="AQ99" s="28"/>
      <c r="AR99" s="6"/>
      <c r="AS99" s="28"/>
      <c r="AT99" s="6"/>
      <c r="AU99" s="28"/>
      <c r="AV99" s="6"/>
      <c r="AW99" s="233"/>
      <c r="AX99" s="6"/>
      <c r="AY99" s="6"/>
      <c r="AZ99" s="6"/>
      <c r="BA99" s="24"/>
      <c r="BB99" s="24"/>
      <c r="BC99" s="28"/>
      <c r="BD99" s="6"/>
      <c r="BE99" s="6"/>
      <c r="BF99" s="6"/>
      <c r="BG99" s="6"/>
      <c r="BH99" s="6"/>
      <c r="BI99" s="6"/>
      <c r="BJ99" s="6"/>
      <c r="BK99" s="6"/>
      <c r="BL99" s="231"/>
      <c r="BM99" s="231"/>
      <c r="BN99" s="231"/>
      <c r="BO99" s="6"/>
      <c r="BP99" s="234"/>
      <c r="BQ99" s="231"/>
      <c r="BR99" s="6"/>
      <c r="BS99" s="6"/>
      <c r="BT99" s="6"/>
      <c r="BU99" s="6"/>
      <c r="BV99" s="6"/>
      <c r="BW99" s="6"/>
      <c r="BX99" s="6"/>
      <c r="BY99" s="231"/>
      <c r="BZ99" s="6"/>
      <c r="CA99" s="234"/>
      <c r="CB99" s="235"/>
      <c r="CC99" s="235"/>
      <c r="CD99" s="235"/>
      <c r="CE99" s="235"/>
      <c r="CF99" s="28"/>
      <c r="CG99" s="28"/>
      <c r="CH99" s="173"/>
      <c r="CI99" s="24"/>
      <c r="CJ99" s="25"/>
      <c r="CK99" s="6" t="e">
        <f t="shared" si="35"/>
        <v>#N/A</v>
      </c>
      <c r="CL99" s="8" t="s">
        <v>72</v>
      </c>
      <c r="CM99" s="6" t="e">
        <f t="shared" si="36"/>
        <v>#N/A</v>
      </c>
      <c r="CN99" s="236"/>
      <c r="CO99" s="15" t="e">
        <f>IF(VLOOKUP(CI99,'Summary-input'!A:C,3,0)="Outward",
IF(CP99&lt;0,"External","Internal"),
IF(CP99&lt;0,"Internal","External")
)</f>
        <v>#N/A</v>
      </c>
      <c r="CP99" t="e">
        <f>VLOOKUP(CI99&amp;CN99,'Summary-output-ULS'!A:G,6,0)</f>
        <v>#N/A</v>
      </c>
      <c r="CQ99" t="e">
        <f>VLOOKUP(CI99&amp;CN99,'Summary-output-ULS'!A:G,7,0)</f>
        <v>#N/A</v>
      </c>
      <c r="CR99" s="3" t="e">
        <f>VLOOKUP(CI99&amp;CN99,'Summary-output-SLS'!A:G,6,0)</f>
        <v>#N/A</v>
      </c>
      <c r="CS99" s="3" t="e">
        <f>VLOOKUP(CI99&amp;CN99,'Summary-output-SLS'!A:G,7,0)</f>
        <v>#N/A</v>
      </c>
      <c r="CT99" s="6"/>
      <c r="CU99" s="2" t="e">
        <f>VLOOKUP(CI99&amp;CN99,'Summary-output-ULS'!A:G,5,0)</f>
        <v>#N/A</v>
      </c>
      <c r="CV99" s="15" t="e">
        <f>VLOOKUP(CI99&amp;CN99,'Summary-output-SLS'!A:G,5,0)</f>
        <v>#N/A</v>
      </c>
      <c r="CW99" s="6"/>
      <c r="CX99" s="278"/>
      <c r="CY99" s="6"/>
      <c r="CZ99" s="6"/>
      <c r="DA99" s="6"/>
      <c r="DB99" s="6"/>
      <c r="DC99" s="6"/>
      <c r="DD99" s="6"/>
      <c r="DE99" s="6"/>
      <c r="DF99" s="6"/>
      <c r="DG99" s="6"/>
      <c r="DH99" s="6"/>
      <c r="DI99" s="6"/>
      <c r="DJ99" s="212"/>
      <c r="DK99" s="13"/>
      <c r="DL99" s="13"/>
      <c r="DM99" s="202"/>
      <c r="DN99" s="206"/>
      <c r="DO99" s="206"/>
      <c r="DP99" s="206"/>
      <c r="DQ99" s="206"/>
      <c r="DR99" s="206"/>
      <c r="DS99" s="207"/>
      <c r="DT99" s="208"/>
      <c r="DU99" s="207"/>
      <c r="DV99" s="207"/>
      <c r="DW99" s="207"/>
      <c r="DX99" s="207"/>
      <c r="DY99" s="207"/>
      <c r="DZ99" s="207"/>
    </row>
    <row r="100" spans="1:131" s="7" customFormat="1" ht="13.8" x14ac:dyDescent="0.25">
      <c r="A100" s="7" t="s">
        <v>141</v>
      </c>
      <c r="B100" s="19">
        <f>+CI100</f>
        <v>91</v>
      </c>
      <c r="C100" s="6">
        <f t="shared" ref="C100:E103" si="161">CJ100</f>
        <v>0</v>
      </c>
      <c r="D100" s="6" t="e">
        <f t="shared" si="161"/>
        <v>#N/A</v>
      </c>
      <c r="E100" s="6" t="str">
        <f t="shared" si="161"/>
        <v>--</v>
      </c>
      <c r="F100" s="6" t="e">
        <f>+CM100</f>
        <v>#N/A</v>
      </c>
      <c r="G100" s="174" t="str">
        <f t="shared" ref="G100:H103" si="162">CN100</f>
        <v>Max Mz</v>
      </c>
      <c r="H100" s="6" t="e">
        <f t="shared" si="162"/>
        <v>#N/A</v>
      </c>
      <c r="I100" s="156"/>
      <c r="J100" s="10" t="e">
        <f t="shared" ref="J100:M103" si="163">(CP100)</f>
        <v>#N/A</v>
      </c>
      <c r="K100" s="10" t="e">
        <f t="shared" si="163"/>
        <v>#N/A</v>
      </c>
      <c r="L100" s="10" t="e">
        <f t="shared" si="163"/>
        <v>#N/A</v>
      </c>
      <c r="M100" s="10" t="e">
        <f t="shared" si="163"/>
        <v>#N/A</v>
      </c>
      <c r="N100" s="10" t="e">
        <f>IF(I100*J100&gt;=0,J100*$J$19+I100*$J$18,J100)</f>
        <v>#N/A</v>
      </c>
      <c r="O100" s="10" t="e">
        <f>(K100)*$J$19</f>
        <v>#N/A</v>
      </c>
      <c r="P100" s="14" t="e">
        <f>IF(I100*L100&gt;=0,(L100)+I100,L100)</f>
        <v>#N/A</v>
      </c>
      <c r="Q100" s="3" t="e">
        <f>(M100)</f>
        <v>#N/A</v>
      </c>
      <c r="R100" s="20">
        <f t="shared" si="134"/>
        <v>1000</v>
      </c>
      <c r="S100" s="23"/>
      <c r="T100" s="12">
        <v>40</v>
      </c>
      <c r="U100" s="28"/>
      <c r="V100" s="28"/>
      <c r="W100" s="12">
        <v>40</v>
      </c>
      <c r="X100" s="28"/>
      <c r="Y100" s="28"/>
      <c r="Z100" s="12">
        <v>32</v>
      </c>
      <c r="AA100" s="28"/>
      <c r="AB100" s="28"/>
      <c r="AC100" s="158"/>
      <c r="AD100" s="28"/>
      <c r="AE100" s="28"/>
      <c r="AF100" s="158"/>
      <c r="AG100" s="28"/>
      <c r="AH100" s="28"/>
      <c r="AI100" s="29"/>
      <c r="AJ100" s="6">
        <f>PI()/4*T100^2*$O$12/$AX$16</f>
        <v>8377.5804095727817</v>
      </c>
      <c r="AK100" s="28" t="str">
        <f>IF(W100=0,"","+")</f>
        <v>+</v>
      </c>
      <c r="AL100" s="6">
        <f>PI()/4*W100^2*$O$12/$AX$16</f>
        <v>8377.5804095727817</v>
      </c>
      <c r="AM100" s="28" t="str">
        <f>IF(Z100=0,"","+")</f>
        <v>+</v>
      </c>
      <c r="AN100" s="6">
        <f>PI()/4*Z100^2*$O$12/$AX$16</f>
        <v>5361.6514621265796</v>
      </c>
      <c r="AO100" s="28" t="str">
        <f>IF(AC100=0,"","+")</f>
        <v/>
      </c>
      <c r="AP100" s="6">
        <f>PI()/4*AC100^2*$O$12/$AX$16</f>
        <v>0</v>
      </c>
      <c r="AQ100" s="28" t="str">
        <f>IF(AF100=0,"","+")</f>
        <v/>
      </c>
      <c r="AR100" s="6">
        <f>PI()/4*AF100^2*$O$12/$AX$16</f>
        <v>0</v>
      </c>
      <c r="AS100" s="28" t="str">
        <f>IF(AI100=0,"","+")</f>
        <v/>
      </c>
      <c r="AT100" s="6">
        <f>PI()/4*AI100^2*$O$12/$AX$16</f>
        <v>0</v>
      </c>
      <c r="AU100" s="28" t="s">
        <v>24</v>
      </c>
      <c r="AV100" s="15">
        <f>VALUE(AJ100)+VALUE(AL100)+VALUE(AN100)+VALUE(AP100)+VALUE(AR100)+VALUE(AT100)</f>
        <v>22116.812281272141</v>
      </c>
      <c r="AW100" s="228">
        <f>MAX(0.3*$AJ$14^(2/3)/$AJ$16*0.26*100,0.13)</f>
        <v>0.15723814702688016</v>
      </c>
      <c r="AX100" s="6">
        <f>AW100/100*$O$12*BK100</f>
        <v>1301.7889136125434</v>
      </c>
      <c r="AY100" s="6"/>
      <c r="AZ100" s="6"/>
      <c r="BA100" s="24" t="str">
        <f>IF(BB100=0,"","+")</f>
        <v/>
      </c>
      <c r="BB100" s="24"/>
      <c r="BC100" s="28" t="s">
        <v>24</v>
      </c>
      <c r="BD100" s="15">
        <f>AX100+AZ100+BB100</f>
        <v>1301.7889136125434</v>
      </c>
      <c r="BE100" s="2">
        <f>(R100-($AX$14+$O$16+T100/2))</f>
        <v>897</v>
      </c>
      <c r="BF100" s="3">
        <f>IF(W100=0,0,(R100-($AX$14+T100/2+$O$16+$BI$16)))</f>
        <v>817</v>
      </c>
      <c r="BG100" s="3">
        <f>IF(Z100=0,0,(R100-($AX$14+T100/2+$BI$16+$O$16+$BI$17)))</f>
        <v>737</v>
      </c>
      <c r="BH100" s="3">
        <f>IF(AC100=0,0,(R100-($AX$14+T100/2+$O$16+$BI$16+$BI$17+$BI$18)))</f>
        <v>0</v>
      </c>
      <c r="BI100" s="3">
        <f>IF(AF100=0,0,(R100-($AX$14+T100/2+$O$16+$BI$16+$BI$17+$BI$18+$BL$16)))</f>
        <v>0</v>
      </c>
      <c r="BJ100" s="3">
        <f>IF(AI100=0,0,(R100-($AX$14+T100/2+$O$16+$BI$16+$BI$17+$BI$18+$BL$16+$BL$17)))</f>
        <v>0</v>
      </c>
      <c r="BK100" s="6">
        <f>(BE100*AJ100+BF100*AL100+BG100*AN100+BH100*AP100+BI100*AR100+BJ100*AT100)/AV100</f>
        <v>827.90909090909099</v>
      </c>
      <c r="BL100" s="175" t="e">
        <f>ABS(N100)*1000000/$O$12/BK100^2</f>
        <v>#N/A</v>
      </c>
      <c r="BM100" s="175" t="e">
        <f>BL100/$AJ$14</f>
        <v>#N/A</v>
      </c>
      <c r="BN100" s="21" t="e">
        <f>IF(BM100&lt;0.167,0.5+SQRT(0.25-(BM100/1.134)),0.82)</f>
        <v>#N/A</v>
      </c>
      <c r="BO100" s="15" t="e">
        <f>ABS(N100)/(0.87*$AJ$16*BN100*BK100)*10^6</f>
        <v>#N/A</v>
      </c>
      <c r="BP100" s="22">
        <v>440.81949613827743</v>
      </c>
      <c r="BQ100" s="175" t="e">
        <f>IF(Q100=0,2*ABS(P100*10^6)/$O$12/BP100/(BK100-BP100/3),Q100*BP100*1000/($O$12/2*BP100^2-(BE100-BP100)*AJ100*$AJ$18-(BF100-BP100)*AL100*$AJ$18-(BG100-BP100)*AN100*$AJ$18-(BH100-BP100)*AP100*$AJ$18-(BI100-BP100)*AR100*$AJ$18-(BJ100-BP100)*AT100*$AJ$18))</f>
        <v>#N/A</v>
      </c>
      <c r="BR100" s="3" t="e">
        <f>0.5*$O$12*BP100*BQ100 /1000</f>
        <v>#N/A</v>
      </c>
      <c r="BS100" s="3" t="e">
        <f>($BQ100/$BP100)*(BE100-$BP100)*$AJ$18*AJ100/1000</f>
        <v>#N/A</v>
      </c>
      <c r="BT100" s="3" t="e">
        <f>($BQ100/$BP100)*(BF100-$BP100)*$AJ$18*AL100/1000</f>
        <v>#N/A</v>
      </c>
      <c r="BU100" s="3" t="e">
        <f>($BQ100/$BP100)*(BG100-$BP100)*$AJ$18*AN100/1000</f>
        <v>#N/A</v>
      </c>
      <c r="BV100" s="3" t="e">
        <f>($BQ100/$BP100)*(BH100-$BP100)*$AJ$18*AP100/1000</f>
        <v>#N/A</v>
      </c>
      <c r="BW100" s="3" t="e">
        <f>($BQ100/$BP100)*(BI100-$BP100)*$AJ$18*AR100/1000</f>
        <v>#N/A</v>
      </c>
      <c r="BX100" s="3" t="e">
        <f>($BQ100/$BP100)*(BJ100-$BP100)*$AJ$18*AT100/1000</f>
        <v>#N/A</v>
      </c>
      <c r="BY100" s="175" t="e">
        <f>IF(Q100=0,0,(0.5*$O$12*BP100*BQ100/1000*(R100/2-$BP100/3)+BS100*(BE100-R100/2)+BT100*(BF100-R100/2)+BU100*(BG100-R100/2)+BV100*(BH100-R100/2)+BW100*(BI100-R100/2)+BX100*(BJ100-R100/2))/1000-ABS(P100))</f>
        <v>#N/A</v>
      </c>
      <c r="BZ100" s="10"/>
      <c r="CA100" s="176" t="e">
        <f>ABS(P100)/(BK100-BP100/3)/AV100*10^6-Q100*(R100/2-BP100/3)/(BK100-BP100/3)/AV100*1000</f>
        <v>#N/A</v>
      </c>
      <c r="CB100" s="177">
        <f>(AV100/($O$12*MIN(2.5*(R100-BK100),(R100-BP100)/3,R100/2)-AV100))</f>
        <v>0.13463147093540803</v>
      </c>
      <c r="CC100" s="177">
        <f>3.4*($O$16+$AX$14)+0.425*0.8*0.5*(T100^2+W100^2+Z100^2+AC100^2+AF100^2+AI100^2)/(T100+W100+Z100+AC100+AF100+AI100)/CB100</f>
        <v>329.82206434262741</v>
      </c>
      <c r="CD100" s="177" t="e">
        <f>MAX(0.6*CA100/$AJ$17,(CA100-0.4*0.3*$AJ$14^(2/3)/CB100*(1+$AJ$17/$AJ$15*CB100))/$AJ$17)</f>
        <v>#N/A</v>
      </c>
      <c r="CE100" s="178" t="e">
        <f>CC100*CD100/1000</f>
        <v>#N/A</v>
      </c>
      <c r="CF100" s="23" t="e">
        <f>IF(AND(AV100&gt;=BD100,AV100&gt;=BO100,CE100&lt;=(+IF(CO100="External",0.25,0.3))),"O.K", "Not O.K")</f>
        <v>#N/A</v>
      </c>
      <c r="CG100" s="28"/>
      <c r="CH100" s="179" t="e">
        <f>IF(O100&lt;0.2*$AJ$14*R100*$O$12/1000,"N &lt; 0.2fckAc - OK!","TBA")</f>
        <v>#N/A</v>
      </c>
      <c r="CI100" s="24">
        <v>91</v>
      </c>
      <c r="CJ100" s="25"/>
      <c r="CK100" s="6" t="e">
        <f t="shared" si="35"/>
        <v>#N/A</v>
      </c>
      <c r="CL100" s="8" t="s">
        <v>72</v>
      </c>
      <c r="CM100" s="6" t="e">
        <f t="shared" si="36"/>
        <v>#N/A</v>
      </c>
      <c r="CN100" s="26" t="s">
        <v>147</v>
      </c>
      <c r="CO100" s="15" t="e">
        <f>IF(VLOOKUP(CI100,'Summary-input'!A:C,3,0)="Outward",
IF(CP100&lt;0,"External","Internal"),
IF(CP100&lt;0,"Internal","External")
)</f>
        <v>#N/A</v>
      </c>
      <c r="CP100" t="e">
        <f>VLOOKUP(CI100&amp;CN100,'Summary-output-ULS'!A:G,6,0)</f>
        <v>#N/A</v>
      </c>
      <c r="CQ100" t="e">
        <f>VLOOKUP(CI100&amp;CN100,'Summary-output-ULS'!A:G,7,0)</f>
        <v>#N/A</v>
      </c>
      <c r="CR100" s="3" t="e">
        <f>VLOOKUP(CI100&amp;CN100,'Summary-output-SLS'!A:G,6,0)</f>
        <v>#N/A</v>
      </c>
      <c r="CS100" s="3" t="e">
        <f>VLOOKUP(CI100&amp;CN100,'Summary-output-SLS'!A:G,7,0)</f>
        <v>#N/A</v>
      </c>
      <c r="CT100" s="20">
        <v>1000</v>
      </c>
      <c r="CU100" s="2" t="e">
        <f>VLOOKUP(CI100&amp;CN100,'Summary-output-ULS'!A:G,5,0)</f>
        <v>#N/A</v>
      </c>
      <c r="CV100" s="15" t="e">
        <f>VLOOKUP(CI100&amp;CN100,'Summary-output-SLS'!A:G,5,0)</f>
        <v>#N/A</v>
      </c>
      <c r="CW100" s="6"/>
      <c r="CX100" s="278">
        <f>CI100</f>
        <v>91</v>
      </c>
      <c r="CY100" s="6" t="e">
        <f t="shared" ref="CY100:DD100" si="164">MAX(DN100:DN103)</f>
        <v>#N/A</v>
      </c>
      <c r="CZ100" s="6" t="e">
        <f t="shared" si="164"/>
        <v>#N/A</v>
      </c>
      <c r="DA100" s="6" t="e">
        <f t="shared" si="164"/>
        <v>#N/A</v>
      </c>
      <c r="DB100" s="6" t="e">
        <f t="shared" si="164"/>
        <v>#N/A</v>
      </c>
      <c r="DC100" s="6" t="e">
        <f t="shared" si="164"/>
        <v>#N/A</v>
      </c>
      <c r="DD100" s="6" t="e">
        <f t="shared" si="164"/>
        <v>#N/A</v>
      </c>
      <c r="DE100" s="6"/>
      <c r="DF100" s="6" t="e">
        <f t="shared" ref="DF100:DK100" si="165">MAX(DU100:DU103)</f>
        <v>#N/A</v>
      </c>
      <c r="DG100" s="6" t="e">
        <f t="shared" si="165"/>
        <v>#N/A</v>
      </c>
      <c r="DH100" s="6" t="e">
        <f t="shared" si="165"/>
        <v>#N/A</v>
      </c>
      <c r="DI100" s="6" t="e">
        <f t="shared" si="165"/>
        <v>#N/A</v>
      </c>
      <c r="DJ100" s="6" t="e">
        <f t="shared" si="165"/>
        <v>#N/A</v>
      </c>
      <c r="DK100" s="6" t="e">
        <f t="shared" si="165"/>
        <v>#N/A</v>
      </c>
      <c r="DL100" s="13"/>
      <c r="DM100" s="202">
        <f>CI100</f>
        <v>91</v>
      </c>
      <c r="DN100" s="206" t="e">
        <f>IF(CO100="external",T100,0)</f>
        <v>#N/A</v>
      </c>
      <c r="DO100" s="206" t="e">
        <f>IF(CO100="external",W100,0)</f>
        <v>#N/A</v>
      </c>
      <c r="DP100" s="206" t="e">
        <f>IF(CO100="external",Z100,0)</f>
        <v>#N/A</v>
      </c>
      <c r="DQ100" s="206" t="e">
        <f>IF(CO100="external",AC100,0)</f>
        <v>#N/A</v>
      </c>
      <c r="DR100" s="206" t="e">
        <f>IF(CO100="external",AF100,0)</f>
        <v>#N/A</v>
      </c>
      <c r="DS100" s="207" t="e">
        <f>IF(CO100="external",AI100,0)</f>
        <v>#N/A</v>
      </c>
      <c r="DT100" s="208"/>
      <c r="DU100" s="207" t="e">
        <f>IF(CO100="internal",T100,0)</f>
        <v>#N/A</v>
      </c>
      <c r="DV100" s="207" t="e">
        <f>IF(CO100="internal",W100,0)</f>
        <v>#N/A</v>
      </c>
      <c r="DW100" s="207" t="e">
        <f>IF(CO100="internal",Z100,0)</f>
        <v>#N/A</v>
      </c>
      <c r="DX100" s="207" t="e">
        <f>IF(CO100="internal",AC100,0)</f>
        <v>#N/A</v>
      </c>
      <c r="DY100" s="207" t="e">
        <f>IF(CO100="internal",AF100,0)</f>
        <v>#N/A</v>
      </c>
      <c r="DZ100" s="207" t="e">
        <f>IF(CO100="internal",AI100,0)</f>
        <v>#N/A</v>
      </c>
    </row>
    <row r="101" spans="1:131" s="7" customFormat="1" x14ac:dyDescent="0.3">
      <c r="B101" s="19">
        <f>+CI101</f>
        <v>91</v>
      </c>
      <c r="C101" s="6">
        <f t="shared" si="161"/>
        <v>0</v>
      </c>
      <c r="D101" s="6" t="e">
        <f t="shared" si="161"/>
        <v>#N/A</v>
      </c>
      <c r="E101" s="6" t="str">
        <f t="shared" si="161"/>
        <v>--</v>
      </c>
      <c r="F101" s="6" t="e">
        <f>+CM101</f>
        <v>#N/A</v>
      </c>
      <c r="G101" s="174" t="str">
        <f t="shared" si="162"/>
        <v>Min Mz</v>
      </c>
      <c r="H101" s="6" t="e">
        <f t="shared" si="162"/>
        <v>#N/A</v>
      </c>
      <c r="I101" s="156"/>
      <c r="J101" s="10" t="e">
        <f t="shared" si="163"/>
        <v>#N/A</v>
      </c>
      <c r="K101" s="10" t="e">
        <f t="shared" si="163"/>
        <v>#N/A</v>
      </c>
      <c r="L101" s="10" t="e">
        <f t="shared" si="163"/>
        <v>#N/A</v>
      </c>
      <c r="M101" s="10" t="e">
        <f t="shared" si="163"/>
        <v>#N/A</v>
      </c>
      <c r="N101" s="10" t="e">
        <f>IF(I101*J101&gt;=0,J101*$J$19+I101*$J$18,J101)</f>
        <v>#N/A</v>
      </c>
      <c r="O101" s="10" t="e">
        <f>(K101)*$J$19</f>
        <v>#N/A</v>
      </c>
      <c r="P101" s="14" t="e">
        <f>IF(I101*L101&gt;=0,(L101)+I101,L101)</f>
        <v>#N/A</v>
      </c>
      <c r="Q101" s="3" t="e">
        <f>(M101)</f>
        <v>#N/A</v>
      </c>
      <c r="R101" s="20">
        <f t="shared" si="134"/>
        <v>1000</v>
      </c>
      <c r="S101" s="23"/>
      <c r="T101" s="12">
        <v>20</v>
      </c>
      <c r="U101" s="28"/>
      <c r="V101" s="28"/>
      <c r="W101" s="12"/>
      <c r="X101" s="28"/>
      <c r="Y101" s="28"/>
      <c r="Z101" s="12"/>
      <c r="AA101" s="28"/>
      <c r="AB101" s="28"/>
      <c r="AC101" s="158"/>
      <c r="AD101" s="28"/>
      <c r="AE101" s="28"/>
      <c r="AF101" s="158"/>
      <c r="AG101" s="28"/>
      <c r="AH101" s="28"/>
      <c r="AI101" s="29"/>
      <c r="AJ101" s="6">
        <f>PI()/4*T101^2*$O$12/$AX$16</f>
        <v>2094.3951023931954</v>
      </c>
      <c r="AK101" s="28" t="str">
        <f>IF(W101=0,"","+")</f>
        <v/>
      </c>
      <c r="AL101" s="6">
        <f>PI()/4*W101^2*$O$12/$AX$16</f>
        <v>0</v>
      </c>
      <c r="AM101" s="28" t="str">
        <f>IF(Z101=0,"","+")</f>
        <v/>
      </c>
      <c r="AN101" s="6">
        <f>PI()/4*Z101^2*$O$12/$AX$16</f>
        <v>0</v>
      </c>
      <c r="AO101" s="28" t="str">
        <f>IF(AC101=0,"","+")</f>
        <v/>
      </c>
      <c r="AP101" s="6">
        <f>PI()/4*AC101^2*$O$12/$AX$16</f>
        <v>0</v>
      </c>
      <c r="AQ101" s="28" t="str">
        <f>IF(AF101=0,"","+")</f>
        <v/>
      </c>
      <c r="AR101" s="6">
        <f>PI()/4*AF101^2*$O$12/$AX$16</f>
        <v>0</v>
      </c>
      <c r="AS101" s="28" t="str">
        <f>IF(AI101=0,"","+")</f>
        <v/>
      </c>
      <c r="AT101" s="6">
        <f>PI()/4*AI101^2*$O$12/$AX$16</f>
        <v>0</v>
      </c>
      <c r="AU101" s="28" t="s">
        <v>24</v>
      </c>
      <c r="AV101" s="15">
        <f>VALUE(AJ101)+VALUE(AL101)+VALUE(AN101)+VALUE(AP101)+VALUE(AR101)+VALUE(AT101)</f>
        <v>2094.3951023931954</v>
      </c>
      <c r="AW101" s="228">
        <f>MAX(0.3*$AJ$14^(2/3)/$AJ$16*0.26*100,0.13)</f>
        <v>0.15723814702688016</v>
      </c>
      <c r="AX101" s="6">
        <f>AW101/100*$O$12*BK101</f>
        <v>1426.1499935338031</v>
      </c>
      <c r="AY101" s="6"/>
      <c r="AZ101" s="6"/>
      <c r="BA101" s="24" t="str">
        <f>IF(BB101=0,"","+")</f>
        <v/>
      </c>
      <c r="BB101" s="24"/>
      <c r="BC101" s="28" t="s">
        <v>24</v>
      </c>
      <c r="BD101" s="15">
        <f>AX101+AZ101+BB101</f>
        <v>1426.1499935338031</v>
      </c>
      <c r="BE101" s="2">
        <f>(R101-($AX$14+$O$16+T101/2))</f>
        <v>907</v>
      </c>
      <c r="BF101" s="3">
        <f>IF(W101=0,0,(R101-($AX$14+T101/2+$O$16+$BI$16)))</f>
        <v>0</v>
      </c>
      <c r="BG101" s="3">
        <f>IF(Z101=0,0,(R101-($AX$14+T101/2+$BI$16+$O$16+$BI$17)))</f>
        <v>0</v>
      </c>
      <c r="BH101" s="3">
        <f>IF(AC101=0,0,(R101-($AX$14+T101/2+$O$16+$BI$16+$BI$17+$BI$18)))</f>
        <v>0</v>
      </c>
      <c r="BI101" s="3">
        <f>IF(AF101=0,0,(R101-($AX$14+T101/2+$O$16+$BI$16+$BI$17+$BI$18+$BL$16)))</f>
        <v>0</v>
      </c>
      <c r="BJ101" s="3">
        <f>IF(AI101=0,0,(R101-($AX$14+T101/2+$O$16+$BI$16+$BI$17+$BI$18+$BL$16+$BL$17)))</f>
        <v>0</v>
      </c>
      <c r="BK101" s="6">
        <f>(BE101*AJ101+BF101*AL101+BG101*AN101+BH101*AP101+BI101*AR101+BJ101*AT101)/AV101</f>
        <v>907</v>
      </c>
      <c r="BL101" s="175" t="e">
        <f>ABS(N101)*1000000/$O$12/BK101^2</f>
        <v>#N/A</v>
      </c>
      <c r="BM101" s="175" t="e">
        <f>BL101/$AJ$14</f>
        <v>#N/A</v>
      </c>
      <c r="BN101" s="21" t="e">
        <f>IF(BM101&lt;0.167,0.5+SQRT(0.25-(BM101/1.134)),0.82)</f>
        <v>#N/A</v>
      </c>
      <c r="BO101" s="15" t="e">
        <f>ABS(N101)/(0.87*$AJ$16*BN101*BK101)*10^6</f>
        <v>#N/A</v>
      </c>
      <c r="BP101" s="22">
        <v>1801.8456665466449</v>
      </c>
      <c r="BQ101" s="175" t="e">
        <f>IF(Q101=0,2*ABS(P101*10^6)/$O$12/BP101/(BK101-BP101/3),Q101*BP101*1000/($O$12/2*BP101^2-(BE101-BP101)*AJ101*$AJ$18-(BF101-BP101)*AL101*$AJ$18-(BG101-BP101)*AN101*$AJ$18-(BH101-BP101)*AP101*$AJ$18-(BI101-BP101)*AR101*$AJ$18-(BJ101-BP101)*AT101*$AJ$18))</f>
        <v>#N/A</v>
      </c>
      <c r="BR101" s="3" t="e">
        <f>0.5*$O$12*BP101*BQ101 /1000</f>
        <v>#N/A</v>
      </c>
      <c r="BS101" s="3" t="e">
        <f>($BQ101/$BP101)*(BE101-$BP101)*$AJ$18*AJ101/1000</f>
        <v>#N/A</v>
      </c>
      <c r="BT101" s="3" t="e">
        <f>($BQ101/$BP101)*(BF101-$BP101)*$AJ$18*AL101/1000</f>
        <v>#N/A</v>
      </c>
      <c r="BU101" s="3" t="e">
        <f>($BQ101/$BP101)*(BG101-$BP101)*$AJ$18*AN101/1000</f>
        <v>#N/A</v>
      </c>
      <c r="BV101" s="3" t="e">
        <f>($BQ101/$BP101)*(BH101-$BP101)*$AJ$18*AP101/1000</f>
        <v>#N/A</v>
      </c>
      <c r="BW101" s="3" t="e">
        <f>($BQ101/$BP101)*(BI101-$BP101)*$AJ$18*AR101/1000</f>
        <v>#N/A</v>
      </c>
      <c r="BX101" s="3" t="e">
        <f>($BQ101/$BP101)*(BJ101-$BP101)*$AJ$18*AT101/1000</f>
        <v>#N/A</v>
      </c>
      <c r="BY101" s="175" t="e">
        <f>IF(Q101=0,0,(0.5*$O$12*BP101*BQ101/1000*(R101/2-$BP101/3)+BS101*(BE101-R101/2)+BT101*(BF101-R101/2)+BU101*(BG101-R101/2)+BV101*(BH101-R101/2)+BW101*(BI101-R101/2)+BX101*(BJ101-R101/2))/1000-ABS(P101))</f>
        <v>#N/A</v>
      </c>
      <c r="BZ101" s="10"/>
      <c r="CA101" s="176" t="e">
        <f>ABS(P101)/(BK101-BP101/3)/AV101*10^6-Q101*(R101/2-BP101/3)/(BK101-BP101/3)/AV101*1000</f>
        <v>#N/A</v>
      </c>
      <c r="CB101" s="177">
        <f>(AV101/($O$12*MIN(2.5*(R101-BK101),(R101-BP101)/3,R101/2)-AV101))</f>
        <v>-7.7749795626850084E-3</v>
      </c>
      <c r="CC101" s="177">
        <f>3.4*($O$16+$AX$14)+0.425*0.8*0.5*(T101^2+W101^2+Z101^2+AC101^2+AF101^2+AI101^2)/(T101+W101+Z101+AC101+AF101+AI101)/CB101</f>
        <v>-155.10018485422813</v>
      </c>
      <c r="CD101" s="177" t="e">
        <f>MAX(0.6*CA101/$AJ$17,(CA101-0.4*0.3*$AJ$14^(2/3)/CB101*(1+$AJ$17/$AJ$15*CB101))/$AJ$17)</f>
        <v>#N/A</v>
      </c>
      <c r="CE101" s="178" t="e">
        <f>CC101*CD101/1000</f>
        <v>#N/A</v>
      </c>
      <c r="CF101" s="23" t="e">
        <f>IF(AND(AV101&gt;=BD101,AV101&gt;=BO101,CE101&lt;=(+IF(CO101="External",0.25,0.3))),"O.K", "Not O.K")</f>
        <v>#N/A</v>
      </c>
      <c r="CG101" s="28"/>
      <c r="CH101" s="179" t="e">
        <f>IF(O101&lt;0.2*$AJ$14*R101*$O$12/1000,"N &lt; 0.2fckAc - OK!","TBA")</f>
        <v>#N/A</v>
      </c>
      <c r="CI101" s="24">
        <v>91</v>
      </c>
      <c r="CJ101" s="25"/>
      <c r="CK101" s="6" t="e">
        <f t="shared" si="35"/>
        <v>#N/A</v>
      </c>
      <c r="CL101" s="8" t="s">
        <v>72</v>
      </c>
      <c r="CM101" s="6" t="e">
        <f t="shared" si="36"/>
        <v>#N/A</v>
      </c>
      <c r="CN101" s="26" t="s">
        <v>148</v>
      </c>
      <c r="CO101" s="15" t="e">
        <f>IF(VLOOKUP(CI101,'Summary-input'!A:C,3,0)="Outward",
IF(CP101&lt;0,"External","Internal"),
IF(CP101&lt;0,"Internal","External")
)</f>
        <v>#N/A</v>
      </c>
      <c r="CP101" t="e">
        <f>VLOOKUP(CI101&amp;CN101,'Summary-output-ULS'!A:G,6,0)</f>
        <v>#N/A</v>
      </c>
      <c r="CQ101" t="e">
        <f>VLOOKUP(CI101&amp;CN101,'Summary-output-ULS'!A:G,7,0)</f>
        <v>#N/A</v>
      </c>
      <c r="CR101" s="3" t="e">
        <f>VLOOKUP(CI101&amp;CN101,'Summary-output-SLS'!A:G,6,0)</f>
        <v>#N/A</v>
      </c>
      <c r="CS101" s="3" t="e">
        <f>VLOOKUP(CI101&amp;CN101,'Summary-output-SLS'!A:G,7,0)</f>
        <v>#N/A</v>
      </c>
      <c r="CT101" s="20">
        <v>1000</v>
      </c>
      <c r="CU101" s="2" t="e">
        <f>VLOOKUP(CI101&amp;CN101,'Summary-output-ULS'!A:G,5,0)</f>
        <v>#N/A</v>
      </c>
      <c r="CV101" s="15" t="e">
        <f>VLOOKUP(CI101&amp;CN101,'Summary-output-SLS'!A:G,5,0)</f>
        <v>#N/A</v>
      </c>
      <c r="CW101" s="6"/>
      <c r="CX101" s="278"/>
      <c r="CY101" s="6"/>
      <c r="CZ101" s="6"/>
      <c r="DA101" s="6"/>
      <c r="DB101" s="6"/>
      <c r="DC101" s="6"/>
      <c r="DD101" s="6"/>
      <c r="DE101" s="6"/>
      <c r="DF101" s="6"/>
      <c r="DG101" s="6"/>
      <c r="DH101" s="6"/>
      <c r="DI101" s="6"/>
      <c r="DJ101" s="212"/>
      <c r="DK101" s="13"/>
      <c r="DL101" s="13"/>
      <c r="DM101" s="202"/>
      <c r="DN101" s="206" t="e">
        <f>IF(CO101="external",T101,0)</f>
        <v>#N/A</v>
      </c>
      <c r="DO101" s="206" t="e">
        <f>IF(CO101="external",W101,0)</f>
        <v>#N/A</v>
      </c>
      <c r="DP101" s="206" t="e">
        <f>IF(CO101="external",Z101,0)</f>
        <v>#N/A</v>
      </c>
      <c r="DQ101" s="206" t="e">
        <f>IF(CO101="external",AC101,0)</f>
        <v>#N/A</v>
      </c>
      <c r="DR101" s="206" t="e">
        <f>IF(CO101="external",AF101,0)</f>
        <v>#N/A</v>
      </c>
      <c r="DS101" s="207" t="e">
        <f>IF(CO101="external",AI101,0)</f>
        <v>#N/A</v>
      </c>
      <c r="DT101" s="208"/>
      <c r="DU101" s="207" t="e">
        <f>IF(CO101="internal",T101,0)</f>
        <v>#N/A</v>
      </c>
      <c r="DV101" s="207" t="e">
        <f>IF(CO101="internal",W101,0)</f>
        <v>#N/A</v>
      </c>
      <c r="DW101" s="207" t="e">
        <f>IF(CO101="internal",Z101,0)</f>
        <v>#N/A</v>
      </c>
      <c r="DX101" s="207" t="e">
        <f>IF(CO101="internal",AC101,0)</f>
        <v>#N/A</v>
      </c>
      <c r="DY101" s="207" t="e">
        <f>IF(CO101="internal",AF101,0)</f>
        <v>#N/A</v>
      </c>
      <c r="DZ101" s="207" t="e">
        <f>IF(CO101="internal",AI101,0)</f>
        <v>#N/A</v>
      </c>
    </row>
    <row r="102" spans="1:131" s="7" customFormat="1" x14ac:dyDescent="0.3">
      <c r="B102" s="19">
        <f>+CI102</f>
        <v>91</v>
      </c>
      <c r="C102" s="6">
        <f t="shared" si="161"/>
        <v>0</v>
      </c>
      <c r="D102" s="6" t="e">
        <f t="shared" si="161"/>
        <v>#N/A</v>
      </c>
      <c r="E102" s="6" t="str">
        <f t="shared" si="161"/>
        <v>--</v>
      </c>
      <c r="F102" s="6" t="e">
        <f>+CM102</f>
        <v>#N/A</v>
      </c>
      <c r="G102" s="174" t="str">
        <f t="shared" si="162"/>
        <v>Max Fx</v>
      </c>
      <c r="H102" s="6" t="e">
        <f t="shared" si="162"/>
        <v>#N/A</v>
      </c>
      <c r="I102" s="156"/>
      <c r="J102" s="10" t="e">
        <f t="shared" si="163"/>
        <v>#N/A</v>
      </c>
      <c r="K102" s="10" t="e">
        <f t="shared" si="163"/>
        <v>#N/A</v>
      </c>
      <c r="L102" s="10" t="e">
        <f t="shared" si="163"/>
        <v>#N/A</v>
      </c>
      <c r="M102" s="10" t="e">
        <f t="shared" si="163"/>
        <v>#N/A</v>
      </c>
      <c r="N102" s="10" t="e">
        <f>IF(I102*J102&gt;=0,J102*$J$19+I102*$J$18,J102)</f>
        <v>#N/A</v>
      </c>
      <c r="O102" s="10" t="e">
        <f>(K102)*$J$19</f>
        <v>#N/A</v>
      </c>
      <c r="P102" s="14" t="e">
        <f>IF(I102*L102&gt;=0,(L102)+I102,L102)</f>
        <v>#N/A</v>
      </c>
      <c r="Q102" s="3" t="e">
        <f>(M102)</f>
        <v>#N/A</v>
      </c>
      <c r="R102" s="20">
        <f t="shared" si="134"/>
        <v>1000</v>
      </c>
      <c r="S102" s="23"/>
      <c r="T102" s="12">
        <v>20</v>
      </c>
      <c r="U102" s="28"/>
      <c r="V102" s="28"/>
      <c r="W102" s="12"/>
      <c r="X102" s="28"/>
      <c r="Y102" s="28"/>
      <c r="Z102" s="12"/>
      <c r="AA102" s="28"/>
      <c r="AB102" s="28"/>
      <c r="AC102" s="158"/>
      <c r="AD102" s="28"/>
      <c r="AE102" s="28"/>
      <c r="AF102" s="158"/>
      <c r="AG102" s="28"/>
      <c r="AH102" s="28"/>
      <c r="AI102" s="29"/>
      <c r="AJ102" s="6">
        <f>PI()/4*T102^2*$O$12/$AX$16</f>
        <v>2094.3951023931954</v>
      </c>
      <c r="AK102" s="28" t="str">
        <f>IF(W102=0,"","+")</f>
        <v/>
      </c>
      <c r="AL102" s="6">
        <f>PI()/4*W102^2*$O$12/$AX$16</f>
        <v>0</v>
      </c>
      <c r="AM102" s="28" t="str">
        <f>IF(Z102=0,"","+")</f>
        <v/>
      </c>
      <c r="AN102" s="6">
        <f>PI()/4*Z102^2*$O$12/$AX$16</f>
        <v>0</v>
      </c>
      <c r="AO102" s="28" t="str">
        <f>IF(AC102=0,"","+")</f>
        <v/>
      </c>
      <c r="AP102" s="6">
        <f>PI()/4*AC102^2*$O$12/$AX$16</f>
        <v>0</v>
      </c>
      <c r="AQ102" s="28" t="str">
        <f>IF(AF102=0,"","+")</f>
        <v/>
      </c>
      <c r="AR102" s="6">
        <f>PI()/4*AF102^2*$O$12/$AX$16</f>
        <v>0</v>
      </c>
      <c r="AS102" s="28" t="str">
        <f>IF(AI102=0,"","+")</f>
        <v/>
      </c>
      <c r="AT102" s="6">
        <f>PI()/4*AI102^2*$O$12/$AX$16</f>
        <v>0</v>
      </c>
      <c r="AU102" s="28" t="s">
        <v>24</v>
      </c>
      <c r="AV102" s="15">
        <f>VALUE(AJ102)+VALUE(AL102)+VALUE(AN102)+VALUE(AP102)+VALUE(AR102)+VALUE(AT102)</f>
        <v>2094.3951023931954</v>
      </c>
      <c r="AW102" s="228">
        <f>MAX(0.3*$AJ$14^(2/3)/$AJ$16*0.26*100,0.13)</f>
        <v>0.15723814702688016</v>
      </c>
      <c r="AX102" s="6">
        <f>AW102/100*$O$12*BK102</f>
        <v>1426.1499935338031</v>
      </c>
      <c r="AY102" s="6"/>
      <c r="AZ102" s="6"/>
      <c r="BA102" s="24" t="str">
        <f>IF(BB102=0,"","+")</f>
        <v/>
      </c>
      <c r="BB102" s="24"/>
      <c r="BC102" s="28" t="s">
        <v>24</v>
      </c>
      <c r="BD102" s="15">
        <f>AX102+AZ102+BB102</f>
        <v>1426.1499935338031</v>
      </c>
      <c r="BE102" s="2">
        <f>(R102-($AX$14+$O$16+T102/2))</f>
        <v>907</v>
      </c>
      <c r="BF102" s="3">
        <f>IF(W102=0,0,(R102-($AX$14+T102/2+$O$16+$BI$16)))</f>
        <v>0</v>
      </c>
      <c r="BG102" s="3">
        <f>IF(Z102=0,0,(R102-($AX$14+T102/2+$BI$16+$O$16+$BI$17)))</f>
        <v>0</v>
      </c>
      <c r="BH102" s="3">
        <f>IF(AC102=0,0,(R102-($AX$14+T102/2+$O$16+$BI$16+$BI$17+$BI$18)))</f>
        <v>0</v>
      </c>
      <c r="BI102" s="3">
        <f>IF(AF102=0,0,(R102-($AX$14+T102/2+$O$16+$BI$16+$BI$17+$BI$18+$BL$16)))</f>
        <v>0</v>
      </c>
      <c r="BJ102" s="3">
        <f>IF(AI102=0,0,(R102-($AX$14+T102/2+$O$16+$BI$16+$BI$17+$BI$18+$BL$16+$BL$17)))</f>
        <v>0</v>
      </c>
      <c r="BK102" s="6">
        <f>(BE102*AJ102+BF102*AL102+BG102*AN102+BH102*AP102+BI102*AR102+BJ102*AT102)/AV102</f>
        <v>907</v>
      </c>
      <c r="BL102" s="175" t="e">
        <f>ABS(N102)*1000000/$O$12/BK102^2</f>
        <v>#N/A</v>
      </c>
      <c r="BM102" s="175" t="e">
        <f>BL102/$AJ$14</f>
        <v>#N/A</v>
      </c>
      <c r="BN102" s="21" t="e">
        <f>IF(BM102&lt;0.167,0.5+SQRT(0.25-(BM102/1.134)),0.82)</f>
        <v>#N/A</v>
      </c>
      <c r="BO102" s="15" t="e">
        <f>ABS(N102)/(0.87*$AJ$16*BN102*BK102)*10^6</f>
        <v>#N/A</v>
      </c>
      <c r="BP102" s="22">
        <v>3186.2957059523051</v>
      </c>
      <c r="BQ102" s="175" t="e">
        <f>IF(Q102=0,2*ABS(P102*10^6)/$O$12/BP102/(BK102-BP102/3),Q102*BP102*1000/($O$12/2*BP102^2-(BE102-BP102)*AJ102*$AJ$18-(BF102-BP102)*AL102*$AJ$18-(BG102-BP102)*AN102*$AJ$18-(BH102-BP102)*AP102*$AJ$18-(BI102-BP102)*AR102*$AJ$18-(BJ102-BP102)*AT102*$AJ$18))</f>
        <v>#N/A</v>
      </c>
      <c r="BR102" s="3" t="e">
        <f>0.5*$O$12*BP102*BQ102 /1000</f>
        <v>#N/A</v>
      </c>
      <c r="BS102" s="3" t="e">
        <f>($BQ102/$BP102)*(BE102-$BP102)*$AJ$18*AJ102/1000</f>
        <v>#N/A</v>
      </c>
      <c r="BT102" s="3" t="e">
        <f>($BQ102/$BP102)*(BF102-$BP102)*$AJ$18*AL102/1000</f>
        <v>#N/A</v>
      </c>
      <c r="BU102" s="3" t="e">
        <f>($BQ102/$BP102)*(BG102-$BP102)*$AJ$18*AN102/1000</f>
        <v>#N/A</v>
      </c>
      <c r="BV102" s="3" t="e">
        <f>($BQ102/$BP102)*(BH102-$BP102)*$AJ$18*AP102/1000</f>
        <v>#N/A</v>
      </c>
      <c r="BW102" s="3" t="e">
        <f>($BQ102/$BP102)*(BI102-$BP102)*$AJ$18*AR102/1000</f>
        <v>#N/A</v>
      </c>
      <c r="BX102" s="3" t="e">
        <f>($BQ102/$BP102)*(BJ102-$BP102)*$AJ$18*AT102/1000</f>
        <v>#N/A</v>
      </c>
      <c r="BY102" s="175" t="e">
        <f>IF(Q102=0,0,(0.5*$O$12*BP102*BQ102/1000*(R102/2-$BP102/3)+BS102*(BE102-R102/2)+BT102*(BF102-R102/2)+BU102*(BG102-R102/2)+BV102*(BH102-R102/2)+BW102*(BI102-R102/2)+BX102*(BJ102-R102/2))/1000-ABS(P102))</f>
        <v>#N/A</v>
      </c>
      <c r="BZ102" s="10"/>
      <c r="CA102" s="176" t="e">
        <f>ABS(P102)/(BK102-BP102/3)/AV102*10^6-Q102*(R102/2-BP102/3)/(BK102-BP102/3)/AV102*1000</f>
        <v>#N/A</v>
      </c>
      <c r="CB102" s="177">
        <f>(AV102/($O$12*MIN(2.5*(R102-BK102),(R102-BP102)/3,R102/2)-AV102))</f>
        <v>-2.8656598548070177E-3</v>
      </c>
      <c r="CC102" s="177">
        <f>3.4*($O$16+$AX$14)+0.425*0.8*0.5*(T102^2+W102^2+Z102^2+AC102^2+AF102^2+AI102^2)/(T102+W102+Z102+AC102+AF102+AI102)/CB102</f>
        <v>-904.26321345384031</v>
      </c>
      <c r="CD102" s="177" t="e">
        <f>MAX(0.6*CA102/$AJ$17,(CA102-0.4*0.3*$AJ$14^(2/3)/CB102*(1+$AJ$17/$AJ$15*CB102))/$AJ$17)</f>
        <v>#N/A</v>
      </c>
      <c r="CE102" s="178" t="e">
        <f>CC102*CD102/1000</f>
        <v>#N/A</v>
      </c>
      <c r="CF102" s="23" t="e">
        <f>IF(AND(AV102&gt;=BD102,AV102&gt;=BO102,CE102&lt;=(+IF(CO102="External",0.25,0.3))),"O.K", "Not O.K")</f>
        <v>#N/A</v>
      </c>
      <c r="CG102" s="28"/>
      <c r="CH102" s="179" t="e">
        <f>IF(O102&lt;0.2*$AJ$14*R102*$O$12/1000,"N &lt; 0.2fckAc - OK!","TBA")</f>
        <v>#N/A</v>
      </c>
      <c r="CI102" s="24">
        <v>91</v>
      </c>
      <c r="CJ102" s="25"/>
      <c r="CK102" s="6" t="e">
        <f t="shared" si="35"/>
        <v>#N/A</v>
      </c>
      <c r="CL102" s="8" t="s">
        <v>72</v>
      </c>
      <c r="CM102" s="6" t="e">
        <f t="shared" si="36"/>
        <v>#N/A</v>
      </c>
      <c r="CN102" s="26" t="s">
        <v>145</v>
      </c>
      <c r="CO102" s="15" t="e">
        <f>IF(VLOOKUP(CI102,'Summary-input'!A:C,3,0)="Outward",
IF(CP102&lt;0,"External","Internal"),
IF(CP102&lt;0,"Internal","External")
)</f>
        <v>#N/A</v>
      </c>
      <c r="CP102" t="e">
        <f>VLOOKUP(CI102&amp;CN102,'Summary-output-ULS'!A:G,6,0)</f>
        <v>#N/A</v>
      </c>
      <c r="CQ102" t="e">
        <f>VLOOKUP(CI102&amp;CN102,'Summary-output-ULS'!A:G,7,0)</f>
        <v>#N/A</v>
      </c>
      <c r="CR102" s="3" t="e">
        <f>VLOOKUP(CI102&amp;CN102,'Summary-output-SLS'!A:G,6,0)</f>
        <v>#N/A</v>
      </c>
      <c r="CS102" s="3" t="e">
        <f>VLOOKUP(CI102&amp;CN102,'Summary-output-SLS'!A:G,7,0)</f>
        <v>#N/A</v>
      </c>
      <c r="CT102" s="20">
        <v>1000</v>
      </c>
      <c r="CU102" s="2" t="e">
        <f>VLOOKUP(CI102&amp;CN102,'Summary-output-ULS'!A:G,5,0)</f>
        <v>#N/A</v>
      </c>
      <c r="CV102" s="15" t="e">
        <f>VLOOKUP(CI102&amp;CN102,'Summary-output-SLS'!A:G,5,0)</f>
        <v>#N/A</v>
      </c>
      <c r="CW102" s="6"/>
      <c r="CX102" s="278"/>
      <c r="CY102" s="6"/>
      <c r="CZ102" s="6"/>
      <c r="DA102" s="6"/>
      <c r="DB102" s="6"/>
      <c r="DC102" s="6"/>
      <c r="DD102" s="6"/>
      <c r="DE102" s="6"/>
      <c r="DF102" s="6"/>
      <c r="DG102" s="6"/>
      <c r="DH102" s="6"/>
      <c r="DI102" s="6"/>
      <c r="DJ102" s="212"/>
      <c r="DK102" s="13"/>
      <c r="DL102" s="13"/>
      <c r="DM102" s="202"/>
      <c r="DN102" s="206" t="e">
        <f>IF(CO102="external",T102,0)</f>
        <v>#N/A</v>
      </c>
      <c r="DO102" s="206" t="e">
        <f>IF(CO102="external",W102,0)</f>
        <v>#N/A</v>
      </c>
      <c r="DP102" s="206" t="e">
        <f>IF(CO102="external",Z102,0)</f>
        <v>#N/A</v>
      </c>
      <c r="DQ102" s="206" t="e">
        <f>IF(CO102="external",AC102,0)</f>
        <v>#N/A</v>
      </c>
      <c r="DR102" s="206" t="e">
        <f>IF(CO102="external",AF102,0)</f>
        <v>#N/A</v>
      </c>
      <c r="DS102" s="207" t="e">
        <f>IF(CO102="external",AI102,0)</f>
        <v>#N/A</v>
      </c>
      <c r="DT102" s="208"/>
      <c r="DU102" s="207" t="e">
        <f>IF(CO102="internal",T102,0)</f>
        <v>#N/A</v>
      </c>
      <c r="DV102" s="207" t="e">
        <f>IF(CO102="internal",W102,0)</f>
        <v>#N/A</v>
      </c>
      <c r="DW102" s="207" t="e">
        <f>IF(CO102="internal",Z102,0)</f>
        <v>#N/A</v>
      </c>
      <c r="DX102" s="207" t="e">
        <f>IF(CO102="internal",AC102,0)</f>
        <v>#N/A</v>
      </c>
      <c r="DY102" s="207" t="e">
        <f>IF(CO102="internal",AF102,0)</f>
        <v>#N/A</v>
      </c>
      <c r="DZ102" s="207" t="e">
        <f>IF(CO102="internal",AI102,0)</f>
        <v>#N/A</v>
      </c>
    </row>
    <row r="103" spans="1:131" s="7" customFormat="1" x14ac:dyDescent="0.3">
      <c r="B103" s="19">
        <f>+CI103</f>
        <v>91</v>
      </c>
      <c r="C103" s="6">
        <f t="shared" si="161"/>
        <v>0</v>
      </c>
      <c r="D103" s="6" t="e">
        <f t="shared" si="161"/>
        <v>#N/A</v>
      </c>
      <c r="E103" s="6" t="str">
        <f t="shared" si="161"/>
        <v>--</v>
      </c>
      <c r="F103" s="6" t="e">
        <f>+CM103</f>
        <v>#N/A</v>
      </c>
      <c r="G103" s="174" t="str">
        <f t="shared" si="162"/>
        <v>Min Fx</v>
      </c>
      <c r="H103" s="6" t="e">
        <f t="shared" si="162"/>
        <v>#N/A</v>
      </c>
      <c r="I103" s="156"/>
      <c r="J103" s="10" t="e">
        <f t="shared" si="163"/>
        <v>#N/A</v>
      </c>
      <c r="K103" s="10" t="e">
        <f t="shared" si="163"/>
        <v>#N/A</v>
      </c>
      <c r="L103" s="10" t="e">
        <f t="shared" si="163"/>
        <v>#N/A</v>
      </c>
      <c r="M103" s="10" t="e">
        <f t="shared" si="163"/>
        <v>#N/A</v>
      </c>
      <c r="N103" s="10" t="e">
        <f>IF(I103*J103&gt;=0,J103*$J$19+I103*$J$18,J103)</f>
        <v>#N/A</v>
      </c>
      <c r="O103" s="10" t="e">
        <f>(K103)*$J$19</f>
        <v>#N/A</v>
      </c>
      <c r="P103" s="14" t="e">
        <f>IF(I103*L103&gt;=0,(L103)+I103,L103)</f>
        <v>#N/A</v>
      </c>
      <c r="Q103" s="3" t="e">
        <f>(M103)</f>
        <v>#N/A</v>
      </c>
      <c r="R103" s="20">
        <f t="shared" si="134"/>
        <v>1000</v>
      </c>
      <c r="S103" s="23"/>
      <c r="T103" s="12">
        <v>40</v>
      </c>
      <c r="U103" s="28"/>
      <c r="V103" s="28"/>
      <c r="W103" s="12">
        <v>40</v>
      </c>
      <c r="X103" s="28"/>
      <c r="Y103" s="28"/>
      <c r="Z103" s="12">
        <v>13</v>
      </c>
      <c r="AA103" s="28"/>
      <c r="AB103" s="28"/>
      <c r="AC103" s="158"/>
      <c r="AD103" s="28"/>
      <c r="AE103" s="28"/>
      <c r="AF103" s="158"/>
      <c r="AG103" s="28"/>
      <c r="AH103" s="28"/>
      <c r="AI103" s="29"/>
      <c r="AJ103" s="6">
        <f>PI()/4*T103^2*$O$12/$AX$16</f>
        <v>8377.5804095727817</v>
      </c>
      <c r="AK103" s="28" t="str">
        <f>IF(W103=0,"","+")</f>
        <v>+</v>
      </c>
      <c r="AL103" s="6">
        <f>PI()/4*W103^2*$O$12/$AX$16</f>
        <v>8377.5804095727817</v>
      </c>
      <c r="AM103" s="28" t="str">
        <f>IF(Z103=0,"","+")</f>
        <v>+</v>
      </c>
      <c r="AN103" s="6">
        <f>PI()/4*Z103^2*$O$12/$AX$16</f>
        <v>884.88193076112498</v>
      </c>
      <c r="AO103" s="28" t="str">
        <f>IF(AC103=0,"","+")</f>
        <v/>
      </c>
      <c r="AP103" s="6">
        <f>PI()/4*AC103^2*$O$12/$AX$16</f>
        <v>0</v>
      </c>
      <c r="AQ103" s="28" t="str">
        <f>IF(AF103=0,"","+")</f>
        <v/>
      </c>
      <c r="AR103" s="6">
        <f>PI()/4*AF103^2*$O$12/$AX$16</f>
        <v>0</v>
      </c>
      <c r="AS103" s="28" t="str">
        <f>IF(AI103=0,"","+")</f>
        <v/>
      </c>
      <c r="AT103" s="6">
        <f>PI()/4*AI103^2*$O$12/$AX$16</f>
        <v>0</v>
      </c>
      <c r="AU103" s="28" t="s">
        <v>24</v>
      </c>
      <c r="AV103" s="15">
        <f>VALUE(AJ103)+VALUE(AL103)+VALUE(AN103)+VALUE(AP103)+VALUE(AR103)+VALUE(AT103)</f>
        <v>17640.04274990669</v>
      </c>
      <c r="AW103" s="228">
        <f>MAX(0.3*$AJ$14^(2/3)/$AJ$16*0.26*100,0.13)</f>
        <v>0.15723814702688016</v>
      </c>
      <c r="AX103" s="6">
        <f>AW103/100*$O$12*BK103</f>
        <v>1338.0658276436779</v>
      </c>
      <c r="AY103" s="6"/>
      <c r="AZ103" s="6"/>
      <c r="BA103" s="24" t="str">
        <f>IF(BB103=0,"","+")</f>
        <v/>
      </c>
      <c r="BB103" s="24"/>
      <c r="BC103" s="28" t="s">
        <v>24</v>
      </c>
      <c r="BD103" s="15">
        <f>AX103+AZ103+BB103</f>
        <v>1338.0658276436779</v>
      </c>
      <c r="BE103" s="2">
        <f>(R103-($AX$14+$O$16+T103/2))</f>
        <v>897</v>
      </c>
      <c r="BF103" s="3">
        <f>IF(W103=0,0,(R103-($AX$14+T103/2+$O$16+$BI$16)))</f>
        <v>817</v>
      </c>
      <c r="BG103" s="3">
        <f>IF(Z103=0,0,(R103-($AX$14+T103/2+$BI$16+$O$16+$BI$17)))</f>
        <v>737</v>
      </c>
      <c r="BH103" s="3">
        <f>IF(AC103=0,0,(R103-($AX$14+T103/2+$O$16+$BI$16+$BI$17+$BI$18)))</f>
        <v>0</v>
      </c>
      <c r="BI103" s="3">
        <f>IF(AF103=0,0,(R103-($AX$14+T103/2+$O$16+$BI$16+$BI$17+$BI$18+$BL$16)))</f>
        <v>0</v>
      </c>
      <c r="BJ103" s="3">
        <f>IF(AI103=0,0,(R103-($AX$14+T103/2+$O$16+$BI$16+$BI$17+$BI$18+$BL$16+$BL$17)))</f>
        <v>0</v>
      </c>
      <c r="BK103" s="6">
        <f>(BE103*AJ103+BF103*AL103+BG103*AN103+BH103*AP103+BI103*AR103+BJ103*AT103)/AV103</f>
        <v>850.98040961709694</v>
      </c>
      <c r="BL103" s="175" t="e">
        <f>ABS(N103)*1000000/$O$12/BK103^2</f>
        <v>#N/A</v>
      </c>
      <c r="BM103" s="175" t="e">
        <f>BL103/$AJ$14</f>
        <v>#N/A</v>
      </c>
      <c r="BN103" s="21" t="e">
        <f>IF(BM103&lt;0.167,0.5+SQRT(0.25-(BM103/1.134)),0.82)</f>
        <v>#N/A</v>
      </c>
      <c r="BO103" s="15" t="e">
        <f>ABS(N103)/(0.87*$AJ$16*BN103*BK103)*10^6</f>
        <v>#N/A</v>
      </c>
      <c r="BP103" s="22">
        <v>432.73986494514236</v>
      </c>
      <c r="BQ103" s="175" t="e">
        <f>IF(Q103=0,2*ABS(P103*10^6)/$O$12/BP103/(BK103-BP103/3),Q103*BP103*1000/($O$12/2*BP103^2-(BE103-BP103)*AJ103*$AJ$18-(BF103-BP103)*AL103*$AJ$18-(BG103-BP103)*AN103*$AJ$18-(BH103-BP103)*AP103*$AJ$18-(BI103-BP103)*AR103*$AJ$18-(BJ103-BP103)*AT103*$AJ$18))</f>
        <v>#N/A</v>
      </c>
      <c r="BR103" s="3" t="e">
        <f>0.5*$O$12*BP103*BQ103 /1000</f>
        <v>#N/A</v>
      </c>
      <c r="BS103" s="3" t="e">
        <f>($BQ103/$BP103)*(BE103-$BP103)*$AJ$18*AJ103/1000</f>
        <v>#N/A</v>
      </c>
      <c r="BT103" s="3" t="e">
        <f>($BQ103/$BP103)*(BF103-$BP103)*$AJ$18*AL103/1000</f>
        <v>#N/A</v>
      </c>
      <c r="BU103" s="3" t="e">
        <f>($BQ103/$BP103)*(BG103-$BP103)*$AJ$18*AN103/1000</f>
        <v>#N/A</v>
      </c>
      <c r="BV103" s="3" t="e">
        <f>($BQ103/$BP103)*(BH103-$BP103)*$AJ$18*AP103/1000</f>
        <v>#N/A</v>
      </c>
      <c r="BW103" s="3" t="e">
        <f>($BQ103/$BP103)*(BI103-$BP103)*$AJ$18*AR103/1000</f>
        <v>#N/A</v>
      </c>
      <c r="BX103" s="3" t="e">
        <f>($BQ103/$BP103)*(BJ103-$BP103)*$AJ$18*AT103/1000</f>
        <v>#N/A</v>
      </c>
      <c r="BY103" s="175" t="e">
        <f>IF(Q103=0,0,(0.5*$O$12*BP103*BQ103/1000*(R103/2-$BP103/3)+BS103*(BE103-R103/2)+BT103*(BF103-R103/2)+BU103*(BG103-R103/2)+BV103*(BH103-R103/2)+BW103*(BI103-R103/2)+BX103*(BJ103-R103/2))/1000-ABS(P103))</f>
        <v>#N/A</v>
      </c>
      <c r="BZ103" s="10"/>
      <c r="CA103" s="176" t="e">
        <f>ABS(P103)/(BK103-BP103/3)/AV103*10^6-Q103*(R103/2-BP103/3)/(BK103-BP103/3)/AV103*1000</f>
        <v>#N/A</v>
      </c>
      <c r="CB103" s="177">
        <f>(AV103/($O$12*MIN(2.5*(R103-BK103),(R103-BP103)/3,R103/2)-AV103))</f>
        <v>0.1028893874665467</v>
      </c>
      <c r="CC103" s="177">
        <f>3.4*($O$16+$AX$14)+0.425*0.8*0.5*(T103^2+W103^2+Z103^2+AC103^2+AF103^2+AI103^2)/(T103+W103+Z103+AC103+AF103+AI103)/CB103</f>
        <v>342.05444416001137</v>
      </c>
      <c r="CD103" s="177" t="e">
        <f>MAX(0.6*CA103/$AJ$17,(CA103-0.4*0.3*$AJ$14^(2/3)/CB103*(1+$AJ$17/$AJ$15*CB103))/$AJ$17)</f>
        <v>#N/A</v>
      </c>
      <c r="CE103" s="178" t="e">
        <f>CC103*CD103/1000</f>
        <v>#N/A</v>
      </c>
      <c r="CF103" s="23" t="e">
        <f>IF(AND(AV103&gt;=BD103,AV103&gt;=BO103,CE103&lt;=(+IF(CO103="External",0.25,0.3))),"O.K", "Not O.K")</f>
        <v>#N/A</v>
      </c>
      <c r="CG103" s="28"/>
      <c r="CH103" s="179" t="e">
        <f>IF(O103&lt;0.2*$AJ$14*R103*$O$12/1000,"N &lt; 0.2fckAc - OK!","TBA")</f>
        <v>#N/A</v>
      </c>
      <c r="CI103" s="24">
        <v>91</v>
      </c>
      <c r="CJ103" s="25"/>
      <c r="CK103" s="6" t="e">
        <f t="shared" si="35"/>
        <v>#N/A</v>
      </c>
      <c r="CL103" s="8" t="s">
        <v>72</v>
      </c>
      <c r="CM103" s="6" t="e">
        <f t="shared" si="36"/>
        <v>#N/A</v>
      </c>
      <c r="CN103" s="26" t="s">
        <v>146</v>
      </c>
      <c r="CO103" s="15" t="e">
        <f>IF(VLOOKUP(CI103,'Summary-input'!A:C,3,0)="Outward",
IF(CP103&lt;0,"External","Internal"),
IF(CP103&lt;0,"Internal","External")
)</f>
        <v>#N/A</v>
      </c>
      <c r="CP103" t="e">
        <f>VLOOKUP(CI103&amp;CN103,'Summary-output-ULS'!A:G,6,0)</f>
        <v>#N/A</v>
      </c>
      <c r="CQ103" t="e">
        <f>VLOOKUP(CI103&amp;CN103,'Summary-output-ULS'!A:G,7,0)</f>
        <v>#N/A</v>
      </c>
      <c r="CR103" s="3" t="e">
        <f>VLOOKUP(CI103&amp;CN103,'Summary-output-SLS'!A:G,6,0)</f>
        <v>#N/A</v>
      </c>
      <c r="CS103" s="3" t="e">
        <f>VLOOKUP(CI103&amp;CN103,'Summary-output-SLS'!A:G,7,0)</f>
        <v>#N/A</v>
      </c>
      <c r="CT103" s="20">
        <v>1000</v>
      </c>
      <c r="CU103" s="2" t="e">
        <f>VLOOKUP(CI103&amp;CN103,'Summary-output-ULS'!A:G,5,0)</f>
        <v>#N/A</v>
      </c>
      <c r="CV103" s="15" t="e">
        <f>VLOOKUP(CI103&amp;CN103,'Summary-output-SLS'!A:G,5,0)</f>
        <v>#N/A</v>
      </c>
      <c r="CW103" s="6"/>
      <c r="CX103" s="278"/>
      <c r="CY103" s="6"/>
      <c r="CZ103" s="6"/>
      <c r="DA103" s="6"/>
      <c r="DB103" s="6"/>
      <c r="DC103" s="6"/>
      <c r="DD103" s="6"/>
      <c r="DE103" s="6"/>
      <c r="DF103" s="6"/>
      <c r="DG103" s="6"/>
      <c r="DH103" s="6"/>
      <c r="DI103" s="6"/>
      <c r="DJ103" s="212"/>
      <c r="DK103" s="13"/>
      <c r="DL103" s="13"/>
      <c r="DM103" s="202"/>
      <c r="DN103" s="206" t="e">
        <f>IF(CO103="external",T103,0)</f>
        <v>#N/A</v>
      </c>
      <c r="DO103" s="206" t="e">
        <f>IF(CO103="external",W103,0)</f>
        <v>#N/A</v>
      </c>
      <c r="DP103" s="206" t="e">
        <f>IF(CO103="external",Z103,0)</f>
        <v>#N/A</v>
      </c>
      <c r="DQ103" s="206" t="e">
        <f>IF(CO103="external",AC103,0)</f>
        <v>#N/A</v>
      </c>
      <c r="DR103" s="206" t="e">
        <f>IF(CO103="external",AF103,0)</f>
        <v>#N/A</v>
      </c>
      <c r="DS103" s="207" t="e">
        <f>IF(CO103="external",AI103,0)</f>
        <v>#N/A</v>
      </c>
      <c r="DT103" s="208"/>
      <c r="DU103" s="207" t="e">
        <f>IF(CO103="internal",T103,0)</f>
        <v>#N/A</v>
      </c>
      <c r="DV103" s="207" t="e">
        <f>IF(CO103="internal",W103,0)</f>
        <v>#N/A</v>
      </c>
      <c r="DW103" s="207" t="e">
        <f>IF(CO103="internal",Z103,0)</f>
        <v>#N/A</v>
      </c>
      <c r="DX103" s="207" t="e">
        <f>IF(CO103="internal",AC103,0)</f>
        <v>#N/A</v>
      </c>
      <c r="DY103" s="207" t="e">
        <f>IF(CO103="internal",AF103,0)</f>
        <v>#N/A</v>
      </c>
      <c r="DZ103" s="207" t="e">
        <f>IF(CO103="internal",AI103,0)</f>
        <v>#N/A</v>
      </c>
    </row>
    <row r="104" spans="1:131" s="7" customFormat="1" x14ac:dyDescent="0.3">
      <c r="B104" s="19"/>
      <c r="C104" s="6"/>
      <c r="D104" s="6"/>
      <c r="E104" s="6"/>
      <c r="F104" s="6"/>
      <c r="G104" s="232"/>
      <c r="H104" s="6"/>
      <c r="I104" s="24"/>
      <c r="J104" s="6"/>
      <c r="K104" s="6"/>
      <c r="L104" s="6"/>
      <c r="M104" s="6"/>
      <c r="N104" s="6"/>
      <c r="O104" s="6"/>
      <c r="P104" s="24"/>
      <c r="Q104" s="6"/>
      <c r="R104" s="6"/>
      <c r="S104" s="28"/>
      <c r="T104" s="12"/>
      <c r="U104" s="28"/>
      <c r="V104" s="28"/>
      <c r="W104" s="12"/>
      <c r="X104" s="28"/>
      <c r="Y104" s="28"/>
      <c r="Z104" s="12"/>
      <c r="AA104" s="28"/>
      <c r="AB104" s="28"/>
      <c r="AC104" s="158"/>
      <c r="AD104" s="28"/>
      <c r="AE104" s="28"/>
      <c r="AF104" s="158"/>
      <c r="AG104" s="28"/>
      <c r="AH104" s="28"/>
      <c r="AI104" s="12"/>
      <c r="AJ104" s="6"/>
      <c r="AK104" s="28"/>
      <c r="AL104" s="6"/>
      <c r="AM104" s="28"/>
      <c r="AN104" s="6"/>
      <c r="AO104" s="28"/>
      <c r="AP104" s="6"/>
      <c r="AQ104" s="28"/>
      <c r="AR104" s="6"/>
      <c r="AS104" s="28"/>
      <c r="AT104" s="6"/>
      <c r="AU104" s="28"/>
      <c r="AV104" s="6"/>
      <c r="AW104" s="233"/>
      <c r="AX104" s="6"/>
      <c r="AY104" s="6"/>
      <c r="AZ104" s="6"/>
      <c r="BA104" s="24"/>
      <c r="BB104" s="24"/>
      <c r="BC104" s="28"/>
      <c r="BD104" s="6"/>
      <c r="BE104" s="6"/>
      <c r="BF104" s="6"/>
      <c r="BG104" s="6"/>
      <c r="BH104" s="6"/>
      <c r="BI104" s="6"/>
      <c r="BJ104" s="6"/>
      <c r="BK104" s="6"/>
      <c r="BL104" s="231"/>
      <c r="BM104" s="231"/>
      <c r="BN104" s="231"/>
      <c r="BO104" s="6"/>
      <c r="BP104" s="234"/>
      <c r="BQ104" s="231"/>
      <c r="BR104" s="6"/>
      <c r="BS104" s="6"/>
      <c r="BT104" s="6"/>
      <c r="BU104" s="6"/>
      <c r="BV104" s="6"/>
      <c r="BW104" s="6"/>
      <c r="BX104" s="6"/>
      <c r="BY104" s="231"/>
      <c r="BZ104" s="6"/>
      <c r="CA104" s="234"/>
      <c r="CB104" s="235"/>
      <c r="CC104" s="235"/>
      <c r="CD104" s="235"/>
      <c r="CE104" s="235"/>
      <c r="CF104" s="28"/>
      <c r="CG104" s="28"/>
      <c r="CH104" s="173"/>
      <c r="CI104" s="24"/>
      <c r="CJ104" s="25"/>
      <c r="CK104" s="6" t="e">
        <f t="shared" si="35"/>
        <v>#N/A</v>
      </c>
      <c r="CL104" s="8" t="s">
        <v>72</v>
      </c>
      <c r="CM104" s="6" t="e">
        <f t="shared" si="36"/>
        <v>#N/A</v>
      </c>
      <c r="CN104" s="236"/>
      <c r="CO104" s="15" t="e">
        <f>IF(VLOOKUP(CI104,'Summary-input'!A:C,3,0)="Outward",
IF(CP104&lt;0,"External","Internal"),
IF(CP104&lt;0,"Internal","External")
)</f>
        <v>#N/A</v>
      </c>
      <c r="CP104" t="e">
        <f>VLOOKUP(CI104&amp;CN104,'Summary-output-ULS'!A:G,6,0)</f>
        <v>#N/A</v>
      </c>
      <c r="CQ104" t="e">
        <f>VLOOKUP(CI104&amp;CN104,'Summary-output-ULS'!A:G,7,0)</f>
        <v>#N/A</v>
      </c>
      <c r="CR104" s="3" t="e">
        <f>VLOOKUP(CI104&amp;CN104,'Summary-output-SLS'!A:G,6,0)</f>
        <v>#N/A</v>
      </c>
      <c r="CS104" s="3" t="e">
        <f>VLOOKUP(CI104&amp;CN104,'Summary-output-SLS'!A:G,7,0)</f>
        <v>#N/A</v>
      </c>
      <c r="CT104" s="6"/>
      <c r="CU104" s="2" t="e">
        <f>VLOOKUP(CI104&amp;CN104,'Summary-output-ULS'!A:G,5,0)</f>
        <v>#N/A</v>
      </c>
      <c r="CV104" s="15" t="e">
        <f>VLOOKUP(CI104&amp;CN104,'Summary-output-SLS'!A:G,5,0)</f>
        <v>#N/A</v>
      </c>
      <c r="CW104" s="6"/>
      <c r="CX104" s="278"/>
      <c r="CY104" s="6"/>
      <c r="CZ104" s="6"/>
      <c r="DA104" s="6"/>
      <c r="DB104" s="6"/>
      <c r="DC104" s="6"/>
      <c r="DD104" s="6"/>
      <c r="DE104" s="6"/>
      <c r="DF104" s="6"/>
      <c r="DG104" s="6"/>
      <c r="DH104" s="6"/>
      <c r="DI104" s="6"/>
      <c r="DJ104" s="212"/>
      <c r="DK104" s="13"/>
      <c r="DL104" s="13"/>
      <c r="DM104" s="202"/>
      <c r="DN104" s="206"/>
      <c r="DO104" s="206"/>
      <c r="DP104" s="206"/>
      <c r="DQ104" s="206"/>
      <c r="DR104" s="206"/>
      <c r="DS104" s="207"/>
      <c r="DT104" s="208"/>
      <c r="DU104" s="207"/>
      <c r="DV104" s="207"/>
      <c r="DW104" s="207"/>
      <c r="DX104" s="207"/>
      <c r="DY104" s="207"/>
      <c r="DZ104" s="207"/>
    </row>
    <row r="105" spans="1:131" s="7" customFormat="1" ht="13.8" x14ac:dyDescent="0.25">
      <c r="A105" s="7" t="s">
        <v>141</v>
      </c>
      <c r="B105" s="19">
        <f>+CI105</f>
        <v>94</v>
      </c>
      <c r="C105" s="6">
        <f t="shared" ref="C105:E108" si="166">CJ105</f>
        <v>0</v>
      </c>
      <c r="D105" s="6" t="e">
        <f t="shared" si="166"/>
        <v>#N/A</v>
      </c>
      <c r="E105" s="6" t="str">
        <f t="shared" si="166"/>
        <v>--</v>
      </c>
      <c r="F105" s="6" t="e">
        <f>+CM105</f>
        <v>#N/A</v>
      </c>
      <c r="G105" s="174" t="str">
        <f t="shared" ref="G105:H108" si="167">CN105</f>
        <v>Max Mz</v>
      </c>
      <c r="H105" s="6" t="e">
        <f t="shared" si="167"/>
        <v>#N/A</v>
      </c>
      <c r="I105" s="156"/>
      <c r="J105" s="10" t="e">
        <f t="shared" ref="J105:M108" si="168">(CP105)</f>
        <v>#N/A</v>
      </c>
      <c r="K105" s="10" t="e">
        <f t="shared" si="168"/>
        <v>#N/A</v>
      </c>
      <c r="L105" s="10" t="e">
        <f t="shared" si="168"/>
        <v>#N/A</v>
      </c>
      <c r="M105" s="10" t="e">
        <f t="shared" si="168"/>
        <v>#N/A</v>
      </c>
      <c r="N105" s="10" t="e">
        <f>IF(I105*J105&gt;=0,J105*$J$19+I105*$J$18,J105)</f>
        <v>#N/A</v>
      </c>
      <c r="O105" s="10" t="e">
        <f>(K105)*$J$19</f>
        <v>#N/A</v>
      </c>
      <c r="P105" s="14" t="e">
        <f>IF(I105*L105&gt;=0,(L105)+I105,L105)</f>
        <v>#N/A</v>
      </c>
      <c r="Q105" s="3" t="e">
        <f>(M105)</f>
        <v>#N/A</v>
      </c>
      <c r="R105" s="20">
        <f t="shared" si="134"/>
        <v>1000</v>
      </c>
      <c r="S105" s="23"/>
      <c r="T105" s="12">
        <v>40</v>
      </c>
      <c r="U105" s="28"/>
      <c r="V105" s="28"/>
      <c r="W105" s="12">
        <v>40</v>
      </c>
      <c r="X105" s="28"/>
      <c r="Y105" s="28"/>
      <c r="Z105" s="12">
        <v>40</v>
      </c>
      <c r="AA105" s="28"/>
      <c r="AB105" s="28"/>
      <c r="AC105" s="158"/>
      <c r="AD105" s="28"/>
      <c r="AE105" s="28"/>
      <c r="AF105" s="158"/>
      <c r="AG105" s="28"/>
      <c r="AH105" s="28"/>
      <c r="AI105" s="29"/>
      <c r="AJ105" s="6">
        <f>PI()/4*T105^2*$O$12/$AX$16</f>
        <v>8377.5804095727817</v>
      </c>
      <c r="AK105" s="28" t="str">
        <f>IF(W105=0,"","+")</f>
        <v>+</v>
      </c>
      <c r="AL105" s="6">
        <f>PI()/4*W105^2*$O$12/$AX$16</f>
        <v>8377.5804095727817</v>
      </c>
      <c r="AM105" s="28" t="str">
        <f>IF(Z105=0,"","+")</f>
        <v>+</v>
      </c>
      <c r="AN105" s="6">
        <f>PI()/4*Z105^2*$O$12/$AX$16</f>
        <v>8377.5804095727817</v>
      </c>
      <c r="AO105" s="28" t="str">
        <f>IF(AC105=0,"","+")</f>
        <v/>
      </c>
      <c r="AP105" s="6">
        <f>PI()/4*AC105^2*$O$12/$AX$16</f>
        <v>0</v>
      </c>
      <c r="AQ105" s="28" t="str">
        <f>IF(AF105=0,"","+")</f>
        <v/>
      </c>
      <c r="AR105" s="6">
        <f>PI()/4*AF105^2*$O$12/$AX$16</f>
        <v>0</v>
      </c>
      <c r="AS105" s="28" t="str">
        <f>IF(AI105=0,"","+")</f>
        <v/>
      </c>
      <c r="AT105" s="6">
        <f>PI()/4*AI105^2*$O$12/$AX$16</f>
        <v>0</v>
      </c>
      <c r="AU105" s="28" t="s">
        <v>24</v>
      </c>
      <c r="AV105" s="15">
        <f>VALUE(AJ105)+VALUE(AL105)+VALUE(AN105)+VALUE(AP105)+VALUE(AR105)+VALUE(AT105)</f>
        <v>25132.741228718347</v>
      </c>
      <c r="AW105" s="228">
        <f>MAX(0.3*$AJ$14^(2/3)/$AJ$16*0.26*100,0.13)</f>
        <v>0.15723814702688016</v>
      </c>
      <c r="AX105" s="6">
        <f>AW105/100*$O$12*BK105</f>
        <v>1284.6356612096108</v>
      </c>
      <c r="AY105" s="6"/>
      <c r="AZ105" s="6"/>
      <c r="BA105" s="24" t="str">
        <f>IF(BB105=0,"","+")</f>
        <v/>
      </c>
      <c r="BB105" s="24"/>
      <c r="BC105" s="28" t="s">
        <v>24</v>
      </c>
      <c r="BD105" s="15">
        <f>AX105+AZ105+BB105</f>
        <v>1284.6356612096108</v>
      </c>
      <c r="BE105" s="2">
        <f>(R105-($AX$14+$O$16+T105/2))</f>
        <v>897</v>
      </c>
      <c r="BF105" s="3">
        <f>IF(W105=0,0,(R105-($AX$14+T105/2+$O$16+$BI$16)))</f>
        <v>817</v>
      </c>
      <c r="BG105" s="3">
        <f>IF(Z105=0,0,(R105-($AX$14+T105/2+$BI$16+$O$16+$BI$17)))</f>
        <v>737</v>
      </c>
      <c r="BH105" s="3">
        <f>IF(AC105=0,0,(R105-($AX$14+T105/2+$O$16+$BI$16+$BI$17+$BI$18)))</f>
        <v>0</v>
      </c>
      <c r="BI105" s="3">
        <f>IF(AF105=0,0,(R105-($AX$14+T105/2+$O$16+$BI$16+$BI$17+$BI$18+$BL$16)))</f>
        <v>0</v>
      </c>
      <c r="BJ105" s="3">
        <f>IF(AI105=0,0,(R105-($AX$14+T105/2+$O$16+$BI$16+$BI$17+$BI$18+$BL$16+$BL$17)))</f>
        <v>0</v>
      </c>
      <c r="BK105" s="6">
        <f>(BE105*AJ105+BF105*AL105+BG105*AN105+BH105*AP105+BI105*AR105+BJ105*AT105)/AV105</f>
        <v>816.99999999999989</v>
      </c>
      <c r="BL105" s="175" t="e">
        <f>ABS(N105)*1000000/$O$12/BK105^2</f>
        <v>#N/A</v>
      </c>
      <c r="BM105" s="175" t="e">
        <f>BL105/$AJ$14</f>
        <v>#N/A</v>
      </c>
      <c r="BN105" s="21" t="e">
        <f>IF(BM105&lt;0.167,0.5+SQRT(0.25-(BM105/1.134)),0.82)</f>
        <v>#N/A</v>
      </c>
      <c r="BO105" s="15" t="e">
        <f>ABS(N105)/(0.87*$AJ$16*BN105*BK105)*10^6</f>
        <v>#N/A</v>
      </c>
      <c r="BP105" s="22">
        <v>-1061.1019228191744</v>
      </c>
      <c r="BQ105" s="175" t="e">
        <f>IF(Q105=0,2*ABS(P105*10^6)/$O$12/BP105/(BK105-BP105/3),Q105*BP105*1000/($O$12/2*BP105^2-(BE105-BP105)*AJ105*$AJ$18-(BF105-BP105)*AL105*$AJ$18-(BG105-BP105)*AN105*$AJ$18-(BH105-BP105)*AP105*$AJ$18-(BI105-BP105)*AR105*$AJ$18-(BJ105-BP105)*AT105*$AJ$18))</f>
        <v>#N/A</v>
      </c>
      <c r="BR105" s="3" t="e">
        <f>0.5*$O$12*BP105*BQ105 /1000</f>
        <v>#N/A</v>
      </c>
      <c r="BS105" s="3" t="e">
        <f>($BQ105/$BP105)*(BE105-$BP105)*$AJ$18*AJ105/1000</f>
        <v>#N/A</v>
      </c>
      <c r="BT105" s="3" t="e">
        <f>($BQ105/$BP105)*(BF105-$BP105)*$AJ$18*AL105/1000</f>
        <v>#N/A</v>
      </c>
      <c r="BU105" s="3" t="e">
        <f>($BQ105/$BP105)*(BG105-$BP105)*$AJ$18*AN105/1000</f>
        <v>#N/A</v>
      </c>
      <c r="BV105" s="3" t="e">
        <f>($BQ105/$BP105)*(BH105-$BP105)*$AJ$18*AP105/1000</f>
        <v>#N/A</v>
      </c>
      <c r="BW105" s="3" t="e">
        <f>($BQ105/$BP105)*(BI105-$BP105)*$AJ$18*AR105/1000</f>
        <v>#N/A</v>
      </c>
      <c r="BX105" s="3" t="e">
        <f>($BQ105/$BP105)*(BJ105-$BP105)*$AJ$18*AT105/1000</f>
        <v>#N/A</v>
      </c>
      <c r="BY105" s="175" t="e">
        <f>IF(Q105=0,0,(0.5*$O$12*BP105*BQ105/1000*(R105/2-$BP105/3)+BS105*(BE105-R105/2)+BT105*(BF105-R105/2)+BU105*(BG105-R105/2)+BV105*(BH105-R105/2)+BW105*(BI105-R105/2)+BX105*(BJ105-R105/2))/1000-ABS(P105))</f>
        <v>#N/A</v>
      </c>
      <c r="BZ105" s="10"/>
      <c r="CA105" s="176" t="e">
        <f>ABS(P105)/(BK105-BP105/3)/AV105*10^6-Q105*(R105/2-BP105/3)/(BK105-BP105/3)/AV105*1000</f>
        <v>#N/A</v>
      </c>
      <c r="CB105" s="177">
        <f>(AV105/($O$12*MIN(2.5*(R105-BK105),(R105-BP105)/3,R105/2)-AV105))</f>
        <v>5.8128224834002346E-2</v>
      </c>
      <c r="CC105" s="177">
        <f>3.4*($O$16+$AX$14)+0.425*0.8*0.5*(T105^2+W105^2+Z105^2+AC105^2+AF105^2+AI105^2)/(T105+W105+Z105+AC105+AF105+AI105)/CB105</f>
        <v>399.18275698972167</v>
      </c>
      <c r="CD105" s="177" t="e">
        <f>MAX(0.6*CA105/$AJ$17,(CA105-0.4*0.3*$AJ$14^(2/3)/CB105*(1+$AJ$17/$AJ$15*CB105))/$AJ$17)</f>
        <v>#N/A</v>
      </c>
      <c r="CE105" s="178" t="e">
        <f>CC105*CD105/1000</f>
        <v>#N/A</v>
      </c>
      <c r="CF105" s="23" t="e">
        <f>IF(AND(AV105&gt;=BD105,AV105&gt;=BO105,CE105&lt;=(+IF(CO105="External",0.25,0.3))),"O.K", "Not O.K")</f>
        <v>#N/A</v>
      </c>
      <c r="CG105" s="28"/>
      <c r="CH105" s="179" t="e">
        <f>IF(O105&lt;0.2*$AJ$14*R105*$O$12/1000,"N &lt; 0.2fckAc - OK!","TBA")</f>
        <v>#N/A</v>
      </c>
      <c r="CI105" s="24">
        <v>94</v>
      </c>
      <c r="CJ105" s="25"/>
      <c r="CK105" s="6" t="e">
        <f t="shared" si="35"/>
        <v>#N/A</v>
      </c>
      <c r="CL105" s="8" t="s">
        <v>72</v>
      </c>
      <c r="CM105" s="6" t="e">
        <f t="shared" si="36"/>
        <v>#N/A</v>
      </c>
      <c r="CN105" s="26" t="s">
        <v>147</v>
      </c>
      <c r="CO105" s="15" t="e">
        <f>IF(VLOOKUP(CI105,'Summary-input'!A:C,3,0)="Outward",
IF(CP105&lt;0,"External","Internal"),
IF(CP105&lt;0,"Internal","External")
)</f>
        <v>#N/A</v>
      </c>
      <c r="CP105" t="e">
        <f>VLOOKUP(CI105&amp;CN105,'Summary-output-ULS'!A:G,6,0)</f>
        <v>#N/A</v>
      </c>
      <c r="CQ105" t="e">
        <f>VLOOKUP(CI105&amp;CN105,'Summary-output-ULS'!A:G,7,0)</f>
        <v>#N/A</v>
      </c>
      <c r="CR105" s="3" t="e">
        <f>VLOOKUP(CI105&amp;CN105,'Summary-output-SLS'!A:G,6,0)</f>
        <v>#N/A</v>
      </c>
      <c r="CS105" s="3" t="e">
        <f>VLOOKUP(CI105&amp;CN105,'Summary-output-SLS'!A:G,7,0)</f>
        <v>#N/A</v>
      </c>
      <c r="CT105" s="20">
        <v>1000</v>
      </c>
      <c r="CU105" s="2" t="e">
        <f>VLOOKUP(CI105&amp;CN105,'Summary-output-ULS'!A:G,5,0)</f>
        <v>#N/A</v>
      </c>
      <c r="CV105" s="15" t="e">
        <f>VLOOKUP(CI105&amp;CN105,'Summary-output-SLS'!A:G,5,0)</f>
        <v>#N/A</v>
      </c>
      <c r="CW105" s="6"/>
      <c r="CX105" s="278">
        <f>CI105</f>
        <v>94</v>
      </c>
      <c r="CY105" s="6" t="e">
        <f t="shared" ref="CY105:DD105" si="169">MAX(DN105:DN108)</f>
        <v>#N/A</v>
      </c>
      <c r="CZ105" s="6" t="e">
        <f t="shared" si="169"/>
        <v>#N/A</v>
      </c>
      <c r="DA105" s="6" t="e">
        <f t="shared" si="169"/>
        <v>#N/A</v>
      </c>
      <c r="DB105" s="6" t="e">
        <f t="shared" si="169"/>
        <v>#N/A</v>
      </c>
      <c r="DC105" s="6" t="e">
        <f t="shared" si="169"/>
        <v>#N/A</v>
      </c>
      <c r="DD105" s="6" t="e">
        <f t="shared" si="169"/>
        <v>#N/A</v>
      </c>
      <c r="DE105" s="6"/>
      <c r="DF105" s="6" t="e">
        <f t="shared" ref="DF105:DK105" si="170">MAX(DU105:DU108)</f>
        <v>#N/A</v>
      </c>
      <c r="DG105" s="6" t="e">
        <f t="shared" si="170"/>
        <v>#N/A</v>
      </c>
      <c r="DH105" s="6" t="e">
        <f t="shared" si="170"/>
        <v>#N/A</v>
      </c>
      <c r="DI105" s="6" t="e">
        <f t="shared" si="170"/>
        <v>#N/A</v>
      </c>
      <c r="DJ105" s="6" t="e">
        <f t="shared" si="170"/>
        <v>#N/A</v>
      </c>
      <c r="DK105" s="6" t="e">
        <f t="shared" si="170"/>
        <v>#N/A</v>
      </c>
      <c r="DL105" s="13"/>
      <c r="DM105" s="202">
        <f>CI105</f>
        <v>94</v>
      </c>
      <c r="DN105" s="206" t="e">
        <f>IF(CO105="external",T105,0)</f>
        <v>#N/A</v>
      </c>
      <c r="DO105" s="206" t="e">
        <f>IF(CO105="external",W105,0)</f>
        <v>#N/A</v>
      </c>
      <c r="DP105" s="206" t="e">
        <f>IF(CO105="external",Z105,0)</f>
        <v>#N/A</v>
      </c>
      <c r="DQ105" s="206" t="e">
        <f>IF(CO105="external",AC105,0)</f>
        <v>#N/A</v>
      </c>
      <c r="DR105" s="206" t="e">
        <f>IF(CO105="external",AF105,0)</f>
        <v>#N/A</v>
      </c>
      <c r="DS105" s="207" t="e">
        <f>IF(CO105="external",AI105,0)</f>
        <v>#N/A</v>
      </c>
      <c r="DT105" s="208"/>
      <c r="DU105" s="207" t="e">
        <f>IF(CO105="internal",T105,0)</f>
        <v>#N/A</v>
      </c>
      <c r="DV105" s="207" t="e">
        <f>IF(CO105="internal",W105,0)</f>
        <v>#N/A</v>
      </c>
      <c r="DW105" s="207" t="e">
        <f>IF(CO105="internal",Z105,0)</f>
        <v>#N/A</v>
      </c>
      <c r="DX105" s="207" t="e">
        <f>IF(CO105="internal",AC105,0)</f>
        <v>#N/A</v>
      </c>
      <c r="DY105" s="207" t="e">
        <f>IF(CO105="internal",AF105,0)</f>
        <v>#N/A</v>
      </c>
      <c r="DZ105" s="207" t="e">
        <f>IF(CO105="internal",AI105,0)</f>
        <v>#N/A</v>
      </c>
    </row>
    <row r="106" spans="1:131" s="7" customFormat="1" x14ac:dyDescent="0.3">
      <c r="B106" s="19">
        <f>+CI106</f>
        <v>94</v>
      </c>
      <c r="C106" s="6">
        <f t="shared" si="166"/>
        <v>0</v>
      </c>
      <c r="D106" s="6" t="e">
        <f t="shared" si="166"/>
        <v>#N/A</v>
      </c>
      <c r="E106" s="6" t="str">
        <f t="shared" si="166"/>
        <v>--</v>
      </c>
      <c r="F106" s="6" t="e">
        <f>+CM106</f>
        <v>#N/A</v>
      </c>
      <c r="G106" s="174" t="str">
        <f t="shared" si="167"/>
        <v>Min Mz</v>
      </c>
      <c r="H106" s="6" t="e">
        <f t="shared" si="167"/>
        <v>#N/A</v>
      </c>
      <c r="I106" s="156"/>
      <c r="J106" s="10" t="e">
        <f t="shared" si="168"/>
        <v>#N/A</v>
      </c>
      <c r="K106" s="10" t="e">
        <f t="shared" si="168"/>
        <v>#N/A</v>
      </c>
      <c r="L106" s="10" t="e">
        <f t="shared" si="168"/>
        <v>#N/A</v>
      </c>
      <c r="M106" s="10" t="e">
        <f t="shared" si="168"/>
        <v>#N/A</v>
      </c>
      <c r="N106" s="10" t="e">
        <f>IF(I106*J106&gt;=0,J106*$J$19+I106*$J$18,J106)</f>
        <v>#N/A</v>
      </c>
      <c r="O106" s="10" t="e">
        <f>(K106)*$J$19</f>
        <v>#N/A</v>
      </c>
      <c r="P106" s="14" t="e">
        <f>IF(I106*L106&gt;=0,(L106)+I106,L106)</f>
        <v>#N/A</v>
      </c>
      <c r="Q106" s="3" t="e">
        <f>(M106)</f>
        <v>#N/A</v>
      </c>
      <c r="R106" s="20">
        <f t="shared" si="134"/>
        <v>1000</v>
      </c>
      <c r="S106" s="23"/>
      <c r="T106" s="12">
        <v>20</v>
      </c>
      <c r="U106" s="28"/>
      <c r="V106" s="28"/>
      <c r="W106" s="12"/>
      <c r="X106" s="28"/>
      <c r="Y106" s="28"/>
      <c r="Z106" s="12"/>
      <c r="AA106" s="28"/>
      <c r="AB106" s="28"/>
      <c r="AC106" s="158"/>
      <c r="AD106" s="28"/>
      <c r="AE106" s="28"/>
      <c r="AF106" s="158"/>
      <c r="AG106" s="28"/>
      <c r="AH106" s="28"/>
      <c r="AI106" s="29"/>
      <c r="AJ106" s="6">
        <f>PI()/4*T106^2*$O$12/$AX$16</f>
        <v>2094.3951023931954</v>
      </c>
      <c r="AK106" s="28" t="str">
        <f>IF(W106=0,"","+")</f>
        <v/>
      </c>
      <c r="AL106" s="6">
        <f>PI()/4*W106^2*$O$12/$AX$16</f>
        <v>0</v>
      </c>
      <c r="AM106" s="28" t="str">
        <f>IF(Z106=0,"","+")</f>
        <v/>
      </c>
      <c r="AN106" s="6">
        <f>PI()/4*Z106^2*$O$12/$AX$16</f>
        <v>0</v>
      </c>
      <c r="AO106" s="28" t="str">
        <f>IF(AC106=0,"","+")</f>
        <v/>
      </c>
      <c r="AP106" s="6">
        <f>PI()/4*AC106^2*$O$12/$AX$16</f>
        <v>0</v>
      </c>
      <c r="AQ106" s="28" t="str">
        <f>IF(AF106=0,"","+")</f>
        <v/>
      </c>
      <c r="AR106" s="6">
        <f>PI()/4*AF106^2*$O$12/$AX$16</f>
        <v>0</v>
      </c>
      <c r="AS106" s="28" t="str">
        <f>IF(AI106=0,"","+")</f>
        <v/>
      </c>
      <c r="AT106" s="6">
        <f>PI()/4*AI106^2*$O$12/$AX$16</f>
        <v>0</v>
      </c>
      <c r="AU106" s="28" t="s">
        <v>24</v>
      </c>
      <c r="AV106" s="15">
        <f>VALUE(AJ106)+VALUE(AL106)+VALUE(AN106)+VALUE(AP106)+VALUE(AR106)+VALUE(AT106)</f>
        <v>2094.3951023931954</v>
      </c>
      <c r="AW106" s="228">
        <f>MAX(0.3*$AJ$14^(2/3)/$AJ$16*0.26*100,0.13)</f>
        <v>0.15723814702688016</v>
      </c>
      <c r="AX106" s="6">
        <f>AW106/100*$O$12*BK106</f>
        <v>1426.1499935338031</v>
      </c>
      <c r="AY106" s="6"/>
      <c r="AZ106" s="6"/>
      <c r="BA106" s="24" t="str">
        <f>IF(BB106=0,"","+")</f>
        <v/>
      </c>
      <c r="BB106" s="24"/>
      <c r="BC106" s="28" t="s">
        <v>24</v>
      </c>
      <c r="BD106" s="15">
        <f>AX106+AZ106+BB106</f>
        <v>1426.1499935338031</v>
      </c>
      <c r="BE106" s="2">
        <f>(R106-($AX$14+$O$16+T106/2))</f>
        <v>907</v>
      </c>
      <c r="BF106" s="3">
        <f>IF(W106=0,0,(R106-($AX$14+T106/2+$O$16+$BI$16)))</f>
        <v>0</v>
      </c>
      <c r="BG106" s="3">
        <f>IF(Z106=0,0,(R106-($AX$14+T106/2+$BI$16+$O$16+$BI$17)))</f>
        <v>0</v>
      </c>
      <c r="BH106" s="3">
        <f>IF(AC106=0,0,(R106-($AX$14+T106/2+$O$16+$BI$16+$BI$17+$BI$18)))</f>
        <v>0</v>
      </c>
      <c r="BI106" s="3">
        <f>IF(AF106=0,0,(R106-($AX$14+T106/2+$O$16+$BI$16+$BI$17+$BI$18+$BL$16)))</f>
        <v>0</v>
      </c>
      <c r="BJ106" s="3">
        <f>IF(AI106=0,0,(R106-($AX$14+T106/2+$O$16+$BI$16+$BI$17+$BI$18+$BL$16+$BL$17)))</f>
        <v>0</v>
      </c>
      <c r="BK106" s="6">
        <f>(BE106*AJ106+BF106*AL106+BG106*AN106+BH106*AP106+BI106*AR106+BJ106*AT106)/AV106</f>
        <v>907</v>
      </c>
      <c r="BL106" s="175" t="e">
        <f>ABS(N106)*1000000/$O$12/BK106^2</f>
        <v>#N/A</v>
      </c>
      <c r="BM106" s="175" t="e">
        <f>BL106/$AJ$14</f>
        <v>#N/A</v>
      </c>
      <c r="BN106" s="21" t="e">
        <f>IF(BM106&lt;0.167,0.5+SQRT(0.25-(BM106/1.134)),0.82)</f>
        <v>#N/A</v>
      </c>
      <c r="BO106" s="15" t="e">
        <f>ABS(N106)/(0.87*$AJ$16*BN106*BK106)*10^6</f>
        <v>#N/A</v>
      </c>
      <c r="BP106" s="22">
        <v>2244.0999255200081</v>
      </c>
      <c r="BQ106" s="175" t="e">
        <f>IF(Q106=0,2*ABS(P106*10^6)/$O$12/BP106/(BK106-BP106/3),Q106*BP106*1000/($O$12/2*BP106^2-(BE106-BP106)*AJ106*$AJ$18-(BF106-BP106)*AL106*$AJ$18-(BG106-BP106)*AN106*$AJ$18-(BH106-BP106)*AP106*$AJ$18-(BI106-BP106)*AR106*$AJ$18-(BJ106-BP106)*AT106*$AJ$18))</f>
        <v>#N/A</v>
      </c>
      <c r="BR106" s="3" t="e">
        <f>0.5*$O$12*BP106*BQ106 /1000</f>
        <v>#N/A</v>
      </c>
      <c r="BS106" s="3" t="e">
        <f>($BQ106/$BP106)*(BE106-$BP106)*$AJ$18*AJ106/1000</f>
        <v>#N/A</v>
      </c>
      <c r="BT106" s="3" t="e">
        <f>($BQ106/$BP106)*(BF106-$BP106)*$AJ$18*AL106/1000</f>
        <v>#N/A</v>
      </c>
      <c r="BU106" s="3" t="e">
        <f>($BQ106/$BP106)*(BG106-$BP106)*$AJ$18*AN106/1000</f>
        <v>#N/A</v>
      </c>
      <c r="BV106" s="3" t="e">
        <f>($BQ106/$BP106)*(BH106-$BP106)*$AJ$18*AP106/1000</f>
        <v>#N/A</v>
      </c>
      <c r="BW106" s="3" t="e">
        <f>($BQ106/$BP106)*(BI106-$BP106)*$AJ$18*AR106/1000</f>
        <v>#N/A</v>
      </c>
      <c r="BX106" s="3" t="e">
        <f>($BQ106/$BP106)*(BJ106-$BP106)*$AJ$18*AT106/1000</f>
        <v>#N/A</v>
      </c>
      <c r="BY106" s="175" t="e">
        <f>IF(Q106=0,0,(0.5*$O$12*BP106*BQ106/1000*(R106/2-$BP106/3)+BS106*(BE106-R106/2)+BT106*(BF106-R106/2)+BU106*(BG106-R106/2)+BV106*(BH106-R106/2)+BW106*(BI106-R106/2)+BX106*(BJ106-R106/2))/1000-ABS(P106))</f>
        <v>#N/A</v>
      </c>
      <c r="BZ106" s="10"/>
      <c r="CA106" s="176" t="e">
        <f>ABS(P106)/(BK106-BP106/3)/AV106*10^6-Q106*(R106/2-BP106/3)/(BK106-BP106/3)/AV106*1000</f>
        <v>#N/A</v>
      </c>
      <c r="CB106" s="177">
        <f>(AV106/($O$12*MIN(2.5*(R106-BK106),(R106-BP106)/3,R106/2)-AV106))</f>
        <v>-5.0250081377242548E-3</v>
      </c>
      <c r="CC106" s="177">
        <f>3.4*($O$16+$AX$14)+0.425*0.8*0.5*(T106^2+W106^2+Z106^2+AC106^2+AF106^2+AI106^2)/(T106+W106+Z106+AC106+AF106+AI106)/CB106</f>
        <v>-394.41581967901158</v>
      </c>
      <c r="CD106" s="177" t="e">
        <f>MAX(0.6*CA106/$AJ$17,(CA106-0.4*0.3*$AJ$14^(2/3)/CB106*(1+$AJ$17/$AJ$15*CB106))/$AJ$17)</f>
        <v>#N/A</v>
      </c>
      <c r="CE106" s="178" t="e">
        <f>CC106*CD106/1000</f>
        <v>#N/A</v>
      </c>
      <c r="CF106" s="23" t="e">
        <f>IF(AND(AV106&gt;=BD106,AV106&gt;=BO106,CE106&lt;=(+IF(CO106="External",0.25,0.3))),"O.K", "Not O.K")</f>
        <v>#N/A</v>
      </c>
      <c r="CG106" s="28"/>
      <c r="CH106" s="179" t="e">
        <f>IF(O106&lt;0.2*$AJ$14*R106*$O$12/1000,"N &lt; 0.2fckAc - OK!","TBA")</f>
        <v>#N/A</v>
      </c>
      <c r="CI106" s="24">
        <v>94</v>
      </c>
      <c r="CJ106" s="25"/>
      <c r="CK106" s="6" t="e">
        <f t="shared" si="35"/>
        <v>#N/A</v>
      </c>
      <c r="CL106" s="8" t="s">
        <v>72</v>
      </c>
      <c r="CM106" s="6" t="e">
        <f t="shared" si="36"/>
        <v>#N/A</v>
      </c>
      <c r="CN106" s="26" t="s">
        <v>148</v>
      </c>
      <c r="CO106" s="15" t="e">
        <f>IF(VLOOKUP(CI106,'Summary-input'!A:C,3,0)="Outward",
IF(CP106&lt;0,"External","Internal"),
IF(CP106&lt;0,"Internal","External")
)</f>
        <v>#N/A</v>
      </c>
      <c r="CP106" t="e">
        <f>VLOOKUP(CI106&amp;CN106,'Summary-output-ULS'!A:G,6,0)</f>
        <v>#N/A</v>
      </c>
      <c r="CQ106" t="e">
        <f>VLOOKUP(CI106&amp;CN106,'Summary-output-ULS'!A:G,7,0)</f>
        <v>#N/A</v>
      </c>
      <c r="CR106" s="3" t="e">
        <f>VLOOKUP(CI106&amp;CN106,'Summary-output-SLS'!A:G,6,0)</f>
        <v>#N/A</v>
      </c>
      <c r="CS106" s="3" t="e">
        <f>VLOOKUP(CI106&amp;CN106,'Summary-output-SLS'!A:G,7,0)</f>
        <v>#N/A</v>
      </c>
      <c r="CT106" s="20">
        <v>1000</v>
      </c>
      <c r="CU106" s="2" t="e">
        <f>VLOOKUP(CI106&amp;CN106,'Summary-output-ULS'!A:G,5,0)</f>
        <v>#N/A</v>
      </c>
      <c r="CV106" s="15" t="e">
        <f>VLOOKUP(CI106&amp;CN106,'Summary-output-SLS'!A:G,5,0)</f>
        <v>#N/A</v>
      </c>
      <c r="CW106" s="6"/>
      <c r="CX106" s="278"/>
      <c r="CY106" s="6"/>
      <c r="CZ106" s="6"/>
      <c r="DA106" s="6"/>
      <c r="DB106" s="6"/>
      <c r="DC106" s="6"/>
      <c r="DD106" s="6"/>
      <c r="DE106" s="6"/>
      <c r="DF106" s="6"/>
      <c r="DG106" s="6"/>
      <c r="DH106" s="6"/>
      <c r="DI106" s="6"/>
      <c r="DJ106" s="212"/>
      <c r="DK106" s="13"/>
      <c r="DL106" s="13"/>
      <c r="DM106" s="202"/>
      <c r="DN106" s="206" t="e">
        <f>IF(CO106="external",T106,0)</f>
        <v>#N/A</v>
      </c>
      <c r="DO106" s="206" t="e">
        <f>IF(CO106="external",W106,0)</f>
        <v>#N/A</v>
      </c>
      <c r="DP106" s="206" t="e">
        <f>IF(CO106="external",Z106,0)</f>
        <v>#N/A</v>
      </c>
      <c r="DQ106" s="206" t="e">
        <f>IF(CO106="external",AC106,0)</f>
        <v>#N/A</v>
      </c>
      <c r="DR106" s="206" t="e">
        <f>IF(CO106="external",AF106,0)</f>
        <v>#N/A</v>
      </c>
      <c r="DS106" s="207" t="e">
        <f>IF(CO106="external",AI106,0)</f>
        <v>#N/A</v>
      </c>
      <c r="DT106" s="208"/>
      <c r="DU106" s="207" t="e">
        <f>IF(CO106="internal",T106,0)</f>
        <v>#N/A</v>
      </c>
      <c r="DV106" s="207" t="e">
        <f>IF(CO106="internal",W106,0)</f>
        <v>#N/A</v>
      </c>
      <c r="DW106" s="207" t="e">
        <f>IF(CO106="internal",Z106,0)</f>
        <v>#N/A</v>
      </c>
      <c r="DX106" s="207" t="e">
        <f>IF(CO106="internal",AC106,0)</f>
        <v>#N/A</v>
      </c>
      <c r="DY106" s="207" t="e">
        <f>IF(CO106="internal",AF106,0)</f>
        <v>#N/A</v>
      </c>
      <c r="DZ106" s="207" t="e">
        <f>IF(CO106="internal",AI106,0)</f>
        <v>#N/A</v>
      </c>
    </row>
    <row r="107" spans="1:131" s="7" customFormat="1" x14ac:dyDescent="0.3">
      <c r="B107" s="19">
        <f>+CI107</f>
        <v>94</v>
      </c>
      <c r="C107" s="6">
        <f t="shared" si="166"/>
        <v>0</v>
      </c>
      <c r="D107" s="6" t="e">
        <f t="shared" si="166"/>
        <v>#N/A</v>
      </c>
      <c r="E107" s="6" t="str">
        <f t="shared" si="166"/>
        <v>--</v>
      </c>
      <c r="F107" s="6" t="e">
        <f>+CM107</f>
        <v>#N/A</v>
      </c>
      <c r="G107" s="174" t="str">
        <f t="shared" si="167"/>
        <v>Max Fx</v>
      </c>
      <c r="H107" s="6" t="e">
        <f t="shared" si="167"/>
        <v>#N/A</v>
      </c>
      <c r="I107" s="156"/>
      <c r="J107" s="10" t="e">
        <f t="shared" si="168"/>
        <v>#N/A</v>
      </c>
      <c r="K107" s="10" t="e">
        <f t="shared" si="168"/>
        <v>#N/A</v>
      </c>
      <c r="L107" s="10" t="e">
        <f t="shared" si="168"/>
        <v>#N/A</v>
      </c>
      <c r="M107" s="10" t="e">
        <f t="shared" si="168"/>
        <v>#N/A</v>
      </c>
      <c r="N107" s="10" t="e">
        <f>IF(I107*J107&gt;=0,J107*$J$19+I107*$J$18,J107)</f>
        <v>#N/A</v>
      </c>
      <c r="O107" s="10" t="e">
        <f>(K107)*$J$19</f>
        <v>#N/A</v>
      </c>
      <c r="P107" s="14" t="e">
        <f>IF(I107*L107&gt;=0,(L107)+I107,L107)</f>
        <v>#N/A</v>
      </c>
      <c r="Q107" s="3" t="e">
        <f>(M107)</f>
        <v>#N/A</v>
      </c>
      <c r="R107" s="20">
        <f t="shared" si="134"/>
        <v>1000</v>
      </c>
      <c r="S107" s="23"/>
      <c r="T107" s="12">
        <v>25</v>
      </c>
      <c r="U107" s="28"/>
      <c r="V107" s="28"/>
      <c r="W107" s="12"/>
      <c r="X107" s="28"/>
      <c r="Y107" s="28"/>
      <c r="Z107" s="12"/>
      <c r="AA107" s="28"/>
      <c r="AB107" s="28"/>
      <c r="AC107" s="158"/>
      <c r="AD107" s="28"/>
      <c r="AE107" s="28"/>
      <c r="AF107" s="158"/>
      <c r="AG107" s="28"/>
      <c r="AH107" s="28"/>
      <c r="AI107" s="29"/>
      <c r="AJ107" s="6">
        <f>PI()/4*T107^2*$O$12/$AX$16</f>
        <v>3272.4923474893681</v>
      </c>
      <c r="AK107" s="28" t="str">
        <f>IF(W107=0,"","+")</f>
        <v/>
      </c>
      <c r="AL107" s="6">
        <f>PI()/4*W107^2*$O$12/$AX$16</f>
        <v>0</v>
      </c>
      <c r="AM107" s="28" t="str">
        <f>IF(Z107=0,"","+")</f>
        <v/>
      </c>
      <c r="AN107" s="6">
        <f>PI()/4*Z107^2*$O$12/$AX$16</f>
        <v>0</v>
      </c>
      <c r="AO107" s="28" t="str">
        <f>IF(AC107=0,"","+")</f>
        <v/>
      </c>
      <c r="AP107" s="6">
        <f>PI()/4*AC107^2*$O$12/$AX$16</f>
        <v>0</v>
      </c>
      <c r="AQ107" s="28" t="str">
        <f>IF(AF107=0,"","+")</f>
        <v/>
      </c>
      <c r="AR107" s="6">
        <f>PI()/4*AF107^2*$O$12/$AX$16</f>
        <v>0</v>
      </c>
      <c r="AS107" s="28" t="str">
        <f>IF(AI107=0,"","+")</f>
        <v/>
      </c>
      <c r="AT107" s="6">
        <f>PI()/4*AI107^2*$O$12/$AX$16</f>
        <v>0</v>
      </c>
      <c r="AU107" s="28" t="s">
        <v>24</v>
      </c>
      <c r="AV107" s="15">
        <f>VALUE(AJ107)+VALUE(AL107)+VALUE(AN107)+VALUE(AP107)+VALUE(AR107)+VALUE(AT107)</f>
        <v>3272.4923474893681</v>
      </c>
      <c r="AW107" s="228">
        <f>MAX(0.3*$AJ$14^(2/3)/$AJ$16*0.26*100,0.13)</f>
        <v>0.15723814702688016</v>
      </c>
      <c r="AX107" s="6">
        <f>AW107/100*$O$12*BK107</f>
        <v>1422.2190398581311</v>
      </c>
      <c r="AY107" s="6"/>
      <c r="AZ107" s="6"/>
      <c r="BA107" s="24" t="str">
        <f>IF(BB107=0,"","+")</f>
        <v/>
      </c>
      <c r="BB107" s="24"/>
      <c r="BC107" s="28" t="s">
        <v>24</v>
      </c>
      <c r="BD107" s="15">
        <f>AX107+AZ107+BB107</f>
        <v>1422.2190398581311</v>
      </c>
      <c r="BE107" s="2">
        <f>(R107-($AX$14+$O$16+T107/2))</f>
        <v>904.5</v>
      </c>
      <c r="BF107" s="3">
        <f>IF(W107=0,0,(R107-($AX$14+T107/2+$O$16+$BI$16)))</f>
        <v>0</v>
      </c>
      <c r="BG107" s="3">
        <f>IF(Z107=0,0,(R107-($AX$14+T107/2+$BI$16+$O$16+$BI$17)))</f>
        <v>0</v>
      </c>
      <c r="BH107" s="3">
        <f>IF(AC107=0,0,(R107-($AX$14+T107/2+$O$16+$BI$16+$BI$17+$BI$18)))</f>
        <v>0</v>
      </c>
      <c r="BI107" s="3">
        <f>IF(AF107=0,0,(R107-($AX$14+T107/2+$O$16+$BI$16+$BI$17+$BI$18+$BL$16)))</f>
        <v>0</v>
      </c>
      <c r="BJ107" s="3">
        <f>IF(AI107=0,0,(R107-($AX$14+T107/2+$O$16+$BI$16+$BI$17+$BI$18+$BL$16+$BL$17)))</f>
        <v>0</v>
      </c>
      <c r="BK107" s="6">
        <f>(BE107*AJ107+BF107*AL107+BG107*AN107+BH107*AP107+BI107*AR107+BJ107*AT107)/AV107</f>
        <v>904.5</v>
      </c>
      <c r="BL107" s="175" t="e">
        <f>ABS(N107)*1000000/$O$12/BK107^2</f>
        <v>#N/A</v>
      </c>
      <c r="BM107" s="175" t="e">
        <f>BL107/$AJ$14</f>
        <v>#N/A</v>
      </c>
      <c r="BN107" s="21" t="e">
        <f>IF(BM107&lt;0.167,0.5+SQRT(0.25-(BM107/1.134)),0.82)</f>
        <v>#N/A</v>
      </c>
      <c r="BO107" s="15" t="e">
        <f>ABS(N107)/(0.87*$AJ$16*BN107*BK107)*10^6</f>
        <v>#N/A</v>
      </c>
      <c r="BP107" s="22">
        <v>3677.8691107719055</v>
      </c>
      <c r="BQ107" s="175" t="e">
        <f>IF(Q107=0,2*ABS(P107*10^6)/$O$12/BP107/(BK107-BP107/3),Q107*BP107*1000/($O$12/2*BP107^2-(BE107-BP107)*AJ107*$AJ$18-(BF107-BP107)*AL107*$AJ$18-(BG107-BP107)*AN107*$AJ$18-(BH107-BP107)*AP107*$AJ$18-(BI107-BP107)*AR107*$AJ$18-(BJ107-BP107)*AT107*$AJ$18))</f>
        <v>#N/A</v>
      </c>
      <c r="BR107" s="3" t="e">
        <f>0.5*$O$12*BP107*BQ107 /1000</f>
        <v>#N/A</v>
      </c>
      <c r="BS107" s="3" t="e">
        <f>($BQ107/$BP107)*(BE107-$BP107)*$AJ$18*AJ107/1000</f>
        <v>#N/A</v>
      </c>
      <c r="BT107" s="3" t="e">
        <f>($BQ107/$BP107)*(BF107-$BP107)*$AJ$18*AL107/1000</f>
        <v>#N/A</v>
      </c>
      <c r="BU107" s="3" t="e">
        <f>($BQ107/$BP107)*(BG107-$BP107)*$AJ$18*AN107/1000</f>
        <v>#N/A</v>
      </c>
      <c r="BV107" s="3" t="e">
        <f>($BQ107/$BP107)*(BH107-$BP107)*$AJ$18*AP107/1000</f>
        <v>#N/A</v>
      </c>
      <c r="BW107" s="3" t="e">
        <f>($BQ107/$BP107)*(BI107-$BP107)*$AJ$18*AR107/1000</f>
        <v>#N/A</v>
      </c>
      <c r="BX107" s="3" t="e">
        <f>($BQ107/$BP107)*(BJ107-$BP107)*$AJ$18*AT107/1000</f>
        <v>#N/A</v>
      </c>
      <c r="BY107" s="175" t="e">
        <f>IF(Q107=0,0,(0.5*$O$12*BP107*BQ107/1000*(R107/2-$BP107/3)+BS107*(BE107-R107/2)+BT107*(BF107-R107/2)+BU107*(BG107-R107/2)+BV107*(BH107-R107/2)+BW107*(BI107-R107/2)+BX107*(BJ107-R107/2))/1000-ABS(P107))</f>
        <v>#N/A</v>
      </c>
      <c r="BZ107" s="10"/>
      <c r="CA107" s="176" t="e">
        <f>ABS(P107)/(BK107-BP107/3)/AV107*10^6-Q107*(R107/2-BP107/3)/(BK107-BP107/3)/AV107*1000</f>
        <v>#N/A</v>
      </c>
      <c r="CB107" s="177">
        <f>(AV107/($O$12*MIN(2.5*(R107-BK107),(R107-BP107)/3,R107/2)-AV107))</f>
        <v>-3.6527611094907E-3</v>
      </c>
      <c r="CC107" s="177">
        <f>3.4*($O$16+$AX$14)+0.425*0.8*0.5*(T107^2+W107^2+Z107^2+AC107^2+AF107^2+AI107^2)/(T107+W107+Z107+AC107+AF107+AI107)/CB107</f>
        <v>-881.30340813625594</v>
      </c>
      <c r="CD107" s="177" t="e">
        <f>MAX(0.6*CA107/$AJ$17,(CA107-0.4*0.3*$AJ$14^(2/3)/CB107*(1+$AJ$17/$AJ$15*CB107))/$AJ$17)</f>
        <v>#N/A</v>
      </c>
      <c r="CE107" s="178" t="e">
        <f>CC107*CD107/1000</f>
        <v>#N/A</v>
      </c>
      <c r="CF107" s="23" t="e">
        <f>IF(AND(AV107&gt;=BD107,AV107&gt;=BO107,CE107&lt;=(+IF(CO107="External",0.25,0.3))),"O.K", "Not O.K")</f>
        <v>#N/A</v>
      </c>
      <c r="CG107" s="28"/>
      <c r="CH107" s="179" t="e">
        <f>IF(O107&lt;0.2*$AJ$14*R107*$O$12/1000,"N &lt; 0.2fckAc - OK!","TBA")</f>
        <v>#N/A</v>
      </c>
      <c r="CI107" s="24">
        <v>94</v>
      </c>
      <c r="CJ107" s="25"/>
      <c r="CK107" s="6" t="e">
        <f t="shared" si="35"/>
        <v>#N/A</v>
      </c>
      <c r="CL107" s="8" t="s">
        <v>72</v>
      </c>
      <c r="CM107" s="6" t="e">
        <f t="shared" si="36"/>
        <v>#N/A</v>
      </c>
      <c r="CN107" s="26" t="s">
        <v>145</v>
      </c>
      <c r="CO107" s="15" t="e">
        <f>IF(VLOOKUP(CI107,'Summary-input'!A:C,3,0)="Outward",
IF(CP107&lt;0,"External","Internal"),
IF(CP107&lt;0,"Internal","External")
)</f>
        <v>#N/A</v>
      </c>
      <c r="CP107" t="e">
        <f>VLOOKUP(CI107&amp;CN107,'Summary-output-ULS'!A:G,6,0)</f>
        <v>#N/A</v>
      </c>
      <c r="CQ107" t="e">
        <f>VLOOKUP(CI107&amp;CN107,'Summary-output-ULS'!A:G,7,0)</f>
        <v>#N/A</v>
      </c>
      <c r="CR107" s="3" t="e">
        <f>VLOOKUP(CI107&amp;CN107,'Summary-output-SLS'!A:G,6,0)</f>
        <v>#N/A</v>
      </c>
      <c r="CS107" s="3" t="e">
        <f>VLOOKUP(CI107&amp;CN107,'Summary-output-SLS'!A:G,7,0)</f>
        <v>#N/A</v>
      </c>
      <c r="CT107" s="20">
        <v>1000</v>
      </c>
      <c r="CU107" s="2" t="e">
        <f>VLOOKUP(CI107&amp;CN107,'Summary-output-ULS'!A:G,5,0)</f>
        <v>#N/A</v>
      </c>
      <c r="CV107" s="15" t="e">
        <f>VLOOKUP(CI107&amp;CN107,'Summary-output-SLS'!A:G,5,0)</f>
        <v>#N/A</v>
      </c>
      <c r="CW107" s="6"/>
      <c r="CX107" s="278"/>
      <c r="CY107" s="6"/>
      <c r="CZ107" s="6"/>
      <c r="DA107" s="6"/>
      <c r="DB107" s="6"/>
      <c r="DC107" s="6"/>
      <c r="DD107" s="6"/>
      <c r="DE107" s="6"/>
      <c r="DF107" s="6"/>
      <c r="DG107" s="6"/>
      <c r="DH107" s="6"/>
      <c r="DI107" s="6"/>
      <c r="DJ107" s="212"/>
      <c r="DK107" s="13"/>
      <c r="DL107" s="13"/>
      <c r="DM107" s="202"/>
      <c r="DN107" s="206" t="e">
        <f>IF(CO107="external",T107,0)</f>
        <v>#N/A</v>
      </c>
      <c r="DO107" s="206" t="e">
        <f>IF(CO107="external",W107,0)</f>
        <v>#N/A</v>
      </c>
      <c r="DP107" s="206" t="e">
        <f>IF(CO107="external",Z107,0)</f>
        <v>#N/A</v>
      </c>
      <c r="DQ107" s="206" t="e">
        <f>IF(CO107="external",AC107,0)</f>
        <v>#N/A</v>
      </c>
      <c r="DR107" s="206" t="e">
        <f>IF(CO107="external",AF107,0)</f>
        <v>#N/A</v>
      </c>
      <c r="DS107" s="207" t="e">
        <f>IF(CO107="external",AI107,0)</f>
        <v>#N/A</v>
      </c>
      <c r="DT107" s="208"/>
      <c r="DU107" s="207" t="e">
        <f>IF(CO107="internal",T107,0)</f>
        <v>#N/A</v>
      </c>
      <c r="DV107" s="207" t="e">
        <f>IF(CO107="internal",W107,0)</f>
        <v>#N/A</v>
      </c>
      <c r="DW107" s="207" t="e">
        <f>IF(CO107="internal",Z107,0)</f>
        <v>#N/A</v>
      </c>
      <c r="DX107" s="207" t="e">
        <f>IF(CO107="internal",AC107,0)</f>
        <v>#N/A</v>
      </c>
      <c r="DY107" s="207" t="e">
        <f>IF(CO107="internal",AF107,0)</f>
        <v>#N/A</v>
      </c>
      <c r="DZ107" s="207" t="e">
        <f>IF(CO107="internal",AI107,0)</f>
        <v>#N/A</v>
      </c>
    </row>
    <row r="108" spans="1:131" s="7" customFormat="1" x14ac:dyDescent="0.3">
      <c r="B108" s="19">
        <f>+CI108</f>
        <v>94</v>
      </c>
      <c r="C108" s="6">
        <f t="shared" si="166"/>
        <v>0</v>
      </c>
      <c r="D108" s="6" t="e">
        <f t="shared" si="166"/>
        <v>#N/A</v>
      </c>
      <c r="E108" s="6" t="str">
        <f t="shared" si="166"/>
        <v>--</v>
      </c>
      <c r="F108" s="6" t="e">
        <f>+CM108</f>
        <v>#N/A</v>
      </c>
      <c r="G108" s="174" t="str">
        <f t="shared" si="167"/>
        <v>Min Fx</v>
      </c>
      <c r="H108" s="6" t="e">
        <f t="shared" si="167"/>
        <v>#N/A</v>
      </c>
      <c r="I108" s="156"/>
      <c r="J108" s="10" t="e">
        <f t="shared" si="168"/>
        <v>#N/A</v>
      </c>
      <c r="K108" s="10" t="e">
        <f t="shared" si="168"/>
        <v>#N/A</v>
      </c>
      <c r="L108" s="10" t="e">
        <f t="shared" si="168"/>
        <v>#N/A</v>
      </c>
      <c r="M108" s="10" t="e">
        <f t="shared" si="168"/>
        <v>#N/A</v>
      </c>
      <c r="N108" s="10" t="e">
        <f>IF(I108*J108&gt;=0,J108*$J$19+I108*$J$18,J108)</f>
        <v>#N/A</v>
      </c>
      <c r="O108" s="10" t="e">
        <f>(K108)*$J$19</f>
        <v>#N/A</v>
      </c>
      <c r="P108" s="14" t="e">
        <f>IF(I108*L108&gt;=0,(L108)+I108,L108)</f>
        <v>#N/A</v>
      </c>
      <c r="Q108" s="3" t="e">
        <f>(M108)</f>
        <v>#N/A</v>
      </c>
      <c r="R108" s="20">
        <f t="shared" si="134"/>
        <v>1000</v>
      </c>
      <c r="S108" s="23"/>
      <c r="T108" s="12">
        <v>40</v>
      </c>
      <c r="U108" s="28"/>
      <c r="V108" s="28"/>
      <c r="W108" s="12">
        <v>40</v>
      </c>
      <c r="X108" s="28"/>
      <c r="Y108" s="28"/>
      <c r="Z108" s="12">
        <v>32</v>
      </c>
      <c r="AA108" s="28"/>
      <c r="AB108" s="28"/>
      <c r="AC108" s="158"/>
      <c r="AD108" s="28"/>
      <c r="AE108" s="28"/>
      <c r="AF108" s="158"/>
      <c r="AG108" s="28"/>
      <c r="AH108" s="28"/>
      <c r="AI108" s="29"/>
      <c r="AJ108" s="6">
        <f>PI()/4*T108^2*$O$12/$AX$16</f>
        <v>8377.5804095727817</v>
      </c>
      <c r="AK108" s="28" t="str">
        <f>IF(W108=0,"","+")</f>
        <v>+</v>
      </c>
      <c r="AL108" s="6">
        <f>PI()/4*W108^2*$O$12/$AX$16</f>
        <v>8377.5804095727817</v>
      </c>
      <c r="AM108" s="28" t="str">
        <f>IF(Z108=0,"","+")</f>
        <v>+</v>
      </c>
      <c r="AN108" s="6">
        <f>PI()/4*Z108^2*$O$12/$AX$16</f>
        <v>5361.6514621265796</v>
      </c>
      <c r="AO108" s="28" t="str">
        <f>IF(AC108=0,"","+")</f>
        <v/>
      </c>
      <c r="AP108" s="6">
        <f>PI()/4*AC108^2*$O$12/$AX$16</f>
        <v>0</v>
      </c>
      <c r="AQ108" s="28" t="str">
        <f>IF(AF108=0,"","+")</f>
        <v/>
      </c>
      <c r="AR108" s="6">
        <f>PI()/4*AF108^2*$O$12/$AX$16</f>
        <v>0</v>
      </c>
      <c r="AS108" s="28" t="str">
        <f>IF(AI108=0,"","+")</f>
        <v/>
      </c>
      <c r="AT108" s="6">
        <f>PI()/4*AI108^2*$O$12/$AX$16</f>
        <v>0</v>
      </c>
      <c r="AU108" s="28" t="s">
        <v>24</v>
      </c>
      <c r="AV108" s="15">
        <f>VALUE(AJ108)+VALUE(AL108)+VALUE(AN108)+VALUE(AP108)+VALUE(AR108)+VALUE(AT108)</f>
        <v>22116.812281272141</v>
      </c>
      <c r="AW108" s="228">
        <f>MAX(0.3*$AJ$14^(2/3)/$AJ$16*0.26*100,0.13)</f>
        <v>0.15723814702688016</v>
      </c>
      <c r="AX108" s="6">
        <f>AW108/100*$O$12*BK108</f>
        <v>1301.7889136125434</v>
      </c>
      <c r="AY108" s="6"/>
      <c r="AZ108" s="6"/>
      <c r="BA108" s="24" t="str">
        <f>IF(BB108=0,"","+")</f>
        <v/>
      </c>
      <c r="BB108" s="24"/>
      <c r="BC108" s="28" t="s">
        <v>24</v>
      </c>
      <c r="BD108" s="15">
        <f>AX108+AZ108+BB108</f>
        <v>1301.7889136125434</v>
      </c>
      <c r="BE108" s="2">
        <f>(R108-($AX$14+$O$16+T108/2))</f>
        <v>897</v>
      </c>
      <c r="BF108" s="3">
        <f>IF(W108=0,0,(R108-($AX$14+T108/2+$O$16+$BI$16)))</f>
        <v>817</v>
      </c>
      <c r="BG108" s="3">
        <f>IF(Z108=0,0,(R108-($AX$14+T108/2+$BI$16+$O$16+$BI$17)))</f>
        <v>737</v>
      </c>
      <c r="BH108" s="3">
        <f>IF(AC108=0,0,(R108-($AX$14+T108/2+$O$16+$BI$16+$BI$17+$BI$18)))</f>
        <v>0</v>
      </c>
      <c r="BI108" s="3">
        <f>IF(AF108=0,0,(R108-($AX$14+T108/2+$O$16+$BI$16+$BI$17+$BI$18+$BL$16)))</f>
        <v>0</v>
      </c>
      <c r="BJ108" s="3">
        <f>IF(AI108=0,0,(R108-($AX$14+T108/2+$O$16+$BI$16+$BI$17+$BI$18+$BL$16+$BL$17)))</f>
        <v>0</v>
      </c>
      <c r="BK108" s="6">
        <f>(BE108*AJ108+BF108*AL108+BG108*AN108+BH108*AP108+BI108*AR108+BJ108*AT108)/AV108</f>
        <v>827.90909090909099</v>
      </c>
      <c r="BL108" s="175" t="e">
        <f>ABS(N108)*1000000/$O$12/BK108^2</f>
        <v>#N/A</v>
      </c>
      <c r="BM108" s="175" t="e">
        <f>BL108/$AJ$14</f>
        <v>#N/A</v>
      </c>
      <c r="BN108" s="21" t="e">
        <f>IF(BM108&lt;0.167,0.5+SQRT(0.25-(BM108/1.134)),0.82)</f>
        <v>#N/A</v>
      </c>
      <c r="BO108" s="15" t="e">
        <f>ABS(N108)/(0.87*$AJ$16*BN108*BK108)*10^6</f>
        <v>#N/A</v>
      </c>
      <c r="BP108" s="22">
        <v>467.43450228239698</v>
      </c>
      <c r="BQ108" s="175" t="e">
        <f>IF(Q108=0,2*ABS(P108*10^6)/$O$12/BP108/(BK108-BP108/3),Q108*BP108*1000/($O$12/2*BP108^2-(BE108-BP108)*AJ108*$AJ$18-(BF108-BP108)*AL108*$AJ$18-(BG108-BP108)*AN108*$AJ$18-(BH108-BP108)*AP108*$AJ$18-(BI108-BP108)*AR108*$AJ$18-(BJ108-BP108)*AT108*$AJ$18))</f>
        <v>#N/A</v>
      </c>
      <c r="BR108" s="3" t="e">
        <f>0.5*$O$12*BP108*BQ108 /1000</f>
        <v>#N/A</v>
      </c>
      <c r="BS108" s="3" t="e">
        <f>($BQ108/$BP108)*(BE108-$BP108)*$AJ$18*AJ108/1000</f>
        <v>#N/A</v>
      </c>
      <c r="BT108" s="3" t="e">
        <f>($BQ108/$BP108)*(BF108-$BP108)*$AJ$18*AL108/1000</f>
        <v>#N/A</v>
      </c>
      <c r="BU108" s="3" t="e">
        <f>($BQ108/$BP108)*(BG108-$BP108)*$AJ$18*AN108/1000</f>
        <v>#N/A</v>
      </c>
      <c r="BV108" s="3" t="e">
        <f>($BQ108/$BP108)*(BH108-$BP108)*$AJ$18*AP108/1000</f>
        <v>#N/A</v>
      </c>
      <c r="BW108" s="3" t="e">
        <f>($BQ108/$BP108)*(BI108-$BP108)*$AJ$18*AR108/1000</f>
        <v>#N/A</v>
      </c>
      <c r="BX108" s="3" t="e">
        <f>($BQ108/$BP108)*(BJ108-$BP108)*$AJ$18*AT108/1000</f>
        <v>#N/A</v>
      </c>
      <c r="BY108" s="175" t="e">
        <f>IF(Q108=0,0,(0.5*$O$12*BP108*BQ108/1000*(R108/2-$BP108/3)+BS108*(BE108-R108/2)+BT108*(BF108-R108/2)+BU108*(BG108-R108/2)+BV108*(BH108-R108/2)+BW108*(BI108-R108/2)+BX108*(BJ108-R108/2))/1000-ABS(P108))</f>
        <v>#N/A</v>
      </c>
      <c r="BZ108" s="10"/>
      <c r="CA108" s="176" t="e">
        <f>ABS(P108)/(BK108-BP108/3)/AV108*10^6-Q108*(R108/2-BP108/3)/(BK108-BP108/3)/AV108*1000</f>
        <v>#N/A</v>
      </c>
      <c r="CB108" s="177">
        <f>(AV108/($O$12*MIN(2.5*(R108-BK108),(R108-BP108)/3,R108/2)-AV108))</f>
        <v>0.1423172317073188</v>
      </c>
      <c r="CC108" s="177">
        <f>3.4*($O$16+$AX$14)+0.425*0.8*0.5*(T108^2+W108^2+Z108^2+AC108^2+AF108^2+AI108^2)/(T108+W108+Z108+AC108+AF108+AI108)/CB108</f>
        <v>327.25026197118518</v>
      </c>
      <c r="CD108" s="177" t="e">
        <f>MAX(0.6*CA108/$AJ$17,(CA108-0.4*0.3*$AJ$14^(2/3)/CB108*(1+$AJ$17/$AJ$15*CB108))/$AJ$17)</f>
        <v>#N/A</v>
      </c>
      <c r="CE108" s="178" t="e">
        <f>CC108*CD108/1000</f>
        <v>#N/A</v>
      </c>
      <c r="CF108" s="23" t="e">
        <f>IF(AND(AV108&gt;=BD108,AV108&gt;=BO108,CE108&lt;=(+IF(CO108="External",0.25,0.3))),"O.K", "Not O.K")</f>
        <v>#N/A</v>
      </c>
      <c r="CG108" s="28"/>
      <c r="CH108" s="179" t="e">
        <f>IF(O108&lt;0.2*$AJ$14*R108*$O$12/1000,"N &lt; 0.2fckAc - OK!","TBA")</f>
        <v>#N/A</v>
      </c>
      <c r="CI108" s="24">
        <v>94</v>
      </c>
      <c r="CJ108" s="25"/>
      <c r="CK108" s="6" t="e">
        <f t="shared" si="35"/>
        <v>#N/A</v>
      </c>
      <c r="CL108" s="8" t="s">
        <v>72</v>
      </c>
      <c r="CM108" s="6" t="e">
        <f t="shared" si="36"/>
        <v>#N/A</v>
      </c>
      <c r="CN108" s="26" t="s">
        <v>146</v>
      </c>
      <c r="CO108" s="15" t="e">
        <f>IF(VLOOKUP(CI108,'Summary-input'!A:C,3,0)="Outward",
IF(CP108&lt;0,"External","Internal"),
IF(CP108&lt;0,"Internal","External")
)</f>
        <v>#N/A</v>
      </c>
      <c r="CP108" t="e">
        <f>VLOOKUP(CI108&amp;CN108,'Summary-output-ULS'!A:G,6,0)</f>
        <v>#N/A</v>
      </c>
      <c r="CQ108" t="e">
        <f>VLOOKUP(CI108&amp;CN108,'Summary-output-ULS'!A:G,7,0)</f>
        <v>#N/A</v>
      </c>
      <c r="CR108" s="3" t="e">
        <f>VLOOKUP(CI108&amp;CN108,'Summary-output-SLS'!A:G,6,0)</f>
        <v>#N/A</v>
      </c>
      <c r="CS108" s="3" t="e">
        <f>VLOOKUP(CI108&amp;CN108,'Summary-output-SLS'!A:G,7,0)</f>
        <v>#N/A</v>
      </c>
      <c r="CT108" s="20">
        <v>1000</v>
      </c>
      <c r="CU108" s="2" t="e">
        <f>VLOOKUP(CI108&amp;CN108,'Summary-output-ULS'!A:G,5,0)</f>
        <v>#N/A</v>
      </c>
      <c r="CV108" s="15" t="e">
        <f>VLOOKUP(CI108&amp;CN108,'Summary-output-SLS'!A:G,5,0)</f>
        <v>#N/A</v>
      </c>
      <c r="CW108" s="6"/>
      <c r="CX108" s="278"/>
      <c r="CY108" s="6"/>
      <c r="CZ108" s="6"/>
      <c r="DA108" s="6"/>
      <c r="DB108" s="6"/>
      <c r="DC108" s="6"/>
      <c r="DD108" s="6"/>
      <c r="DE108" s="6"/>
      <c r="DF108" s="6"/>
      <c r="DG108" s="6"/>
      <c r="DH108" s="6"/>
      <c r="DI108" s="6"/>
      <c r="DJ108" s="212"/>
      <c r="DK108" s="13"/>
      <c r="DL108" s="13"/>
      <c r="DM108" s="202"/>
      <c r="DN108" s="206" t="e">
        <f>IF(CO108="external",T108,0)</f>
        <v>#N/A</v>
      </c>
      <c r="DO108" s="206" t="e">
        <f>IF(CO108="external",W108,0)</f>
        <v>#N/A</v>
      </c>
      <c r="DP108" s="206" t="e">
        <f>IF(CO108="external",Z108,0)</f>
        <v>#N/A</v>
      </c>
      <c r="DQ108" s="206" t="e">
        <f>IF(CO108="external",AC108,0)</f>
        <v>#N/A</v>
      </c>
      <c r="DR108" s="206" t="e">
        <f>IF(CO108="external",AF108,0)</f>
        <v>#N/A</v>
      </c>
      <c r="DS108" s="207" t="e">
        <f>IF(CO108="external",AI108,0)</f>
        <v>#N/A</v>
      </c>
      <c r="DT108" s="208"/>
      <c r="DU108" s="207" t="e">
        <f>IF(CO108="internal",T108,0)</f>
        <v>#N/A</v>
      </c>
      <c r="DV108" s="207" t="e">
        <f>IF(CO108="internal",W108,0)</f>
        <v>#N/A</v>
      </c>
      <c r="DW108" s="207" t="e">
        <f>IF(CO108="internal",Z108,0)</f>
        <v>#N/A</v>
      </c>
      <c r="DX108" s="207" t="e">
        <f>IF(CO108="internal",AC108,0)</f>
        <v>#N/A</v>
      </c>
      <c r="DY108" s="207" t="e">
        <f>IF(CO108="internal",AF108,0)</f>
        <v>#N/A</v>
      </c>
      <c r="DZ108" s="207" t="e">
        <f>IF(CO108="internal",AI108,0)</f>
        <v>#N/A</v>
      </c>
    </row>
    <row r="109" spans="1:131" s="7" customFormat="1" x14ac:dyDescent="0.3">
      <c r="B109" s="242"/>
      <c r="C109" s="238"/>
      <c r="D109" s="237"/>
      <c r="E109" s="238"/>
      <c r="F109" s="238">
        <v>103</v>
      </c>
      <c r="G109" s="239"/>
      <c r="H109" s="67"/>
      <c r="I109" s="67"/>
      <c r="J109" s="67"/>
      <c r="K109" s="67"/>
      <c r="L109" s="67">
        <v>18</v>
      </c>
      <c r="M109" s="67"/>
      <c r="N109" s="67"/>
      <c r="O109" s="67"/>
      <c r="P109" s="67"/>
      <c r="Q109" s="67"/>
      <c r="R109" s="67"/>
      <c r="S109" s="67"/>
      <c r="T109" s="240"/>
      <c r="U109" s="67"/>
      <c r="V109" s="67"/>
      <c r="W109" s="240"/>
      <c r="X109" s="67"/>
      <c r="Y109" s="67"/>
      <c r="Z109" s="67"/>
      <c r="AA109" s="67"/>
      <c r="AB109" s="67"/>
      <c r="AC109" s="67"/>
      <c r="AD109" s="67"/>
      <c r="AE109" s="67"/>
      <c r="AF109" s="67"/>
      <c r="AG109" s="67"/>
      <c r="AH109" s="67"/>
      <c r="AI109" s="241"/>
      <c r="AJ109" s="67"/>
      <c r="AK109" s="67"/>
      <c r="AL109" s="67"/>
      <c r="AM109" s="67"/>
      <c r="AN109" s="67"/>
      <c r="AO109" s="67"/>
      <c r="AP109" s="67"/>
      <c r="AQ109" s="67"/>
      <c r="AR109" s="67"/>
      <c r="AS109" s="67"/>
      <c r="AT109" s="67"/>
      <c r="AU109" s="67"/>
      <c r="AV109" s="67"/>
      <c r="AW109" s="67"/>
      <c r="AX109" s="67"/>
      <c r="AY109" s="67"/>
      <c r="AZ109" s="67"/>
      <c r="BA109" s="67"/>
      <c r="BB109" s="67"/>
      <c r="BC109" s="67"/>
      <c r="BD109" s="67"/>
      <c r="BE109" s="67"/>
      <c r="BF109" s="67"/>
      <c r="BG109" s="67"/>
      <c r="BH109" s="67"/>
      <c r="BI109" s="67"/>
      <c r="BJ109" s="67"/>
      <c r="BK109" s="67"/>
      <c r="BL109" s="67"/>
      <c r="BM109" s="67"/>
      <c r="BN109" s="67"/>
      <c r="BO109" s="67"/>
      <c r="BP109" s="67"/>
      <c r="BQ109" s="67"/>
      <c r="BR109" s="67"/>
      <c r="BS109" s="67"/>
      <c r="BT109" s="67"/>
      <c r="BU109" s="67"/>
      <c r="BV109" s="67"/>
      <c r="BW109" s="67"/>
      <c r="BX109" s="67"/>
      <c r="BY109" s="67"/>
      <c r="BZ109" s="67"/>
      <c r="CA109" s="67"/>
      <c r="CB109" s="67"/>
      <c r="CC109" s="67"/>
      <c r="CD109" s="67"/>
      <c r="CE109" s="67"/>
      <c r="CH109" s="243"/>
      <c r="CI109" s="6"/>
      <c r="CJ109" s="37"/>
      <c r="CK109" s="6" t="e">
        <f t="shared" si="35"/>
        <v>#N/A</v>
      </c>
      <c r="CL109" s="8" t="s">
        <v>72</v>
      </c>
      <c r="CM109" s="6" t="e">
        <f t="shared" si="36"/>
        <v>#N/A</v>
      </c>
      <c r="CN109" s="39"/>
      <c r="CO109" s="15" t="e">
        <f>IF(VLOOKUP(CI109,'Summary-input'!A:C,3,0)="Outward",
IF(CP109&lt;0,"External","Internal"),
IF(CP109&lt;0,"Internal","External")
)</f>
        <v>#N/A</v>
      </c>
      <c r="CP109" t="e">
        <f>VLOOKUP(CI109&amp;CN109,'Summary-output-ULS'!A:G,6,0)</f>
        <v>#N/A</v>
      </c>
      <c r="CQ109" t="e">
        <f>VLOOKUP(CI109&amp;CN109,'Summary-output-ULS'!A:G,7,0)</f>
        <v>#N/A</v>
      </c>
      <c r="CR109" s="3" t="e">
        <f>VLOOKUP(CI109&amp;CN109,'Summary-output-SLS'!A:G,6,0)</f>
        <v>#N/A</v>
      </c>
      <c r="CS109" s="3" t="e">
        <f>VLOOKUP(CI109&amp;CN109,'Summary-output-SLS'!A:G,7,0)</f>
        <v>#N/A</v>
      </c>
      <c r="CU109" s="2" t="e">
        <f>VLOOKUP(CI109&amp;CN109,'Summary-output-ULS'!A:G,5,0)</f>
        <v>#N/A</v>
      </c>
      <c r="CV109" s="15" t="e">
        <f>VLOOKUP(CI109&amp;CN109,'Summary-output-SLS'!A:G,5,0)</f>
        <v>#N/A</v>
      </c>
      <c r="CW109" s="28"/>
      <c r="CX109" s="280"/>
      <c r="CY109" s="185"/>
      <c r="CZ109" s="185"/>
      <c r="DA109" s="185"/>
      <c r="DB109" s="185"/>
      <c r="DC109" s="185"/>
      <c r="DD109" s="185"/>
      <c r="DE109" s="185"/>
      <c r="DF109" s="185"/>
      <c r="DG109" s="185"/>
      <c r="DH109" s="185"/>
      <c r="DI109" s="185"/>
      <c r="DJ109" s="209"/>
      <c r="DK109" s="185"/>
      <c r="DL109" s="185"/>
      <c r="DM109" s="186"/>
      <c r="DN109" s="187"/>
      <c r="DO109" s="187"/>
      <c r="DP109" s="187"/>
      <c r="DQ109" s="187"/>
      <c r="DR109" s="187"/>
      <c r="DS109" s="187"/>
      <c r="DT109" s="188"/>
      <c r="DU109" s="187"/>
      <c r="DV109" s="187"/>
      <c r="DW109" s="187"/>
      <c r="DX109" s="187"/>
      <c r="DY109" s="187"/>
      <c r="DZ109" s="187"/>
      <c r="EA109" s="185"/>
    </row>
    <row r="110" spans="1:131" s="7" customFormat="1" ht="13.8" x14ac:dyDescent="0.25">
      <c r="A110" s="7" t="s">
        <v>141</v>
      </c>
      <c r="B110" s="19">
        <f>+CI110</f>
        <v>96</v>
      </c>
      <c r="C110" s="6">
        <f t="shared" ref="C110:E113" si="171">CJ110</f>
        <v>0</v>
      </c>
      <c r="D110" s="6" t="e">
        <f t="shared" si="171"/>
        <v>#N/A</v>
      </c>
      <c r="E110" s="6" t="str">
        <f t="shared" si="171"/>
        <v>--</v>
      </c>
      <c r="F110" s="6" t="e">
        <f>+CM110</f>
        <v>#N/A</v>
      </c>
      <c r="G110" s="174" t="str">
        <f t="shared" ref="G110:H113" si="172">CN110</f>
        <v>Max Mz</v>
      </c>
      <c r="H110" s="6" t="e">
        <f t="shared" si="172"/>
        <v>#N/A</v>
      </c>
      <c r="I110" s="156"/>
      <c r="J110" s="10" t="e">
        <f t="shared" ref="J110:M113" si="173">(CP110)</f>
        <v>#N/A</v>
      </c>
      <c r="K110" s="10" t="e">
        <f t="shared" si="173"/>
        <v>#N/A</v>
      </c>
      <c r="L110" s="10" t="e">
        <f t="shared" si="173"/>
        <v>#N/A</v>
      </c>
      <c r="M110" s="10" t="e">
        <f t="shared" si="173"/>
        <v>#N/A</v>
      </c>
      <c r="N110" s="10" t="e">
        <f>IF(I110*J110&gt;=0,J110*$J$19+I110*$J$18,J110)</f>
        <v>#N/A</v>
      </c>
      <c r="O110" s="10" t="e">
        <f>(K110)*$J$19</f>
        <v>#N/A</v>
      </c>
      <c r="P110" s="14" t="e">
        <f>IF(I110*L110&gt;=0,(L110)+I110,L110)</f>
        <v>#N/A</v>
      </c>
      <c r="Q110" s="3" t="e">
        <f>(M110)</f>
        <v>#N/A</v>
      </c>
      <c r="R110" s="20">
        <f>CT110</f>
        <v>1000</v>
      </c>
      <c r="S110" s="23"/>
      <c r="T110" s="12">
        <v>40</v>
      </c>
      <c r="U110" s="28"/>
      <c r="V110" s="28"/>
      <c r="W110" s="12">
        <v>40</v>
      </c>
      <c r="X110" s="28"/>
      <c r="Y110" s="28"/>
      <c r="Z110" s="12">
        <v>32</v>
      </c>
      <c r="AA110" s="28"/>
      <c r="AB110" s="28"/>
      <c r="AC110" s="158"/>
      <c r="AD110" s="28"/>
      <c r="AE110" s="28"/>
      <c r="AF110" s="158"/>
      <c r="AG110" s="28"/>
      <c r="AH110" s="28"/>
      <c r="AI110" s="29"/>
      <c r="AJ110" s="6">
        <f>PI()/4*T110^2*$O$12/$AX$16</f>
        <v>8377.5804095727817</v>
      </c>
      <c r="AK110" s="28" t="str">
        <f>IF(W110=0,"","+")</f>
        <v>+</v>
      </c>
      <c r="AL110" s="6">
        <f>PI()/4*W110^2*$O$12/$AX$16</f>
        <v>8377.5804095727817</v>
      </c>
      <c r="AM110" s="28" t="str">
        <f>IF(Z110=0,"","+")</f>
        <v>+</v>
      </c>
      <c r="AN110" s="6">
        <f>PI()/4*Z110^2*$O$12/$AX$16</f>
        <v>5361.6514621265796</v>
      </c>
      <c r="AO110" s="28" t="str">
        <f>IF(AC110=0,"","+")</f>
        <v/>
      </c>
      <c r="AP110" s="6">
        <f>PI()/4*AC110^2*$O$12/$AX$16</f>
        <v>0</v>
      </c>
      <c r="AQ110" s="28" t="str">
        <f>IF(AF110=0,"","+")</f>
        <v/>
      </c>
      <c r="AR110" s="6">
        <f>PI()/4*AF110^2*$O$12/$AX$16</f>
        <v>0</v>
      </c>
      <c r="AS110" s="28" t="str">
        <f>IF(AI110=0,"","+")</f>
        <v/>
      </c>
      <c r="AT110" s="6">
        <f>PI()/4*AI110^2*$O$12/$AX$16</f>
        <v>0</v>
      </c>
      <c r="AU110" s="28" t="s">
        <v>24</v>
      </c>
      <c r="AV110" s="15">
        <f>VALUE(AJ110)+VALUE(AL110)+VALUE(AN110)+VALUE(AP110)+VALUE(AR110)+VALUE(AT110)</f>
        <v>22116.812281272141</v>
      </c>
      <c r="AW110" s="228">
        <f>MAX(0.3*$AJ$14^(2/3)/$AJ$16*0.26*100,0.13)</f>
        <v>0.15723814702688016</v>
      </c>
      <c r="AX110" s="6">
        <f>AW110/100*$O$12*BK110</f>
        <v>1301.7889136125434</v>
      </c>
      <c r="AY110" s="6"/>
      <c r="AZ110" s="6"/>
      <c r="BA110" s="24" t="str">
        <f>IF(BB110=0,"","+")</f>
        <v/>
      </c>
      <c r="BB110" s="24"/>
      <c r="BC110" s="28" t="s">
        <v>24</v>
      </c>
      <c r="BD110" s="15">
        <f>AX110+AZ110+BB110</f>
        <v>1301.7889136125434</v>
      </c>
      <c r="BE110" s="2">
        <f>(R110-($AX$14+$O$16+T110/2))</f>
        <v>897</v>
      </c>
      <c r="BF110" s="3">
        <f>IF(W110=0,0,(R110-($AX$14+T110/2+$O$16+$BI$16)))</f>
        <v>817</v>
      </c>
      <c r="BG110" s="3">
        <f>IF(Z110=0,0,(R110-($AX$14+T110/2+$BI$16+$O$16+$BI$17)))</f>
        <v>737</v>
      </c>
      <c r="BH110" s="3">
        <f>IF(AC110=0,0,(R110-($AX$14+T110/2+$O$16+$BI$16+$BI$17+$BI$18)))</f>
        <v>0</v>
      </c>
      <c r="BI110" s="3">
        <f>IF(AF110=0,0,(R110-($AX$14+T110/2+$O$16+$BI$16+$BI$17+$BI$18+$BL$16)))</f>
        <v>0</v>
      </c>
      <c r="BJ110" s="3">
        <f>IF(AI110=0,0,(R110-($AX$14+T110/2+$O$16+$BI$16+$BI$17+$BI$18+$BL$16+$BL$17)))</f>
        <v>0</v>
      </c>
      <c r="BK110" s="6">
        <f>(BE110*AJ110+BF110*AL110+BG110*AN110+BH110*AP110+BI110*AR110+BJ110*AT110)/AV110</f>
        <v>827.90909090909099</v>
      </c>
      <c r="BL110" s="175" t="e">
        <f>ABS(N110)*1000000/$O$12/BK110^2</f>
        <v>#N/A</v>
      </c>
      <c r="BM110" s="175" t="e">
        <f>BL110/$AJ$14</f>
        <v>#N/A</v>
      </c>
      <c r="BN110" s="21" t="e">
        <f>IF(BM110&lt;0.167,0.5+SQRT(0.25-(BM110/1.134)),0.82)</f>
        <v>#N/A</v>
      </c>
      <c r="BO110" s="15" t="e">
        <f>ABS(N110)/(0.87*$AJ$16*BN110*BK110)*10^6</f>
        <v>#N/A</v>
      </c>
      <c r="BP110" s="22">
        <v>442.64709029504394</v>
      </c>
      <c r="BQ110" s="175" t="e">
        <f>IF(Q110=0,2*ABS(P110*10^6)/$O$12/BP110/(BK110-BP110/3),Q110*BP110*1000/($O$12/2*BP110^2-(BE110-BP110)*AJ110*$AJ$18-(BF110-BP110)*AL110*$AJ$18-(BG110-BP110)*AN110*$AJ$18-(BH110-BP110)*AP110*$AJ$18-(BI110-BP110)*AR110*$AJ$18-(BJ110-BP110)*AT110*$AJ$18))</f>
        <v>#N/A</v>
      </c>
      <c r="BR110" s="3" t="e">
        <f>0.5*$O$12*BP110*BQ110 /1000</f>
        <v>#N/A</v>
      </c>
      <c r="BS110" s="3" t="e">
        <f>($BQ110/$BP110)*(BE110-$BP110)*$AJ$18*AJ110/1000</f>
        <v>#N/A</v>
      </c>
      <c r="BT110" s="3" t="e">
        <f>($BQ110/$BP110)*(BF110-$BP110)*$AJ$18*AL110/1000</f>
        <v>#N/A</v>
      </c>
      <c r="BU110" s="3" t="e">
        <f>($BQ110/$BP110)*(BG110-$BP110)*$AJ$18*AN110/1000</f>
        <v>#N/A</v>
      </c>
      <c r="BV110" s="3" t="e">
        <f>($BQ110/$BP110)*(BH110-$BP110)*$AJ$18*AP110/1000</f>
        <v>#N/A</v>
      </c>
      <c r="BW110" s="3" t="e">
        <f>($BQ110/$BP110)*(BI110-$BP110)*$AJ$18*AR110/1000</f>
        <v>#N/A</v>
      </c>
      <c r="BX110" s="3" t="e">
        <f>($BQ110/$BP110)*(BJ110-$BP110)*$AJ$18*AT110/1000</f>
        <v>#N/A</v>
      </c>
      <c r="BY110" s="175" t="e">
        <f>IF(Q110=0,0,(0.5*$O$12*BP110*BQ110/1000*(R110/2-$BP110/3)+BS110*(BE110-R110/2)+BT110*(BF110-R110/2)+BU110*(BG110-R110/2)+BV110*(BH110-R110/2)+BW110*(BI110-R110/2)+BX110*(BJ110-R110/2))/1000-ABS(P110))</f>
        <v>#N/A</v>
      </c>
      <c r="BZ110" s="10"/>
      <c r="CA110" s="176" t="e">
        <f>ABS(P110)/(BK110-BP110/3)/AV110*10^6-Q110*(R110/2-BP110/3)/(BK110-BP110/3)/AV110*1000</f>
        <v>#N/A</v>
      </c>
      <c r="CB110" s="177">
        <f>(AV110/($O$12*MIN(2.5*(R110-BK110),(R110-BP110)/3,R110/2)-AV110))</f>
        <v>0.13513259201564343</v>
      </c>
      <c r="CC110" s="177">
        <f>3.4*($O$16+$AX$14)+0.425*0.8*0.5*(T110^2+W110^2+Z110^2+AC110^2+AF110^2+AI110^2)/(T110+W110+Z110+AC110+AF110+AI110)/CB110</f>
        <v>329.64546430876101</v>
      </c>
      <c r="CD110" s="177" t="e">
        <f>MAX(0.6*CA110/$AJ$17,(CA110-0.4*0.3*$AJ$14^(2/3)/CB110*(1+$AJ$17/$AJ$15*CB110))/$AJ$17)</f>
        <v>#N/A</v>
      </c>
      <c r="CE110" s="178" t="e">
        <f>CC110*CD110/1000</f>
        <v>#N/A</v>
      </c>
      <c r="CF110" s="23" t="e">
        <f>IF(AND(AV110&gt;=BD110,AV110&gt;=BO110,CE110&lt;=(+IF(CO110="External",0.25,0.3))),"O.K", "Not O.K")</f>
        <v>#N/A</v>
      </c>
      <c r="CG110" s="28"/>
      <c r="CH110" s="179" t="e">
        <f>IF(O110&lt;0.2*$AJ$14*R110*$O$12/1000,"N &lt; 0.2fckAc - OK!","TBA")</f>
        <v>#N/A</v>
      </c>
      <c r="CI110" s="24">
        <v>96</v>
      </c>
      <c r="CJ110" s="25"/>
      <c r="CK110" s="6" t="e">
        <f t="shared" si="35"/>
        <v>#N/A</v>
      </c>
      <c r="CL110" s="8" t="s">
        <v>72</v>
      </c>
      <c r="CM110" s="6" t="e">
        <f t="shared" si="36"/>
        <v>#N/A</v>
      </c>
      <c r="CN110" s="26" t="s">
        <v>147</v>
      </c>
      <c r="CO110" s="15" t="e">
        <f>IF(VLOOKUP(CI110,'Summary-input'!A:C,3,0)="Outward",
IF(CP110&lt;0,"External","Internal"),
IF(CP110&lt;0,"Internal","External")
)</f>
        <v>#N/A</v>
      </c>
      <c r="CP110" t="e">
        <f>VLOOKUP(CI110&amp;CN110,'Summary-output-ULS'!A:G,6,0)</f>
        <v>#N/A</v>
      </c>
      <c r="CQ110" t="e">
        <f>VLOOKUP(CI110&amp;CN110,'Summary-output-ULS'!A:G,7,0)</f>
        <v>#N/A</v>
      </c>
      <c r="CR110" s="3" t="e">
        <f>VLOOKUP(CI110&amp;CN110,'Summary-output-SLS'!A:G,6,0)</f>
        <v>#N/A</v>
      </c>
      <c r="CS110" s="3" t="e">
        <f>VLOOKUP(CI110&amp;CN110,'Summary-output-SLS'!A:G,7,0)</f>
        <v>#N/A</v>
      </c>
      <c r="CT110" s="20">
        <v>1000</v>
      </c>
      <c r="CU110" s="2" t="e">
        <f>VLOOKUP(CI110&amp;CN110,'Summary-output-ULS'!A:G,5,0)</f>
        <v>#N/A</v>
      </c>
      <c r="CV110" s="15" t="e">
        <f>VLOOKUP(CI110&amp;CN110,'Summary-output-SLS'!A:G,5,0)</f>
        <v>#N/A</v>
      </c>
      <c r="CW110" s="6"/>
      <c r="CX110" s="278">
        <f>CI110</f>
        <v>96</v>
      </c>
      <c r="CY110" s="6" t="e">
        <f t="shared" ref="CY110:DD110" si="174">MAX(DN110:DN113)</f>
        <v>#N/A</v>
      </c>
      <c r="CZ110" s="6" t="e">
        <f t="shared" si="174"/>
        <v>#N/A</v>
      </c>
      <c r="DA110" s="6" t="e">
        <f t="shared" si="174"/>
        <v>#N/A</v>
      </c>
      <c r="DB110" s="6" t="e">
        <f t="shared" si="174"/>
        <v>#N/A</v>
      </c>
      <c r="DC110" s="6" t="e">
        <f t="shared" si="174"/>
        <v>#N/A</v>
      </c>
      <c r="DD110" s="6" t="e">
        <f t="shared" si="174"/>
        <v>#N/A</v>
      </c>
      <c r="DE110" s="6"/>
      <c r="DF110" s="6" t="e">
        <f t="shared" ref="DF110:DK110" si="175">MAX(DU110:DU113)</f>
        <v>#N/A</v>
      </c>
      <c r="DG110" s="6" t="e">
        <f t="shared" si="175"/>
        <v>#N/A</v>
      </c>
      <c r="DH110" s="6" t="e">
        <f t="shared" si="175"/>
        <v>#N/A</v>
      </c>
      <c r="DI110" s="6" t="e">
        <f t="shared" si="175"/>
        <v>#N/A</v>
      </c>
      <c r="DJ110" s="6" t="e">
        <f t="shared" si="175"/>
        <v>#N/A</v>
      </c>
      <c r="DK110" s="6" t="e">
        <f t="shared" si="175"/>
        <v>#N/A</v>
      </c>
      <c r="DL110" s="13"/>
      <c r="DM110" s="202">
        <f>CI110</f>
        <v>96</v>
      </c>
      <c r="DN110" s="206" t="e">
        <f>IF(CO110="external",T110,0)</f>
        <v>#N/A</v>
      </c>
      <c r="DO110" s="206" t="e">
        <f>IF(CO110="external",W110,0)</f>
        <v>#N/A</v>
      </c>
      <c r="DP110" s="206" t="e">
        <f>IF(CO110="external",Z110,0)</f>
        <v>#N/A</v>
      </c>
      <c r="DQ110" s="206" t="e">
        <f>IF(CO110="external",AC110,0)</f>
        <v>#N/A</v>
      </c>
      <c r="DR110" s="206" t="e">
        <f>IF(CO110="external",AF110,0)</f>
        <v>#N/A</v>
      </c>
      <c r="DS110" s="207" t="e">
        <f>IF(CO110="external",AI110,0)</f>
        <v>#N/A</v>
      </c>
      <c r="DT110" s="208"/>
      <c r="DU110" s="207" t="e">
        <f>IF(CO110="internal",T110,0)</f>
        <v>#N/A</v>
      </c>
      <c r="DV110" s="207" t="e">
        <f>IF(CO110="internal",W110,0)</f>
        <v>#N/A</v>
      </c>
      <c r="DW110" s="207" t="e">
        <f>IF(CO110="internal",Z110,0)</f>
        <v>#N/A</v>
      </c>
      <c r="DX110" s="207" t="e">
        <f>IF(CO110="internal",AC110,0)</f>
        <v>#N/A</v>
      </c>
      <c r="DY110" s="207" t="e">
        <f>IF(CO110="internal",AF110,0)</f>
        <v>#N/A</v>
      </c>
      <c r="DZ110" s="207" t="e">
        <f>IF(CO110="internal",AI110,0)</f>
        <v>#N/A</v>
      </c>
    </row>
    <row r="111" spans="1:131" s="7" customFormat="1" x14ac:dyDescent="0.3">
      <c r="B111" s="19">
        <f t="shared" ref="B111:B124" si="176">+CI111</f>
        <v>96</v>
      </c>
      <c r="C111" s="6">
        <f t="shared" si="171"/>
        <v>0</v>
      </c>
      <c r="D111" s="6" t="e">
        <f t="shared" si="171"/>
        <v>#N/A</v>
      </c>
      <c r="E111" s="6" t="str">
        <f t="shared" si="171"/>
        <v>--</v>
      </c>
      <c r="F111" s="6" t="e">
        <f>+CM111</f>
        <v>#N/A</v>
      </c>
      <c r="G111" s="174" t="str">
        <f t="shared" si="172"/>
        <v>Min Mz</v>
      </c>
      <c r="H111" s="6" t="e">
        <f t="shared" si="172"/>
        <v>#N/A</v>
      </c>
      <c r="I111" s="156"/>
      <c r="J111" s="10" t="e">
        <f t="shared" si="173"/>
        <v>#N/A</v>
      </c>
      <c r="K111" s="10" t="e">
        <f t="shared" si="173"/>
        <v>#N/A</v>
      </c>
      <c r="L111" s="10" t="e">
        <f t="shared" si="173"/>
        <v>#N/A</v>
      </c>
      <c r="M111" s="10" t="e">
        <f t="shared" si="173"/>
        <v>#N/A</v>
      </c>
      <c r="N111" s="10" t="e">
        <f>IF(I111*J111&gt;=0,J111*$J$19+I111*$J$18,J111)</f>
        <v>#N/A</v>
      </c>
      <c r="O111" s="10" t="e">
        <f>(K111)*$J$19</f>
        <v>#N/A</v>
      </c>
      <c r="P111" s="14" t="e">
        <f>IF(I111*L111&gt;=0,(L111)+I111,L111)</f>
        <v>#N/A</v>
      </c>
      <c r="Q111" s="3" t="e">
        <f>(M111)</f>
        <v>#N/A</v>
      </c>
      <c r="R111" s="20">
        <f t="shared" ref="R111:R129" si="177">CT111</f>
        <v>1000</v>
      </c>
      <c r="S111" s="23"/>
      <c r="T111" s="12">
        <v>20</v>
      </c>
      <c r="U111" s="28"/>
      <c r="V111" s="28"/>
      <c r="W111" s="12"/>
      <c r="X111" s="28"/>
      <c r="Y111" s="28"/>
      <c r="Z111" s="12"/>
      <c r="AA111" s="28"/>
      <c r="AB111" s="28"/>
      <c r="AC111" s="158"/>
      <c r="AD111" s="28"/>
      <c r="AE111" s="28"/>
      <c r="AF111" s="158"/>
      <c r="AG111" s="28"/>
      <c r="AH111" s="28"/>
      <c r="AI111" s="29"/>
      <c r="AJ111" s="6">
        <f>PI()/4*T111^2*$O$12/$AX$16</f>
        <v>2094.3951023931954</v>
      </c>
      <c r="AK111" s="28" t="str">
        <f>IF(W111=0,"","+")</f>
        <v/>
      </c>
      <c r="AL111" s="6">
        <f>PI()/4*W111^2*$O$12/$AX$16</f>
        <v>0</v>
      </c>
      <c r="AM111" s="28" t="str">
        <f>IF(Z111=0,"","+")</f>
        <v/>
      </c>
      <c r="AN111" s="6">
        <f>PI()/4*Z111^2*$O$12/$AX$16</f>
        <v>0</v>
      </c>
      <c r="AO111" s="28" t="str">
        <f>IF(AC111=0,"","+")</f>
        <v/>
      </c>
      <c r="AP111" s="6">
        <f>PI()/4*AC111^2*$O$12/$AX$16</f>
        <v>0</v>
      </c>
      <c r="AQ111" s="28" t="str">
        <f>IF(AF111=0,"","+")</f>
        <v/>
      </c>
      <c r="AR111" s="6">
        <f>PI()/4*AF111^2*$O$12/$AX$16</f>
        <v>0</v>
      </c>
      <c r="AS111" s="28" t="str">
        <f>IF(AI111=0,"","+")</f>
        <v/>
      </c>
      <c r="AT111" s="6">
        <f>PI()/4*AI111^2*$O$12/$AX$16</f>
        <v>0</v>
      </c>
      <c r="AU111" s="28" t="s">
        <v>24</v>
      </c>
      <c r="AV111" s="15">
        <f>VALUE(AJ111)+VALUE(AL111)+VALUE(AN111)+VALUE(AP111)+VALUE(AR111)+VALUE(AT111)</f>
        <v>2094.3951023931954</v>
      </c>
      <c r="AW111" s="228">
        <f>MAX(0.3*$AJ$14^(2/3)/$AJ$16*0.26*100,0.13)</f>
        <v>0.15723814702688016</v>
      </c>
      <c r="AX111" s="6">
        <f>AW111/100*$O$12*BK111</f>
        <v>1426.1499935338031</v>
      </c>
      <c r="AY111" s="6"/>
      <c r="AZ111" s="6"/>
      <c r="BA111" s="24" t="str">
        <f>IF(BB111=0,"","+")</f>
        <v/>
      </c>
      <c r="BB111" s="24"/>
      <c r="BC111" s="28" t="s">
        <v>24</v>
      </c>
      <c r="BD111" s="15">
        <f>AX111+AZ111+BB111</f>
        <v>1426.1499935338031</v>
      </c>
      <c r="BE111" s="2">
        <f>(R111-($AX$14+$O$16+T111/2))</f>
        <v>907</v>
      </c>
      <c r="BF111" s="3">
        <f>IF(W111=0,0,(R111-($AX$14+T111/2+$O$16+$BI$16)))</f>
        <v>0</v>
      </c>
      <c r="BG111" s="3">
        <f>IF(Z111=0,0,(R111-($AX$14+T111/2+$BI$16+$O$16+$BI$17)))</f>
        <v>0</v>
      </c>
      <c r="BH111" s="3">
        <f>IF(AC111=0,0,(R111-($AX$14+T111/2+$O$16+$BI$16+$BI$17+$BI$18)))</f>
        <v>0</v>
      </c>
      <c r="BI111" s="3">
        <f>IF(AF111=0,0,(R111-($AX$14+T111/2+$O$16+$BI$16+$BI$17+$BI$18+$BL$16)))</f>
        <v>0</v>
      </c>
      <c r="BJ111" s="3">
        <f>IF(AI111=0,0,(R111-($AX$14+T111/2+$O$16+$BI$16+$BI$17+$BI$18+$BL$16+$BL$17)))</f>
        <v>0</v>
      </c>
      <c r="BK111" s="6">
        <f>(BE111*AJ111+BF111*AL111+BG111*AN111+BH111*AP111+BI111*AR111+BJ111*AT111)/AV111</f>
        <v>907</v>
      </c>
      <c r="BL111" s="175" t="e">
        <f>ABS(N111)*1000000/$O$12/BK111^2</f>
        <v>#N/A</v>
      </c>
      <c r="BM111" s="175" t="e">
        <f>BL111/$AJ$14</f>
        <v>#N/A</v>
      </c>
      <c r="BN111" s="21" t="e">
        <f>IF(BM111&lt;0.167,0.5+SQRT(0.25-(BM111/1.134)),0.82)</f>
        <v>#N/A</v>
      </c>
      <c r="BO111" s="15" t="e">
        <f>ABS(N111)/(0.87*$AJ$16*BN111*BK111)*10^6</f>
        <v>#N/A</v>
      </c>
      <c r="BP111" s="22">
        <v>2063.0366662066817</v>
      </c>
      <c r="BQ111" s="175" t="e">
        <f>IF(Q111=0,2*ABS(P111*10^6)/$O$12/BP111/(BK111-BP111/3),Q111*BP111*1000/($O$12/2*BP111^2-(BE111-BP111)*AJ111*$AJ$18-(BF111-BP111)*AL111*$AJ$18-(BG111-BP111)*AN111*$AJ$18-(BH111-BP111)*AP111*$AJ$18-(BI111-BP111)*AR111*$AJ$18-(BJ111-BP111)*AT111*$AJ$18))</f>
        <v>#N/A</v>
      </c>
      <c r="BR111" s="3" t="e">
        <f>0.5*$O$12*BP111*BQ111 /1000</f>
        <v>#N/A</v>
      </c>
      <c r="BS111" s="3" t="e">
        <f>($BQ111/$BP111)*(BE111-$BP111)*$AJ$18*AJ111/1000</f>
        <v>#N/A</v>
      </c>
      <c r="BT111" s="3" t="e">
        <f>($BQ111/$BP111)*(BF111-$BP111)*$AJ$18*AL111/1000</f>
        <v>#N/A</v>
      </c>
      <c r="BU111" s="3" t="e">
        <f>($BQ111/$BP111)*(BG111-$BP111)*$AJ$18*AN111/1000</f>
        <v>#N/A</v>
      </c>
      <c r="BV111" s="3" t="e">
        <f>($BQ111/$BP111)*(BH111-$BP111)*$AJ$18*AP111/1000</f>
        <v>#N/A</v>
      </c>
      <c r="BW111" s="3" t="e">
        <f>($BQ111/$BP111)*(BI111-$BP111)*$AJ$18*AR111/1000</f>
        <v>#N/A</v>
      </c>
      <c r="BX111" s="3" t="e">
        <f>($BQ111/$BP111)*(BJ111-$BP111)*$AJ$18*AT111/1000</f>
        <v>#N/A</v>
      </c>
      <c r="BY111" s="175" t="e">
        <f>IF(Q111=0,0,(0.5*$O$12*BP111*BQ111/1000*(R111/2-$BP111/3)+BS111*(BE111-R111/2)+BT111*(BF111-R111/2)+BU111*(BG111-R111/2)+BV111*(BH111-R111/2)+BW111*(BI111-R111/2)+BX111*(BJ111-R111/2))/1000-ABS(P111))</f>
        <v>#N/A</v>
      </c>
      <c r="BZ111" s="10"/>
      <c r="CA111" s="176" t="e">
        <f>ABS(P111)/(BK111-BP111/3)/AV111*10^6-Q111*(R111/2-BP111/3)/(BK111-BP111/3)/AV111*1000</f>
        <v>#N/A</v>
      </c>
      <c r="CB111" s="177">
        <f>(AV111/($O$12*MIN(2.5*(R111-BK111),(R111-BP111)/3,R111/2)-AV111))</f>
        <v>-5.8758708147841196E-3</v>
      </c>
      <c r="CC111" s="177">
        <f>3.4*($O$16+$AX$14)+0.425*0.8*0.5*(T111^2+W111^2+Z111^2+AC111^2+AF111^2+AI111^2)/(T111+W111+Z111+AC111+AF111+AI111)/CB111</f>
        <v>-296.43763639005675</v>
      </c>
      <c r="CD111" s="177" t="e">
        <f>MAX(0.6*CA111/$AJ$17,(CA111-0.4*0.3*$AJ$14^(2/3)/CB111*(1+$AJ$17/$AJ$15*CB111))/$AJ$17)</f>
        <v>#N/A</v>
      </c>
      <c r="CE111" s="178" t="e">
        <f>CC111*CD111/1000</f>
        <v>#N/A</v>
      </c>
      <c r="CF111" s="23" t="e">
        <f>IF(AND(AV111&gt;=BD111,AV111&gt;=BO111,CE111&lt;=(+IF(CO111="External",0.25,0.3))),"O.K", "Not O.K")</f>
        <v>#N/A</v>
      </c>
      <c r="CG111" s="28"/>
      <c r="CH111" s="179" t="e">
        <f>IF(O111&lt;0.2*$AJ$14*R111*$O$12/1000,"N &lt; 0.2fckAc - OK!","TBA")</f>
        <v>#N/A</v>
      </c>
      <c r="CI111" s="24">
        <v>96</v>
      </c>
      <c r="CJ111" s="25"/>
      <c r="CK111" s="6" t="e">
        <f t="shared" si="35"/>
        <v>#N/A</v>
      </c>
      <c r="CL111" s="8" t="s">
        <v>72</v>
      </c>
      <c r="CM111" s="6" t="e">
        <f t="shared" si="36"/>
        <v>#N/A</v>
      </c>
      <c r="CN111" s="26" t="s">
        <v>148</v>
      </c>
      <c r="CO111" s="15" t="e">
        <f>IF(VLOOKUP(CI111,'Summary-input'!A:C,3,0)="Outward",
IF(CP111&lt;0,"External","Internal"),
IF(CP111&lt;0,"Internal","External")
)</f>
        <v>#N/A</v>
      </c>
      <c r="CP111" t="e">
        <f>VLOOKUP(CI111&amp;CN111,'Summary-output-ULS'!A:G,6,0)</f>
        <v>#N/A</v>
      </c>
      <c r="CQ111" t="e">
        <f>VLOOKUP(CI111&amp;CN111,'Summary-output-ULS'!A:G,7,0)</f>
        <v>#N/A</v>
      </c>
      <c r="CR111" s="3" t="e">
        <f>VLOOKUP(CI111&amp;CN111,'Summary-output-SLS'!A:G,6,0)</f>
        <v>#N/A</v>
      </c>
      <c r="CS111" s="3" t="e">
        <f>VLOOKUP(CI111&amp;CN111,'Summary-output-SLS'!A:G,7,0)</f>
        <v>#N/A</v>
      </c>
      <c r="CT111" s="20">
        <v>1000</v>
      </c>
      <c r="CU111" s="2" t="e">
        <f>VLOOKUP(CI111&amp;CN111,'Summary-output-ULS'!A:G,5,0)</f>
        <v>#N/A</v>
      </c>
      <c r="CV111" s="15" t="e">
        <f>VLOOKUP(CI111&amp;CN111,'Summary-output-SLS'!A:G,5,0)</f>
        <v>#N/A</v>
      </c>
      <c r="CW111" s="6"/>
      <c r="CX111" s="278"/>
      <c r="CY111" s="6"/>
      <c r="CZ111" s="6"/>
      <c r="DA111" s="6"/>
      <c r="DB111" s="6"/>
      <c r="DC111" s="6"/>
      <c r="DD111" s="6"/>
      <c r="DE111" s="6"/>
      <c r="DF111" s="6"/>
      <c r="DG111" s="6"/>
      <c r="DH111" s="6"/>
      <c r="DI111" s="6"/>
      <c r="DJ111" s="212"/>
      <c r="DK111" s="13"/>
      <c r="DL111" s="13"/>
      <c r="DM111" s="202"/>
      <c r="DN111" s="206" t="e">
        <f>IF(CO111="external",T111,0)</f>
        <v>#N/A</v>
      </c>
      <c r="DO111" s="206" t="e">
        <f>IF(CO111="external",W111,0)</f>
        <v>#N/A</v>
      </c>
      <c r="DP111" s="206" t="e">
        <f>IF(CO111="external",Z111,0)</f>
        <v>#N/A</v>
      </c>
      <c r="DQ111" s="206" t="e">
        <f>IF(CO111="external",AC111,0)</f>
        <v>#N/A</v>
      </c>
      <c r="DR111" s="206" t="e">
        <f>IF(CO111="external",AF111,0)</f>
        <v>#N/A</v>
      </c>
      <c r="DS111" s="207" t="e">
        <f>IF(CO111="external",AI111,0)</f>
        <v>#N/A</v>
      </c>
      <c r="DT111" s="208"/>
      <c r="DU111" s="207" t="e">
        <f>IF(CO111="internal",T111,0)</f>
        <v>#N/A</v>
      </c>
      <c r="DV111" s="207" t="e">
        <f>IF(CO111="internal",W111,0)</f>
        <v>#N/A</v>
      </c>
      <c r="DW111" s="207" t="e">
        <f>IF(CO111="internal",Z111,0)</f>
        <v>#N/A</v>
      </c>
      <c r="DX111" s="207" t="e">
        <f>IF(CO111="internal",AC111,0)</f>
        <v>#N/A</v>
      </c>
      <c r="DY111" s="207" t="e">
        <f>IF(CO111="internal",AF111,0)</f>
        <v>#N/A</v>
      </c>
      <c r="DZ111" s="207" t="e">
        <f>IF(CO111="internal",AI111,0)</f>
        <v>#N/A</v>
      </c>
    </row>
    <row r="112" spans="1:131" s="7" customFormat="1" x14ac:dyDescent="0.3">
      <c r="B112" s="19">
        <f t="shared" si="176"/>
        <v>96</v>
      </c>
      <c r="C112" s="6">
        <f t="shared" si="171"/>
        <v>0</v>
      </c>
      <c r="D112" s="6" t="e">
        <f t="shared" si="171"/>
        <v>#N/A</v>
      </c>
      <c r="E112" s="6" t="str">
        <f t="shared" si="171"/>
        <v>--</v>
      </c>
      <c r="F112" s="6" t="e">
        <f>+CM112</f>
        <v>#N/A</v>
      </c>
      <c r="G112" s="174" t="str">
        <f t="shared" si="172"/>
        <v>Max Fx</v>
      </c>
      <c r="H112" s="6" t="e">
        <f t="shared" si="172"/>
        <v>#N/A</v>
      </c>
      <c r="I112" s="156"/>
      <c r="J112" s="10" t="e">
        <f t="shared" si="173"/>
        <v>#N/A</v>
      </c>
      <c r="K112" s="10" t="e">
        <f t="shared" si="173"/>
        <v>#N/A</v>
      </c>
      <c r="L112" s="10" t="e">
        <f t="shared" si="173"/>
        <v>#N/A</v>
      </c>
      <c r="M112" s="10" t="e">
        <f t="shared" si="173"/>
        <v>#N/A</v>
      </c>
      <c r="N112" s="10" t="e">
        <f>IF(I112*J112&gt;=0,J112*$J$19+I112*$J$18,J112)</f>
        <v>#N/A</v>
      </c>
      <c r="O112" s="10" t="e">
        <f>(K112)*$J$19</f>
        <v>#N/A</v>
      </c>
      <c r="P112" s="14" t="e">
        <f>IF(I112*L112&gt;=0,(L112)+I112,L112)</f>
        <v>#N/A</v>
      </c>
      <c r="Q112" s="3" t="e">
        <f>(M112)</f>
        <v>#N/A</v>
      </c>
      <c r="R112" s="20">
        <f t="shared" si="177"/>
        <v>1000</v>
      </c>
      <c r="S112" s="23"/>
      <c r="T112" s="12">
        <v>20</v>
      </c>
      <c r="U112" s="28"/>
      <c r="V112" s="28"/>
      <c r="W112" s="12"/>
      <c r="X112" s="28"/>
      <c r="Y112" s="28"/>
      <c r="Z112" s="12"/>
      <c r="AA112" s="28"/>
      <c r="AB112" s="28"/>
      <c r="AC112" s="158"/>
      <c r="AD112" s="28"/>
      <c r="AE112" s="28"/>
      <c r="AF112" s="158"/>
      <c r="AG112" s="28"/>
      <c r="AH112" s="28"/>
      <c r="AI112" s="29"/>
      <c r="AJ112" s="6">
        <f>PI()/4*T112^2*$O$12/$AX$16</f>
        <v>2094.3951023931954</v>
      </c>
      <c r="AK112" s="28" t="str">
        <f>IF(W112=0,"","+")</f>
        <v/>
      </c>
      <c r="AL112" s="6">
        <f>PI()/4*W112^2*$O$12/$AX$16</f>
        <v>0</v>
      </c>
      <c r="AM112" s="28" t="str">
        <f>IF(Z112=0,"","+")</f>
        <v/>
      </c>
      <c r="AN112" s="6">
        <f>PI()/4*Z112^2*$O$12/$AX$16</f>
        <v>0</v>
      </c>
      <c r="AO112" s="28" t="str">
        <f>IF(AC112=0,"","+")</f>
        <v/>
      </c>
      <c r="AP112" s="6">
        <f>PI()/4*AC112^2*$O$12/$AX$16</f>
        <v>0</v>
      </c>
      <c r="AQ112" s="28" t="str">
        <f>IF(AF112=0,"","+")</f>
        <v/>
      </c>
      <c r="AR112" s="6">
        <f>PI()/4*AF112^2*$O$12/$AX$16</f>
        <v>0</v>
      </c>
      <c r="AS112" s="28" t="str">
        <f>IF(AI112=0,"","+")</f>
        <v/>
      </c>
      <c r="AT112" s="6">
        <f>PI()/4*AI112^2*$O$12/$AX$16</f>
        <v>0</v>
      </c>
      <c r="AU112" s="28" t="s">
        <v>24</v>
      </c>
      <c r="AV112" s="15">
        <f>VALUE(AJ112)+VALUE(AL112)+VALUE(AN112)+VALUE(AP112)+VALUE(AR112)+VALUE(AT112)</f>
        <v>2094.3951023931954</v>
      </c>
      <c r="AW112" s="228">
        <f>MAX(0.3*$AJ$14^(2/3)/$AJ$16*0.26*100,0.13)</f>
        <v>0.15723814702688016</v>
      </c>
      <c r="AX112" s="6">
        <f>AW112/100*$O$12*BK112</f>
        <v>1426.1499935338031</v>
      </c>
      <c r="AY112" s="6"/>
      <c r="AZ112" s="6"/>
      <c r="BA112" s="24" t="str">
        <f>IF(BB112=0,"","+")</f>
        <v/>
      </c>
      <c r="BB112" s="24"/>
      <c r="BC112" s="28" t="s">
        <v>24</v>
      </c>
      <c r="BD112" s="15">
        <f>AX112+AZ112+BB112</f>
        <v>1426.1499935338031</v>
      </c>
      <c r="BE112" s="2">
        <f>(R112-($AX$14+$O$16+T112/2))</f>
        <v>907</v>
      </c>
      <c r="BF112" s="3">
        <f>IF(W112=0,0,(R112-($AX$14+T112/2+$O$16+$BI$16)))</f>
        <v>0</v>
      </c>
      <c r="BG112" s="3">
        <f>IF(Z112=0,0,(R112-($AX$14+T112/2+$BI$16+$O$16+$BI$17)))</f>
        <v>0</v>
      </c>
      <c r="BH112" s="3">
        <f>IF(AC112=0,0,(R112-($AX$14+T112/2+$O$16+$BI$16+$BI$17+$BI$18)))</f>
        <v>0</v>
      </c>
      <c r="BI112" s="3">
        <f>IF(AF112=0,0,(R112-($AX$14+T112/2+$O$16+$BI$16+$BI$17+$BI$18+$BL$16)))</f>
        <v>0</v>
      </c>
      <c r="BJ112" s="3">
        <f>IF(AI112=0,0,(R112-($AX$14+T112/2+$O$16+$BI$16+$BI$17+$BI$18+$BL$16+$BL$17)))</f>
        <v>0</v>
      </c>
      <c r="BK112" s="6">
        <f>(BE112*AJ112+BF112*AL112+BG112*AN112+BH112*AP112+BI112*AR112+BJ112*AT112)/AV112</f>
        <v>907</v>
      </c>
      <c r="BL112" s="175" t="e">
        <f>ABS(N112)*1000000/$O$12/BK112^2</f>
        <v>#N/A</v>
      </c>
      <c r="BM112" s="175" t="e">
        <f>BL112/$AJ$14</f>
        <v>#N/A</v>
      </c>
      <c r="BN112" s="21" t="e">
        <f>IF(BM112&lt;0.167,0.5+SQRT(0.25-(BM112/1.134)),0.82)</f>
        <v>#N/A</v>
      </c>
      <c r="BO112" s="15" t="e">
        <f>ABS(N112)/(0.87*$AJ$16*BN112*BK112)*10^6</f>
        <v>#N/A</v>
      </c>
      <c r="BP112" s="22">
        <v>3269.7667436874776</v>
      </c>
      <c r="BQ112" s="175" t="e">
        <f>IF(Q112=0,2*ABS(P112*10^6)/$O$12/BP112/(BK112-BP112/3),Q112*BP112*1000/($O$12/2*BP112^2-(BE112-BP112)*AJ112*$AJ$18-(BF112-BP112)*AL112*$AJ$18-(BG112-BP112)*AN112*$AJ$18-(BH112-BP112)*AP112*$AJ$18-(BI112-BP112)*AR112*$AJ$18-(BJ112-BP112)*AT112*$AJ$18))</f>
        <v>#N/A</v>
      </c>
      <c r="BR112" s="3" t="e">
        <f>0.5*$O$12*BP112*BQ112 /1000</f>
        <v>#N/A</v>
      </c>
      <c r="BS112" s="3" t="e">
        <f>($BQ112/$BP112)*(BE112-$BP112)*$AJ$18*AJ112/1000</f>
        <v>#N/A</v>
      </c>
      <c r="BT112" s="3" t="e">
        <f>($BQ112/$BP112)*(BF112-$BP112)*$AJ$18*AL112/1000</f>
        <v>#N/A</v>
      </c>
      <c r="BU112" s="3" t="e">
        <f>($BQ112/$BP112)*(BG112-$BP112)*$AJ$18*AN112/1000</f>
        <v>#N/A</v>
      </c>
      <c r="BV112" s="3" t="e">
        <f>($BQ112/$BP112)*(BH112-$BP112)*$AJ$18*AP112/1000</f>
        <v>#N/A</v>
      </c>
      <c r="BW112" s="3" t="e">
        <f>($BQ112/$BP112)*(BI112-$BP112)*$AJ$18*AR112/1000</f>
        <v>#N/A</v>
      </c>
      <c r="BX112" s="3" t="e">
        <f>($BQ112/$BP112)*(BJ112-$BP112)*$AJ$18*AT112/1000</f>
        <v>#N/A</v>
      </c>
      <c r="BY112" s="175" t="e">
        <f>IF(Q112=0,0,(0.5*$O$12*BP112*BQ112/1000*(R112/2-$BP112/3)+BS112*(BE112-R112/2)+BT112*(BF112-R112/2)+BU112*(BG112-R112/2)+BV112*(BH112-R112/2)+BW112*(BI112-R112/2)+BX112*(BJ112-R112/2))/1000-ABS(P112))</f>
        <v>#N/A</v>
      </c>
      <c r="BZ112" s="10"/>
      <c r="CA112" s="176" t="e">
        <f>ABS(P112)/(BK112-BP112/3)/AV112*10^6-Q112*(R112/2-BP112/3)/(BK112-BP112/3)/AV112*1000</f>
        <v>#N/A</v>
      </c>
      <c r="CB112" s="177">
        <f>(AV112/($O$12*MIN(2.5*(R112-BK112),(R112-BP112)/3,R112/2)-AV112))</f>
        <v>-2.7605656743896214E-3</v>
      </c>
      <c r="CC112" s="177">
        <f>3.4*($O$16+$AX$14)+0.425*0.8*0.5*(T112^2+W112^2+Z112^2+AC112^2+AF112^2+AI112^2)/(T112+W112+Z112+AC112+AF112+AI112)/CB112</f>
        <v>-949.43162953975411</v>
      </c>
      <c r="CD112" s="177" t="e">
        <f>MAX(0.6*CA112/$AJ$17,(CA112-0.4*0.3*$AJ$14^(2/3)/CB112*(1+$AJ$17/$AJ$15*CB112))/$AJ$17)</f>
        <v>#N/A</v>
      </c>
      <c r="CE112" s="178" t="e">
        <f>CC112*CD112/1000</f>
        <v>#N/A</v>
      </c>
      <c r="CF112" s="23" t="e">
        <f>IF(AND(AV112&gt;=BD112,AV112&gt;=BO112,CE112&lt;=(+IF(CO112="External",0.25,0.3))),"O.K", "Not O.K")</f>
        <v>#N/A</v>
      </c>
      <c r="CG112" s="28"/>
      <c r="CH112" s="179" t="e">
        <f>IF(O112&lt;0.2*$AJ$14*R112*$O$12/1000,"N &lt; 0.2fckAc - OK!","TBA")</f>
        <v>#N/A</v>
      </c>
      <c r="CI112" s="24">
        <v>96</v>
      </c>
      <c r="CJ112" s="25"/>
      <c r="CK112" s="6" t="e">
        <f t="shared" si="35"/>
        <v>#N/A</v>
      </c>
      <c r="CL112" s="8" t="s">
        <v>72</v>
      </c>
      <c r="CM112" s="6" t="e">
        <f t="shared" si="36"/>
        <v>#N/A</v>
      </c>
      <c r="CN112" s="26" t="s">
        <v>145</v>
      </c>
      <c r="CO112" s="15" t="e">
        <f>IF(VLOOKUP(CI112,'Summary-input'!A:C,3,0)="Outward",
IF(CP112&lt;0,"External","Internal"),
IF(CP112&lt;0,"Internal","External")
)</f>
        <v>#N/A</v>
      </c>
      <c r="CP112" t="e">
        <f>VLOOKUP(CI112&amp;CN112,'Summary-output-ULS'!A:G,6,0)</f>
        <v>#N/A</v>
      </c>
      <c r="CQ112" t="e">
        <f>VLOOKUP(CI112&amp;CN112,'Summary-output-ULS'!A:G,7,0)</f>
        <v>#N/A</v>
      </c>
      <c r="CR112" s="3" t="e">
        <f>VLOOKUP(CI112&amp;CN112,'Summary-output-SLS'!A:G,6,0)</f>
        <v>#N/A</v>
      </c>
      <c r="CS112" s="3" t="e">
        <f>VLOOKUP(CI112&amp;CN112,'Summary-output-SLS'!A:G,7,0)</f>
        <v>#N/A</v>
      </c>
      <c r="CT112" s="20">
        <v>1000</v>
      </c>
      <c r="CU112" s="2" t="e">
        <f>VLOOKUP(CI112&amp;CN112,'Summary-output-ULS'!A:G,5,0)</f>
        <v>#N/A</v>
      </c>
      <c r="CV112" s="15" t="e">
        <f>VLOOKUP(CI112&amp;CN112,'Summary-output-SLS'!A:G,5,0)</f>
        <v>#N/A</v>
      </c>
      <c r="CW112" s="6"/>
      <c r="CX112" s="278"/>
      <c r="CY112" s="6"/>
      <c r="CZ112" s="6"/>
      <c r="DA112" s="6"/>
      <c r="DB112" s="6"/>
      <c r="DC112" s="6"/>
      <c r="DD112" s="6"/>
      <c r="DE112" s="6"/>
      <c r="DF112" s="6"/>
      <c r="DG112" s="6"/>
      <c r="DH112" s="6"/>
      <c r="DI112" s="6"/>
      <c r="DJ112" s="212"/>
      <c r="DK112" s="13"/>
      <c r="DL112" s="13"/>
      <c r="DM112" s="202"/>
      <c r="DN112" s="206" t="e">
        <f>IF(CO112="external",T112,0)</f>
        <v>#N/A</v>
      </c>
      <c r="DO112" s="206" t="e">
        <f>IF(CO112="external",W112,0)</f>
        <v>#N/A</v>
      </c>
      <c r="DP112" s="206" t="e">
        <f>IF(CO112="external",Z112,0)</f>
        <v>#N/A</v>
      </c>
      <c r="DQ112" s="206" t="e">
        <f>IF(CO112="external",AC112,0)</f>
        <v>#N/A</v>
      </c>
      <c r="DR112" s="206" t="e">
        <f>IF(CO112="external",AF112,0)</f>
        <v>#N/A</v>
      </c>
      <c r="DS112" s="207" t="e">
        <f>IF(CO112="external",AI112,0)</f>
        <v>#N/A</v>
      </c>
      <c r="DT112" s="208"/>
      <c r="DU112" s="207" t="e">
        <f>IF(CO112="internal",T112,0)</f>
        <v>#N/A</v>
      </c>
      <c r="DV112" s="207" t="e">
        <f>IF(CO112="internal",W112,0)</f>
        <v>#N/A</v>
      </c>
      <c r="DW112" s="207" t="e">
        <f>IF(CO112="internal",Z112,0)</f>
        <v>#N/A</v>
      </c>
      <c r="DX112" s="207" t="e">
        <f>IF(CO112="internal",AC112,0)</f>
        <v>#N/A</v>
      </c>
      <c r="DY112" s="207" t="e">
        <f>IF(CO112="internal",AF112,0)</f>
        <v>#N/A</v>
      </c>
      <c r="DZ112" s="207" t="e">
        <f>IF(CO112="internal",AI112,0)</f>
        <v>#N/A</v>
      </c>
    </row>
    <row r="113" spans="1:130" s="7" customFormat="1" x14ac:dyDescent="0.3">
      <c r="B113" s="19">
        <f t="shared" si="176"/>
        <v>96</v>
      </c>
      <c r="C113" s="6">
        <f t="shared" si="171"/>
        <v>0</v>
      </c>
      <c r="D113" s="6" t="e">
        <f t="shared" si="171"/>
        <v>#N/A</v>
      </c>
      <c r="E113" s="6" t="str">
        <f t="shared" si="171"/>
        <v>--</v>
      </c>
      <c r="F113" s="6" t="e">
        <f>+CM113</f>
        <v>#N/A</v>
      </c>
      <c r="G113" s="174" t="str">
        <f t="shared" si="172"/>
        <v>Min Fx</v>
      </c>
      <c r="H113" s="6" t="e">
        <f t="shared" si="172"/>
        <v>#N/A</v>
      </c>
      <c r="I113" s="156"/>
      <c r="J113" s="10" t="e">
        <f t="shared" si="173"/>
        <v>#N/A</v>
      </c>
      <c r="K113" s="10" t="e">
        <f t="shared" si="173"/>
        <v>#N/A</v>
      </c>
      <c r="L113" s="10" t="e">
        <f t="shared" si="173"/>
        <v>#N/A</v>
      </c>
      <c r="M113" s="10" t="e">
        <f t="shared" si="173"/>
        <v>#N/A</v>
      </c>
      <c r="N113" s="10" t="e">
        <f>IF(I113*J113&gt;=0,J113*$J$19+I113*$J$18,J113)</f>
        <v>#N/A</v>
      </c>
      <c r="O113" s="10" t="e">
        <f>(K113)*$J$19</f>
        <v>#N/A</v>
      </c>
      <c r="P113" s="14" t="e">
        <f>IF(I113*L113&gt;=0,(L113)+I113,L113)</f>
        <v>#N/A</v>
      </c>
      <c r="Q113" s="3" t="e">
        <f>(M113)</f>
        <v>#N/A</v>
      </c>
      <c r="R113" s="20">
        <f t="shared" si="177"/>
        <v>1000</v>
      </c>
      <c r="S113" s="23"/>
      <c r="T113" s="12">
        <v>40</v>
      </c>
      <c r="U113" s="28"/>
      <c r="V113" s="28"/>
      <c r="W113" s="12">
        <v>40</v>
      </c>
      <c r="X113" s="28"/>
      <c r="Y113" s="28"/>
      <c r="Z113" s="12">
        <v>16</v>
      </c>
      <c r="AA113" s="28"/>
      <c r="AB113" s="28"/>
      <c r="AC113" s="158"/>
      <c r="AD113" s="28"/>
      <c r="AE113" s="28"/>
      <c r="AF113" s="158"/>
      <c r="AG113" s="28"/>
      <c r="AH113" s="28"/>
      <c r="AI113" s="29"/>
      <c r="AJ113" s="6">
        <f>PI()/4*T113^2*$O$12/$AX$16</f>
        <v>8377.5804095727817</v>
      </c>
      <c r="AK113" s="28" t="str">
        <f>IF(W113=0,"","+")</f>
        <v>+</v>
      </c>
      <c r="AL113" s="6">
        <f>PI()/4*W113^2*$O$12/$AX$16</f>
        <v>8377.5804095727817</v>
      </c>
      <c r="AM113" s="28" t="str">
        <f>IF(Z113=0,"","+")</f>
        <v>+</v>
      </c>
      <c r="AN113" s="6">
        <f>PI()/4*Z113^2*$O$12/$AX$16</f>
        <v>1340.4128655316449</v>
      </c>
      <c r="AO113" s="28" t="str">
        <f>IF(AC113=0,"","+")</f>
        <v/>
      </c>
      <c r="AP113" s="6">
        <f>PI()/4*AC113^2*$O$12/$AX$16</f>
        <v>0</v>
      </c>
      <c r="AQ113" s="28" t="str">
        <f>IF(AF113=0,"","+")</f>
        <v/>
      </c>
      <c r="AR113" s="6">
        <f>PI()/4*AF113^2*$O$12/$AX$16</f>
        <v>0</v>
      </c>
      <c r="AS113" s="28" t="str">
        <f>IF(AI113=0,"","+")</f>
        <v/>
      </c>
      <c r="AT113" s="6">
        <f>PI()/4*AI113^2*$O$12/$AX$16</f>
        <v>0</v>
      </c>
      <c r="AU113" s="28" t="s">
        <v>24</v>
      </c>
      <c r="AV113" s="15">
        <f>VALUE(AJ113)+VALUE(AL113)+VALUE(AN113)+VALUE(AP113)+VALUE(AR113)+VALUE(AT113)</f>
        <v>18095.573684677209</v>
      </c>
      <c r="AW113" s="228">
        <f>MAX(0.3*$AJ$14^(2/3)/$AJ$16*0.26*100,0.13)</f>
        <v>0.15723814702688016</v>
      </c>
      <c r="AX113" s="6">
        <f>AW113/100*$O$12*BK113</f>
        <v>1333.5541958401959</v>
      </c>
      <c r="AY113" s="6"/>
      <c r="AZ113" s="6"/>
      <c r="BA113" s="24" t="str">
        <f>IF(BB113=0,"","+")</f>
        <v/>
      </c>
      <c r="BB113" s="24"/>
      <c r="BC113" s="28" t="s">
        <v>24</v>
      </c>
      <c r="BD113" s="15">
        <f>AX113+AZ113+BB113</f>
        <v>1333.5541958401959</v>
      </c>
      <c r="BE113" s="2">
        <f>(R113-($AX$14+$O$16+T113/2))</f>
        <v>897</v>
      </c>
      <c r="BF113" s="3">
        <f>IF(W113=0,0,(R113-($AX$14+T113/2+$O$16+$BI$16)))</f>
        <v>817</v>
      </c>
      <c r="BG113" s="3">
        <f>IF(Z113=0,0,(R113-($AX$14+T113/2+$BI$16+$O$16+$BI$17)))</f>
        <v>737</v>
      </c>
      <c r="BH113" s="3">
        <f>IF(AC113=0,0,(R113-($AX$14+T113/2+$O$16+$BI$16+$BI$17+$BI$18)))</f>
        <v>0</v>
      </c>
      <c r="BI113" s="3">
        <f>IF(AF113=0,0,(R113-($AX$14+T113/2+$O$16+$BI$16+$BI$17+$BI$18+$BL$16)))</f>
        <v>0</v>
      </c>
      <c r="BJ113" s="3">
        <f>IF(AI113=0,0,(R113-($AX$14+T113/2+$O$16+$BI$16+$BI$17+$BI$18+$BL$16+$BL$17)))</f>
        <v>0</v>
      </c>
      <c r="BK113" s="6">
        <f>(BE113*AJ113+BF113*AL113+BG113*AN113+BH113*AP113+BI113*AR113+BJ113*AT113)/AV113</f>
        <v>848.11111111111109</v>
      </c>
      <c r="BL113" s="175" t="e">
        <f>ABS(N113)*1000000/$O$12/BK113^2</f>
        <v>#N/A</v>
      </c>
      <c r="BM113" s="175" t="e">
        <f>BL113/$AJ$14</f>
        <v>#N/A</v>
      </c>
      <c r="BN113" s="21" t="e">
        <f>IF(BM113&lt;0.167,0.5+SQRT(0.25-(BM113/1.134)),0.82)</f>
        <v>#N/A</v>
      </c>
      <c r="BO113" s="15" t="e">
        <f>ABS(N113)/(0.87*$AJ$16*BN113*BK113)*10^6</f>
        <v>#N/A</v>
      </c>
      <c r="BP113" s="22">
        <v>436.82454510539384</v>
      </c>
      <c r="BQ113" s="175" t="e">
        <f>IF(Q113=0,2*ABS(P113*10^6)/$O$12/BP113/(BK113-BP113/3),Q113*BP113*1000/($O$12/2*BP113^2-(BE113-BP113)*AJ113*$AJ$18-(BF113-BP113)*AL113*$AJ$18-(BG113-BP113)*AN113*$AJ$18-(BH113-BP113)*AP113*$AJ$18-(BI113-BP113)*AR113*$AJ$18-(BJ113-BP113)*AT113*$AJ$18))</f>
        <v>#N/A</v>
      </c>
      <c r="BR113" s="3" t="e">
        <f>0.5*$O$12*BP113*BQ113 /1000</f>
        <v>#N/A</v>
      </c>
      <c r="BS113" s="3" t="e">
        <f>($BQ113/$BP113)*(BE113-$BP113)*$AJ$18*AJ113/1000</f>
        <v>#N/A</v>
      </c>
      <c r="BT113" s="3" t="e">
        <f>($BQ113/$BP113)*(BF113-$BP113)*$AJ$18*AL113/1000</f>
        <v>#N/A</v>
      </c>
      <c r="BU113" s="3" t="e">
        <f>($BQ113/$BP113)*(BG113-$BP113)*$AJ$18*AN113/1000</f>
        <v>#N/A</v>
      </c>
      <c r="BV113" s="3" t="e">
        <f>($BQ113/$BP113)*(BH113-$BP113)*$AJ$18*AP113/1000</f>
        <v>#N/A</v>
      </c>
      <c r="BW113" s="3" t="e">
        <f>($BQ113/$BP113)*(BI113-$BP113)*$AJ$18*AR113/1000</f>
        <v>#N/A</v>
      </c>
      <c r="BX113" s="3" t="e">
        <f>($BQ113/$BP113)*(BJ113-$BP113)*$AJ$18*AT113/1000</f>
        <v>#N/A</v>
      </c>
      <c r="BY113" s="175" t="e">
        <f>IF(Q113=0,0,(0.5*$O$12*BP113*BQ113/1000*(R113/2-$BP113/3)+BS113*(BE113-R113/2)+BT113*(BF113-R113/2)+BU113*(BG113-R113/2)+BV113*(BH113-R113/2)+BW113*(BI113-R113/2)+BX113*(BJ113-R113/2))/1000-ABS(P113))</f>
        <v>#N/A</v>
      </c>
      <c r="BZ113" s="10"/>
      <c r="CA113" s="176" t="e">
        <f>ABS(P113)/(BK113-BP113/3)/AV113*10^6-Q113*(R113/2-BP113/3)/(BK113-BP113/3)/AV113*1000</f>
        <v>#N/A</v>
      </c>
      <c r="CB113" s="177">
        <f>(AV113/($O$12*MIN(2.5*(R113-BK113),(R113-BP113)/3,R113/2)-AV113))</f>
        <v>0.10667699527228805</v>
      </c>
      <c r="CC113" s="177">
        <f>3.4*($O$16+$AX$14)+0.425*0.8*0.5*(T113^2+W113^2+Z113^2+AC113^2+AF113^2+AI113^2)/(T113+W113+Z113+AC113+AF113+AI113)/CB113</f>
        <v>339.56944487777321</v>
      </c>
      <c r="CD113" s="177" t="e">
        <f>MAX(0.6*CA113/$AJ$17,(CA113-0.4*0.3*$AJ$14^(2/3)/CB113*(1+$AJ$17/$AJ$15*CB113))/$AJ$17)</f>
        <v>#N/A</v>
      </c>
      <c r="CE113" s="178" t="e">
        <f>CC113*CD113/1000</f>
        <v>#N/A</v>
      </c>
      <c r="CF113" s="23" t="e">
        <f>IF(AND(AV113&gt;=BD113,AV113&gt;=BO113,CE113&lt;=(+IF(CO113="External",0.25,0.3))),"O.K", "Not O.K")</f>
        <v>#N/A</v>
      </c>
      <c r="CG113" s="28"/>
      <c r="CH113" s="179" t="e">
        <f>IF(O113&lt;0.2*$AJ$14*R113*$O$12/1000,"N &lt; 0.2fckAc - OK!","TBA")</f>
        <v>#N/A</v>
      </c>
      <c r="CI113" s="24">
        <v>96</v>
      </c>
      <c r="CJ113" s="25"/>
      <c r="CK113" s="6" t="e">
        <f t="shared" si="35"/>
        <v>#N/A</v>
      </c>
      <c r="CL113" s="8" t="s">
        <v>72</v>
      </c>
      <c r="CM113" s="6" t="e">
        <f t="shared" si="36"/>
        <v>#N/A</v>
      </c>
      <c r="CN113" s="26" t="s">
        <v>146</v>
      </c>
      <c r="CO113" s="15" t="e">
        <f>IF(VLOOKUP(CI113,'Summary-input'!A:C,3,0)="Outward",
IF(CP113&lt;0,"External","Internal"),
IF(CP113&lt;0,"Internal","External")
)</f>
        <v>#N/A</v>
      </c>
      <c r="CP113" t="e">
        <f>VLOOKUP(CI113&amp;CN113,'Summary-output-ULS'!A:G,6,0)</f>
        <v>#N/A</v>
      </c>
      <c r="CQ113" t="e">
        <f>VLOOKUP(CI113&amp;CN113,'Summary-output-ULS'!A:G,7,0)</f>
        <v>#N/A</v>
      </c>
      <c r="CR113" s="3" t="e">
        <f>VLOOKUP(CI113&amp;CN113,'Summary-output-SLS'!A:G,6,0)</f>
        <v>#N/A</v>
      </c>
      <c r="CS113" s="3" t="e">
        <f>VLOOKUP(CI113&amp;CN113,'Summary-output-SLS'!A:G,7,0)</f>
        <v>#N/A</v>
      </c>
      <c r="CT113" s="20">
        <v>1000</v>
      </c>
      <c r="CU113" s="2" t="e">
        <f>VLOOKUP(CI113&amp;CN113,'Summary-output-ULS'!A:G,5,0)</f>
        <v>#N/A</v>
      </c>
      <c r="CV113" s="15" t="e">
        <f>VLOOKUP(CI113&amp;CN113,'Summary-output-SLS'!A:G,5,0)</f>
        <v>#N/A</v>
      </c>
      <c r="CW113" s="6"/>
      <c r="CX113" s="278"/>
      <c r="CY113" s="6"/>
      <c r="CZ113" s="6"/>
      <c r="DA113" s="6"/>
      <c r="DB113" s="6"/>
      <c r="DC113" s="6"/>
      <c r="DD113" s="6"/>
      <c r="DE113" s="6"/>
      <c r="DF113" s="6"/>
      <c r="DG113" s="6"/>
      <c r="DH113" s="6"/>
      <c r="DI113" s="6"/>
      <c r="DJ113" s="212"/>
      <c r="DK113" s="13"/>
      <c r="DL113" s="13"/>
      <c r="DM113" s="202"/>
      <c r="DN113" s="206" t="e">
        <f>IF(CO113="external",T113,0)</f>
        <v>#N/A</v>
      </c>
      <c r="DO113" s="206" t="e">
        <f>IF(CO113="external",W113,0)</f>
        <v>#N/A</v>
      </c>
      <c r="DP113" s="206" t="e">
        <f>IF(CO113="external",Z113,0)</f>
        <v>#N/A</v>
      </c>
      <c r="DQ113" s="206" t="e">
        <f>IF(CO113="external",AC113,0)</f>
        <v>#N/A</v>
      </c>
      <c r="DR113" s="206" t="e">
        <f>IF(CO113="external",AF113,0)</f>
        <v>#N/A</v>
      </c>
      <c r="DS113" s="207" t="e">
        <f>IF(CO113="external",AI113,0)</f>
        <v>#N/A</v>
      </c>
      <c r="DT113" s="208"/>
      <c r="DU113" s="207" t="e">
        <f>IF(CO113="internal",T113,0)</f>
        <v>#N/A</v>
      </c>
      <c r="DV113" s="207" t="e">
        <f>IF(CO113="internal",W113,0)</f>
        <v>#N/A</v>
      </c>
      <c r="DW113" s="207" t="e">
        <f>IF(CO113="internal",Z113,0)</f>
        <v>#N/A</v>
      </c>
      <c r="DX113" s="207" t="e">
        <f>IF(CO113="internal",AC113,0)</f>
        <v>#N/A</v>
      </c>
      <c r="DY113" s="207" t="e">
        <f>IF(CO113="internal",AF113,0)</f>
        <v>#N/A</v>
      </c>
      <c r="DZ113" s="207" t="e">
        <f>IF(CO113="internal",AI113,0)</f>
        <v>#N/A</v>
      </c>
    </row>
    <row r="114" spans="1:130" s="7" customFormat="1" x14ac:dyDescent="0.3">
      <c r="B114" s="19">
        <f t="shared" ref="B114:B118" si="178">+CI114</f>
        <v>0</v>
      </c>
      <c r="C114" s="6"/>
      <c r="D114" s="6"/>
      <c r="E114" s="6"/>
      <c r="F114" s="6"/>
      <c r="G114" s="232"/>
      <c r="H114" s="6"/>
      <c r="I114" s="24"/>
      <c r="J114" s="6"/>
      <c r="K114" s="6"/>
      <c r="L114" s="6"/>
      <c r="M114" s="6"/>
      <c r="N114" s="6"/>
      <c r="O114" s="6"/>
      <c r="P114" s="24"/>
      <c r="Q114" s="6"/>
      <c r="R114" s="6">
        <f t="shared" ref="R114:R118" si="179">CT114</f>
        <v>0</v>
      </c>
      <c r="S114" s="28"/>
      <c r="T114" s="12"/>
      <c r="U114" s="28"/>
      <c r="V114" s="28"/>
      <c r="W114" s="12"/>
      <c r="X114" s="28"/>
      <c r="Y114" s="28"/>
      <c r="Z114" s="12"/>
      <c r="AA114" s="28"/>
      <c r="AB114" s="28"/>
      <c r="AC114" s="158"/>
      <c r="AD114" s="28"/>
      <c r="AE114" s="28"/>
      <c r="AF114" s="158"/>
      <c r="AG114" s="28"/>
      <c r="AH114" s="28"/>
      <c r="AI114" s="12"/>
      <c r="AJ114" s="6"/>
      <c r="AK114" s="28"/>
      <c r="AL114" s="6"/>
      <c r="AM114" s="28"/>
      <c r="AN114" s="6"/>
      <c r="AO114" s="28"/>
      <c r="AP114" s="6"/>
      <c r="AQ114" s="28"/>
      <c r="AR114" s="6"/>
      <c r="AS114" s="28"/>
      <c r="AT114" s="6"/>
      <c r="AU114" s="28"/>
      <c r="AV114" s="6"/>
      <c r="AW114" s="233"/>
      <c r="AX114" s="6"/>
      <c r="AY114" s="6"/>
      <c r="AZ114" s="6"/>
      <c r="BA114" s="24"/>
      <c r="BB114" s="24"/>
      <c r="BC114" s="28"/>
      <c r="BD114" s="6"/>
      <c r="BE114" s="6"/>
      <c r="BF114" s="6"/>
      <c r="BG114" s="6"/>
      <c r="BH114" s="6"/>
      <c r="BI114" s="6"/>
      <c r="BJ114" s="6"/>
      <c r="BK114" s="6"/>
      <c r="BL114" s="231"/>
      <c r="BM114" s="231"/>
      <c r="BN114" s="231"/>
      <c r="BO114" s="6"/>
      <c r="BP114" s="234"/>
      <c r="BQ114" s="231"/>
      <c r="BR114" s="6"/>
      <c r="BS114" s="6"/>
      <c r="BT114" s="6"/>
      <c r="BU114" s="6"/>
      <c r="BV114" s="6"/>
      <c r="BW114" s="6"/>
      <c r="BX114" s="6"/>
      <c r="BY114" s="231"/>
      <c r="BZ114" s="6"/>
      <c r="CA114" s="234"/>
      <c r="CB114" s="235"/>
      <c r="CC114" s="235"/>
      <c r="CD114" s="235"/>
      <c r="CE114" s="235"/>
      <c r="CF114" s="28"/>
      <c r="CG114" s="28"/>
      <c r="CH114" s="173"/>
      <c r="CI114" s="24"/>
      <c r="CJ114" s="25"/>
      <c r="CK114" s="6" t="e">
        <f t="shared" ref="CK114:CK118" si="180">CU114</f>
        <v>#N/A</v>
      </c>
      <c r="CL114" s="8" t="s">
        <v>72</v>
      </c>
      <c r="CM114" s="6" t="e">
        <f t="shared" ref="CM114:CM118" si="181">CV114</f>
        <v>#N/A</v>
      </c>
      <c r="CN114" s="236"/>
      <c r="CO114" s="15" t="e">
        <f>IF(VLOOKUP(CI114,'Summary-input'!A:C,3,0)="Outward",
IF(CP114&lt;0,"External","Internal"),
IF(CP114&lt;0,"Internal","External")
)</f>
        <v>#N/A</v>
      </c>
      <c r="CP114" t="e">
        <f>VLOOKUP(CI114&amp;CN114,'Summary-output-ULS'!A:G,6,0)</f>
        <v>#N/A</v>
      </c>
      <c r="CQ114" t="e">
        <f>VLOOKUP(CI114&amp;CN114,'Summary-output-ULS'!A:G,7,0)</f>
        <v>#N/A</v>
      </c>
      <c r="CR114" s="3" t="e">
        <f>VLOOKUP(CI114&amp;CN114,'Summary-output-SLS'!A:G,6,0)</f>
        <v>#N/A</v>
      </c>
      <c r="CS114" s="3" t="e">
        <f>VLOOKUP(CI114&amp;CN114,'Summary-output-SLS'!A:G,7,0)</f>
        <v>#N/A</v>
      </c>
      <c r="CT114" s="6"/>
      <c r="CU114" s="2" t="e">
        <f>VLOOKUP(CI114&amp;CN114,'Summary-output-ULS'!A:G,5,0)</f>
        <v>#N/A</v>
      </c>
      <c r="CV114" s="15" t="e">
        <f>VLOOKUP(CI114&amp;CN114,'Summary-output-SLS'!A:G,5,0)</f>
        <v>#N/A</v>
      </c>
      <c r="CW114" s="6"/>
      <c r="CX114" s="278"/>
      <c r="CY114" s="6"/>
      <c r="CZ114" s="6"/>
      <c r="DA114" s="6"/>
      <c r="DB114" s="6"/>
      <c r="DC114" s="6"/>
      <c r="DD114" s="6"/>
      <c r="DE114" s="6"/>
      <c r="DF114" s="6"/>
      <c r="DG114" s="6"/>
      <c r="DH114" s="6"/>
      <c r="DI114" s="6"/>
      <c r="DJ114" s="212"/>
      <c r="DK114" s="13"/>
      <c r="DL114" s="13"/>
      <c r="DM114" s="202"/>
      <c r="DN114" s="206"/>
      <c r="DO114" s="206"/>
      <c r="DP114" s="206"/>
      <c r="DQ114" s="206"/>
      <c r="DR114" s="206"/>
      <c r="DS114" s="207"/>
      <c r="DT114" s="208"/>
      <c r="DU114" s="207"/>
      <c r="DV114" s="207"/>
      <c r="DW114" s="207"/>
      <c r="DX114" s="207"/>
      <c r="DY114" s="207"/>
      <c r="DZ114" s="207"/>
    </row>
    <row r="115" spans="1:130" s="7" customFormat="1" ht="13.8" x14ac:dyDescent="0.25">
      <c r="A115" s="7" t="s">
        <v>141</v>
      </c>
      <c r="B115" s="19">
        <f t="shared" si="178"/>
        <v>98</v>
      </c>
      <c r="C115" s="6">
        <f t="shared" ref="C115:C118" si="182">CJ115</f>
        <v>0</v>
      </c>
      <c r="D115" s="6" t="e">
        <f t="shared" ref="D115:D118" si="183">CK115</f>
        <v>#N/A</v>
      </c>
      <c r="E115" s="6" t="str">
        <f t="shared" ref="E115:E118" si="184">CL115</f>
        <v>--</v>
      </c>
      <c r="F115" s="6" t="e">
        <f>+CM115</f>
        <v>#N/A</v>
      </c>
      <c r="G115" s="174" t="str">
        <f t="shared" ref="G115:G118" si="185">CN115</f>
        <v>Max Mz</v>
      </c>
      <c r="H115" s="6" t="e">
        <f t="shared" ref="H115:H118" si="186">CO115</f>
        <v>#N/A</v>
      </c>
      <c r="I115" s="156"/>
      <c r="J115" s="10" t="e">
        <f t="shared" ref="J115:J118" si="187">(CP115)</f>
        <v>#N/A</v>
      </c>
      <c r="K115" s="10" t="e">
        <f t="shared" ref="K115:K118" si="188">(CQ115)</f>
        <v>#N/A</v>
      </c>
      <c r="L115" s="10" t="e">
        <f t="shared" ref="L115:L118" si="189">(CR115)</f>
        <v>#N/A</v>
      </c>
      <c r="M115" s="10" t="e">
        <f t="shared" ref="M115:M118" si="190">(CS115)</f>
        <v>#N/A</v>
      </c>
      <c r="N115" s="10" t="e">
        <f>IF(I115*J115&gt;=0,J115*$J$19+I115*$J$18,J115)</f>
        <v>#N/A</v>
      </c>
      <c r="O115" s="10" t="e">
        <f>(K115)*$J$19</f>
        <v>#N/A</v>
      </c>
      <c r="P115" s="14" t="e">
        <f>IF(I115*L115&gt;=0,(L115)+I115,L115)</f>
        <v>#N/A</v>
      </c>
      <c r="Q115" s="3" t="e">
        <f>(M115)</f>
        <v>#N/A</v>
      </c>
      <c r="R115" s="20">
        <f t="shared" si="179"/>
        <v>1000</v>
      </c>
      <c r="S115" s="23"/>
      <c r="T115" s="12">
        <v>40</v>
      </c>
      <c r="U115" s="28"/>
      <c r="V115" s="28"/>
      <c r="W115" s="12">
        <v>32</v>
      </c>
      <c r="X115" s="28"/>
      <c r="Y115" s="28"/>
      <c r="Z115" s="12"/>
      <c r="AA115" s="28"/>
      <c r="AB115" s="28"/>
      <c r="AC115" s="158"/>
      <c r="AD115" s="28"/>
      <c r="AE115" s="28"/>
      <c r="AF115" s="158"/>
      <c r="AG115" s="28"/>
      <c r="AH115" s="28"/>
      <c r="AI115" s="29"/>
      <c r="AJ115" s="6">
        <f>PI()/4*T115^2*$O$12/$AX$16</f>
        <v>8377.5804095727817</v>
      </c>
      <c r="AK115" s="28" t="str">
        <f>IF(W115=0,"","+")</f>
        <v>+</v>
      </c>
      <c r="AL115" s="6">
        <f>PI()/4*W115^2*$O$12/$AX$16</f>
        <v>5361.6514621265796</v>
      </c>
      <c r="AM115" s="28" t="str">
        <f>IF(Z115=0,"","+")</f>
        <v/>
      </c>
      <c r="AN115" s="6">
        <f>PI()/4*Z115^2*$O$12/$AX$16</f>
        <v>0</v>
      </c>
      <c r="AO115" s="28" t="str">
        <f>IF(AC115=0,"","+")</f>
        <v/>
      </c>
      <c r="AP115" s="6">
        <f>PI()/4*AC115^2*$O$12/$AX$16</f>
        <v>0</v>
      </c>
      <c r="AQ115" s="28" t="str">
        <f>IF(AF115=0,"","+")</f>
        <v/>
      </c>
      <c r="AR115" s="6">
        <f>PI()/4*AF115^2*$O$12/$AX$16</f>
        <v>0</v>
      </c>
      <c r="AS115" s="28" t="str">
        <f>IF(AI115=0,"","+")</f>
        <v/>
      </c>
      <c r="AT115" s="6">
        <f>PI()/4*AI115^2*$O$12/$AX$16</f>
        <v>0</v>
      </c>
      <c r="AU115" s="28" t="s">
        <v>24</v>
      </c>
      <c r="AV115" s="15">
        <f>VALUE(AJ115)+VALUE(AL115)+VALUE(AN115)+VALUE(AP115)+VALUE(AR115)+VALUE(AT115)</f>
        <v>13739.231871699361</v>
      </c>
      <c r="AW115" s="228">
        <f>MAX(0.3*$AJ$14^(2/3)/$AJ$16*0.26*100,0.13)</f>
        <v>0.15723814702688016</v>
      </c>
      <c r="AX115" s="6">
        <f>AW115/100*$O$12*BK115</f>
        <v>1361.3371963446743</v>
      </c>
      <c r="AY115" s="6"/>
      <c r="AZ115" s="6"/>
      <c r="BA115" s="24" t="str">
        <f>IF(BB115=0,"","+")</f>
        <v/>
      </c>
      <c r="BB115" s="24"/>
      <c r="BC115" s="28" t="s">
        <v>24</v>
      </c>
      <c r="BD115" s="15">
        <f>AX115+AZ115+BB115</f>
        <v>1361.3371963446743</v>
      </c>
      <c r="BE115" s="2">
        <f>(R115-($AX$14+$O$16+T115/2))</f>
        <v>897</v>
      </c>
      <c r="BF115" s="3">
        <f>IF(W115=0,0,(R115-($AX$14+T115/2+$O$16+$BI$16)))</f>
        <v>817</v>
      </c>
      <c r="BG115" s="3">
        <f>IF(Z115=0,0,(R115-($AX$14+T115/2+$BI$16+$O$16+$BI$17)))</f>
        <v>0</v>
      </c>
      <c r="BH115" s="3">
        <f>IF(AC115=0,0,(R115-($AX$14+T115/2+$O$16+$BI$16+$BI$17+$BI$18)))</f>
        <v>0</v>
      </c>
      <c r="BI115" s="3">
        <f>IF(AF115=0,0,(R115-($AX$14+T115/2+$O$16+$BI$16+$BI$17+$BI$18+$BL$16)))</f>
        <v>0</v>
      </c>
      <c r="BJ115" s="3">
        <f>IF(AI115=0,0,(R115-($AX$14+T115/2+$O$16+$BI$16+$BI$17+$BI$18+$BL$16+$BL$17)))</f>
        <v>0</v>
      </c>
      <c r="BK115" s="6">
        <f>(BE115*AJ115+BF115*AL115+BG115*AN115+BH115*AP115+BI115*AR115+BJ115*AT115)/AV115</f>
        <v>865.78048780487802</v>
      </c>
      <c r="BL115" s="175" t="e">
        <f>ABS(N115)*1000000/$O$12/BK115^2</f>
        <v>#N/A</v>
      </c>
      <c r="BM115" s="175" t="e">
        <f>BL115/$AJ$14</f>
        <v>#N/A</v>
      </c>
      <c r="BN115" s="21" t="e">
        <f>IF(BM115&lt;0.167,0.5+SQRT(0.25-(BM115/1.134)),0.82)</f>
        <v>#N/A</v>
      </c>
      <c r="BO115" s="15" t="e">
        <f>ABS(N115)/(0.87*$AJ$16*BN115*BK115)*10^6</f>
        <v>#N/A</v>
      </c>
      <c r="BP115" s="22">
        <v>349.85510673399477</v>
      </c>
      <c r="BQ115" s="175" t="e">
        <f>IF(Q115=0,2*ABS(P115*10^6)/$O$12/BP115/(BK115-BP115/3),Q115*BP115*1000/($O$12/2*BP115^2-(BE115-BP115)*AJ115*$AJ$18-(BF115-BP115)*AL115*$AJ$18-(BG115-BP115)*AN115*$AJ$18-(BH115-BP115)*AP115*$AJ$18-(BI115-BP115)*AR115*$AJ$18-(BJ115-BP115)*AT115*$AJ$18))</f>
        <v>#N/A</v>
      </c>
      <c r="BR115" s="3" t="e">
        <f>0.5*$O$12*BP115*BQ115 /1000</f>
        <v>#N/A</v>
      </c>
      <c r="BS115" s="3" t="e">
        <f>($BQ115/$BP115)*(BE115-$BP115)*$AJ$18*AJ115/1000</f>
        <v>#N/A</v>
      </c>
      <c r="BT115" s="3" t="e">
        <f>($BQ115/$BP115)*(BF115-$BP115)*$AJ$18*AL115/1000</f>
        <v>#N/A</v>
      </c>
      <c r="BU115" s="3" t="e">
        <f>($BQ115/$BP115)*(BG115-$BP115)*$AJ$18*AN115/1000</f>
        <v>#N/A</v>
      </c>
      <c r="BV115" s="3" t="e">
        <f>($BQ115/$BP115)*(BH115-$BP115)*$AJ$18*AP115/1000</f>
        <v>#N/A</v>
      </c>
      <c r="BW115" s="3" t="e">
        <f>($BQ115/$BP115)*(BI115-$BP115)*$AJ$18*AR115/1000</f>
        <v>#N/A</v>
      </c>
      <c r="BX115" s="3" t="e">
        <f>($BQ115/$BP115)*(BJ115-$BP115)*$AJ$18*AT115/1000</f>
        <v>#N/A</v>
      </c>
      <c r="BY115" s="175" t="e">
        <f>IF(Q115=0,0,(0.5*$O$12*BP115*BQ115/1000*(R115/2-$BP115/3)+BS115*(BE115-R115/2)+BT115*(BF115-R115/2)+BU115*(BG115-R115/2)+BV115*(BH115-R115/2)+BW115*(BI115-R115/2)+BX115*(BJ115-R115/2))/1000-ABS(P115))</f>
        <v>#N/A</v>
      </c>
      <c r="BZ115" s="10"/>
      <c r="CA115" s="176" t="e">
        <f>ABS(P115)/(BK115-BP115/3)/AV115*10^6-Q115*(R115/2-BP115/3)/(BK115-BP115/3)/AV115*1000</f>
        <v>#N/A</v>
      </c>
      <c r="CB115" s="177">
        <f>(AV115/($O$12*MIN(2.5*(R115-BK115),(R115-BP115)/3,R115/2)-AV115))</f>
        <v>6.76890370049259E-2</v>
      </c>
      <c r="CC115" s="177">
        <f>3.4*($O$16+$AX$14)+0.425*0.8*0.5*(T115^2+W115^2+Z115^2+AC115^2+AF115^2+AI115^2)/(T115+W115+Z115+AC115+AF115+AI115)/CB115</f>
        <v>373.72967496205757</v>
      </c>
      <c r="CD115" s="177" t="e">
        <f>MAX(0.6*CA115/$AJ$17,(CA115-0.4*0.3*$AJ$14^(2/3)/CB115*(1+$AJ$17/$AJ$15*CB115))/$AJ$17)</f>
        <v>#N/A</v>
      </c>
      <c r="CE115" s="178" t="e">
        <f>CC115*CD115/1000</f>
        <v>#N/A</v>
      </c>
      <c r="CF115" s="23" t="e">
        <f>IF(AND(AV115&gt;=BD115,AV115&gt;=BO115,CE115&lt;=(+IF(CO115="External",0.25,0.3))),"O.K", "Not O.K")</f>
        <v>#N/A</v>
      </c>
      <c r="CG115" s="28"/>
      <c r="CH115" s="179" t="e">
        <f>IF(O115&lt;0.2*$AJ$14*R115*$O$12/1000,"N &lt; 0.2fckAc - OK!","TBA")</f>
        <v>#N/A</v>
      </c>
      <c r="CI115" s="24">
        <v>98</v>
      </c>
      <c r="CJ115" s="25"/>
      <c r="CK115" s="6" t="e">
        <f t="shared" si="180"/>
        <v>#N/A</v>
      </c>
      <c r="CL115" s="8" t="s">
        <v>72</v>
      </c>
      <c r="CM115" s="6" t="e">
        <f t="shared" si="181"/>
        <v>#N/A</v>
      </c>
      <c r="CN115" s="26" t="s">
        <v>147</v>
      </c>
      <c r="CO115" s="15" t="e">
        <f>IF(VLOOKUP(CI115,'Summary-input'!A:C,3,0)="Outward",
IF(CP115&lt;0,"External","Internal"),
IF(CP115&lt;0,"Internal","External")
)</f>
        <v>#N/A</v>
      </c>
      <c r="CP115" t="e">
        <f>VLOOKUP(CI115&amp;CN115,'Summary-output-ULS'!A:G,6,0)</f>
        <v>#N/A</v>
      </c>
      <c r="CQ115" t="e">
        <f>VLOOKUP(CI115&amp;CN115,'Summary-output-ULS'!A:G,7,0)</f>
        <v>#N/A</v>
      </c>
      <c r="CR115" s="3" t="e">
        <f>VLOOKUP(CI115&amp;CN115,'Summary-output-SLS'!A:G,6,0)</f>
        <v>#N/A</v>
      </c>
      <c r="CS115" s="3" t="e">
        <f>VLOOKUP(CI115&amp;CN115,'Summary-output-SLS'!A:G,7,0)</f>
        <v>#N/A</v>
      </c>
      <c r="CT115" s="20">
        <v>1000</v>
      </c>
      <c r="CU115" s="2" t="e">
        <f>VLOOKUP(CI115&amp;CN115,'Summary-output-ULS'!A:G,5,0)</f>
        <v>#N/A</v>
      </c>
      <c r="CV115" s="15" t="e">
        <f>VLOOKUP(CI115&amp;CN115,'Summary-output-SLS'!A:G,5,0)</f>
        <v>#N/A</v>
      </c>
      <c r="CW115" s="6"/>
      <c r="CX115" s="278">
        <f>CI115</f>
        <v>98</v>
      </c>
      <c r="CY115" s="6" t="e">
        <f t="shared" ref="CY115" si="191">MAX(DN115:DN118)</f>
        <v>#N/A</v>
      </c>
      <c r="CZ115" s="6" t="e">
        <f t="shared" ref="CZ115" si="192">MAX(DO115:DO118)</f>
        <v>#N/A</v>
      </c>
      <c r="DA115" s="6" t="e">
        <f t="shared" ref="DA115" si="193">MAX(DP115:DP118)</f>
        <v>#N/A</v>
      </c>
      <c r="DB115" s="6" t="e">
        <f t="shared" ref="DB115" si="194">MAX(DQ115:DQ118)</f>
        <v>#N/A</v>
      </c>
      <c r="DC115" s="6" t="e">
        <f t="shared" ref="DC115" si="195">MAX(DR115:DR118)</f>
        <v>#N/A</v>
      </c>
      <c r="DD115" s="6" t="e">
        <f t="shared" ref="DD115" si="196">MAX(DS115:DS118)</f>
        <v>#N/A</v>
      </c>
      <c r="DE115" s="6"/>
      <c r="DF115" s="6" t="e">
        <f t="shared" ref="DF115" si="197">MAX(DU115:DU118)</f>
        <v>#N/A</v>
      </c>
      <c r="DG115" s="6" t="e">
        <f t="shared" ref="DG115" si="198">MAX(DV115:DV118)</f>
        <v>#N/A</v>
      </c>
      <c r="DH115" s="6" t="e">
        <f t="shared" ref="DH115" si="199">MAX(DW115:DW118)</f>
        <v>#N/A</v>
      </c>
      <c r="DI115" s="6" t="e">
        <f t="shared" ref="DI115" si="200">MAX(DX115:DX118)</f>
        <v>#N/A</v>
      </c>
      <c r="DJ115" s="6" t="e">
        <f t="shared" ref="DJ115" si="201">MAX(DY115:DY118)</f>
        <v>#N/A</v>
      </c>
      <c r="DK115" s="6" t="e">
        <f t="shared" ref="DK115" si="202">MAX(DZ115:DZ118)</f>
        <v>#N/A</v>
      </c>
      <c r="DL115" s="13"/>
      <c r="DM115" s="202">
        <f>CI115</f>
        <v>98</v>
      </c>
      <c r="DN115" s="206" t="e">
        <f>IF(CO115="external",T115,0)</f>
        <v>#N/A</v>
      </c>
      <c r="DO115" s="206" t="e">
        <f>IF(CO115="external",W115,0)</f>
        <v>#N/A</v>
      </c>
      <c r="DP115" s="206" t="e">
        <f>IF(CO115="external",Z115,0)</f>
        <v>#N/A</v>
      </c>
      <c r="DQ115" s="206" t="e">
        <f>IF(CO115="external",AC115,0)</f>
        <v>#N/A</v>
      </c>
      <c r="DR115" s="206" t="e">
        <f>IF(CO115="external",AF115,0)</f>
        <v>#N/A</v>
      </c>
      <c r="DS115" s="207" t="e">
        <f>IF(CO115="external",AI115,0)</f>
        <v>#N/A</v>
      </c>
      <c r="DT115" s="208"/>
      <c r="DU115" s="207" t="e">
        <f>IF(CO115="internal",T115,0)</f>
        <v>#N/A</v>
      </c>
      <c r="DV115" s="207" t="e">
        <f>IF(CO115="internal",W115,0)</f>
        <v>#N/A</v>
      </c>
      <c r="DW115" s="207" t="e">
        <f>IF(CO115="internal",Z115,0)</f>
        <v>#N/A</v>
      </c>
      <c r="DX115" s="207" t="e">
        <f>IF(CO115="internal",AC115,0)</f>
        <v>#N/A</v>
      </c>
      <c r="DY115" s="207" t="e">
        <f>IF(CO115="internal",AF115,0)</f>
        <v>#N/A</v>
      </c>
      <c r="DZ115" s="207" t="e">
        <f>IF(CO115="internal",AI115,0)</f>
        <v>#N/A</v>
      </c>
    </row>
    <row r="116" spans="1:130" s="7" customFormat="1" x14ac:dyDescent="0.3">
      <c r="B116" s="19">
        <f t="shared" si="178"/>
        <v>98</v>
      </c>
      <c r="C116" s="6">
        <f t="shared" si="182"/>
        <v>0</v>
      </c>
      <c r="D116" s="6" t="e">
        <f t="shared" si="183"/>
        <v>#N/A</v>
      </c>
      <c r="E116" s="6" t="str">
        <f t="shared" si="184"/>
        <v>--</v>
      </c>
      <c r="F116" s="6" t="e">
        <f>+CM116</f>
        <v>#N/A</v>
      </c>
      <c r="G116" s="174" t="str">
        <f t="shared" si="185"/>
        <v>Min Mz</v>
      </c>
      <c r="H116" s="6" t="e">
        <f t="shared" si="186"/>
        <v>#N/A</v>
      </c>
      <c r="I116" s="156"/>
      <c r="J116" s="10" t="e">
        <f t="shared" si="187"/>
        <v>#N/A</v>
      </c>
      <c r="K116" s="10" t="e">
        <f t="shared" si="188"/>
        <v>#N/A</v>
      </c>
      <c r="L116" s="10" t="e">
        <f t="shared" si="189"/>
        <v>#N/A</v>
      </c>
      <c r="M116" s="10" t="e">
        <f t="shared" si="190"/>
        <v>#N/A</v>
      </c>
      <c r="N116" s="10" t="e">
        <f>IF(I116*J116&gt;=0,J116*$J$19+I116*$J$18,J116)</f>
        <v>#N/A</v>
      </c>
      <c r="O116" s="10" t="e">
        <f>(K116)*$J$19</f>
        <v>#N/A</v>
      </c>
      <c r="P116" s="14" t="e">
        <f>IF(I116*L116&gt;=0,(L116)+I116,L116)</f>
        <v>#N/A</v>
      </c>
      <c r="Q116" s="3" t="e">
        <f>(M116)</f>
        <v>#N/A</v>
      </c>
      <c r="R116" s="20">
        <f t="shared" si="179"/>
        <v>1000</v>
      </c>
      <c r="S116" s="23"/>
      <c r="T116" s="12">
        <v>20</v>
      </c>
      <c r="U116" s="28"/>
      <c r="V116" s="28"/>
      <c r="W116" s="12"/>
      <c r="X116" s="28"/>
      <c r="Y116" s="28"/>
      <c r="Z116" s="12"/>
      <c r="AA116" s="28"/>
      <c r="AB116" s="28"/>
      <c r="AC116" s="158"/>
      <c r="AD116" s="28"/>
      <c r="AE116" s="28"/>
      <c r="AF116" s="158"/>
      <c r="AG116" s="28"/>
      <c r="AH116" s="28"/>
      <c r="AI116" s="29"/>
      <c r="AJ116" s="6">
        <f>PI()/4*T116^2*$O$12/$AX$16</f>
        <v>2094.3951023931954</v>
      </c>
      <c r="AK116" s="28" t="str">
        <f>IF(W116=0,"","+")</f>
        <v/>
      </c>
      <c r="AL116" s="6">
        <f>PI()/4*W116^2*$O$12/$AX$16</f>
        <v>0</v>
      </c>
      <c r="AM116" s="28" t="str">
        <f>IF(Z116=0,"","+")</f>
        <v/>
      </c>
      <c r="AN116" s="6">
        <f>PI()/4*Z116^2*$O$12/$AX$16</f>
        <v>0</v>
      </c>
      <c r="AO116" s="28" t="str">
        <f>IF(AC116=0,"","+")</f>
        <v/>
      </c>
      <c r="AP116" s="6">
        <f>PI()/4*AC116^2*$O$12/$AX$16</f>
        <v>0</v>
      </c>
      <c r="AQ116" s="28" t="str">
        <f>IF(AF116=0,"","+")</f>
        <v/>
      </c>
      <c r="AR116" s="6">
        <f>PI()/4*AF116^2*$O$12/$AX$16</f>
        <v>0</v>
      </c>
      <c r="AS116" s="28" t="str">
        <f>IF(AI116=0,"","+")</f>
        <v/>
      </c>
      <c r="AT116" s="6">
        <f>PI()/4*AI116^2*$O$12/$AX$16</f>
        <v>0</v>
      </c>
      <c r="AU116" s="28" t="s">
        <v>24</v>
      </c>
      <c r="AV116" s="15">
        <f>VALUE(AJ116)+VALUE(AL116)+VALUE(AN116)+VALUE(AP116)+VALUE(AR116)+VALUE(AT116)</f>
        <v>2094.3951023931954</v>
      </c>
      <c r="AW116" s="228">
        <f>MAX(0.3*$AJ$14^(2/3)/$AJ$16*0.26*100,0.13)</f>
        <v>0.15723814702688016</v>
      </c>
      <c r="AX116" s="6">
        <f>AW116/100*$O$12*BK116</f>
        <v>1426.1499935338031</v>
      </c>
      <c r="AY116" s="6"/>
      <c r="AZ116" s="6"/>
      <c r="BA116" s="24" t="str">
        <f>IF(BB116=0,"","+")</f>
        <v/>
      </c>
      <c r="BB116" s="24"/>
      <c r="BC116" s="28" t="s">
        <v>24</v>
      </c>
      <c r="BD116" s="15">
        <f>AX116+AZ116+BB116</f>
        <v>1426.1499935338031</v>
      </c>
      <c r="BE116" s="2">
        <f>(R116-($AX$14+$O$16+T116/2))</f>
        <v>907</v>
      </c>
      <c r="BF116" s="3">
        <f>IF(W116=0,0,(R116-($AX$14+T116/2+$O$16+$BI$16)))</f>
        <v>0</v>
      </c>
      <c r="BG116" s="3">
        <f>IF(Z116=0,0,(R116-($AX$14+T116/2+$BI$16+$O$16+$BI$17)))</f>
        <v>0</v>
      </c>
      <c r="BH116" s="3">
        <f>IF(AC116=0,0,(R116-($AX$14+T116/2+$O$16+$BI$16+$BI$17+$BI$18)))</f>
        <v>0</v>
      </c>
      <c r="BI116" s="3">
        <f>IF(AF116=0,0,(R116-($AX$14+T116/2+$O$16+$BI$16+$BI$17+$BI$18+$BL$16)))</f>
        <v>0</v>
      </c>
      <c r="BJ116" s="3">
        <f>IF(AI116=0,0,(R116-($AX$14+T116/2+$O$16+$BI$16+$BI$17+$BI$18+$BL$16+$BL$17)))</f>
        <v>0</v>
      </c>
      <c r="BK116" s="6">
        <f>(BE116*AJ116+BF116*AL116+BG116*AN116+BH116*AP116+BI116*AR116+BJ116*AT116)/AV116</f>
        <v>907</v>
      </c>
      <c r="BL116" s="175" t="e">
        <f>ABS(N116)*1000000/$O$12/BK116^2</f>
        <v>#N/A</v>
      </c>
      <c r="BM116" s="175" t="e">
        <f>BL116/$AJ$14</f>
        <v>#N/A</v>
      </c>
      <c r="BN116" s="21" t="e">
        <f>IF(BM116&lt;0.167,0.5+SQRT(0.25-(BM116/1.134)),0.82)</f>
        <v>#N/A</v>
      </c>
      <c r="BO116" s="15" t="e">
        <f>ABS(N116)/(0.87*$AJ$16*BN116*BK116)*10^6</f>
        <v>#N/A</v>
      </c>
      <c r="BP116" s="22">
        <v>2049.5386028229204</v>
      </c>
      <c r="BQ116" s="175" t="e">
        <f>IF(Q116=0,2*ABS(P116*10^6)/$O$12/BP116/(BK116-BP116/3),Q116*BP116*1000/($O$12/2*BP116^2-(BE116-BP116)*AJ116*$AJ$18-(BF116-BP116)*AL116*$AJ$18-(BG116-BP116)*AN116*$AJ$18-(BH116-BP116)*AP116*$AJ$18-(BI116-BP116)*AR116*$AJ$18-(BJ116-BP116)*AT116*$AJ$18))</f>
        <v>#N/A</v>
      </c>
      <c r="BR116" s="3" t="e">
        <f>0.5*$O$12*BP116*BQ116 /1000</f>
        <v>#N/A</v>
      </c>
      <c r="BS116" s="3" t="e">
        <f>($BQ116/$BP116)*(BE116-$BP116)*$AJ$18*AJ116/1000</f>
        <v>#N/A</v>
      </c>
      <c r="BT116" s="3" t="e">
        <f>($BQ116/$BP116)*(BF116-$BP116)*$AJ$18*AL116/1000</f>
        <v>#N/A</v>
      </c>
      <c r="BU116" s="3" t="e">
        <f>($BQ116/$BP116)*(BG116-$BP116)*$AJ$18*AN116/1000</f>
        <v>#N/A</v>
      </c>
      <c r="BV116" s="3" t="e">
        <f>($BQ116/$BP116)*(BH116-$BP116)*$AJ$18*AP116/1000</f>
        <v>#N/A</v>
      </c>
      <c r="BW116" s="3" t="e">
        <f>($BQ116/$BP116)*(BI116-$BP116)*$AJ$18*AR116/1000</f>
        <v>#N/A</v>
      </c>
      <c r="BX116" s="3" t="e">
        <f>($BQ116/$BP116)*(BJ116-$BP116)*$AJ$18*AT116/1000</f>
        <v>#N/A</v>
      </c>
      <c r="BY116" s="175" t="e">
        <f>IF(Q116=0,0,(0.5*$O$12*BP116*BQ116/1000*(R116/2-$BP116/3)+BS116*(BE116-R116/2)+BT116*(BF116-R116/2)+BU116*(BG116-R116/2)+BV116*(BH116-R116/2)+BW116*(BI116-R116/2)+BX116*(BJ116-R116/2))/1000-ABS(P116))</f>
        <v>#N/A</v>
      </c>
      <c r="BZ116" s="10"/>
      <c r="CA116" s="176" t="e">
        <f>ABS(P116)/(BK116-BP116/3)/AV116*10^6-Q116*(R116/2-BP116/3)/(BK116-BP116/3)/AV116*1000</f>
        <v>#N/A</v>
      </c>
      <c r="CB116" s="177">
        <f>(AV116/($O$12*MIN(2.5*(R116-BK116),(R116-BP116)/3,R116/2)-AV116))</f>
        <v>-5.9509903828631376E-3</v>
      </c>
      <c r="CC116" s="177">
        <f>3.4*($O$16+$AX$14)+0.425*0.8*0.5*(T116^2+W116^2+Z116^2+AC116^2+AF116^2+AI116^2)/(T116+W116+Z116+AC116+AF116+AI116)/CB116</f>
        <v>-289.13347245709946</v>
      </c>
      <c r="CD116" s="177" t="e">
        <f>MAX(0.6*CA116/$AJ$17,(CA116-0.4*0.3*$AJ$14^(2/3)/CB116*(1+$AJ$17/$AJ$15*CB116))/$AJ$17)</f>
        <v>#N/A</v>
      </c>
      <c r="CE116" s="178" t="e">
        <f>CC116*CD116/1000</f>
        <v>#N/A</v>
      </c>
      <c r="CF116" s="23" t="e">
        <f>IF(AND(AV116&gt;=BD116,AV116&gt;=BO116,CE116&lt;=(+IF(CO116="External",0.25,0.3))),"O.K", "Not O.K")</f>
        <v>#N/A</v>
      </c>
      <c r="CG116" s="28"/>
      <c r="CH116" s="179" t="e">
        <f>IF(O116&lt;0.2*$AJ$14*R116*$O$12/1000,"N &lt; 0.2fckAc - OK!","TBA")</f>
        <v>#N/A</v>
      </c>
      <c r="CI116" s="24">
        <v>98</v>
      </c>
      <c r="CJ116" s="25"/>
      <c r="CK116" s="6" t="e">
        <f t="shared" si="180"/>
        <v>#N/A</v>
      </c>
      <c r="CL116" s="8" t="s">
        <v>72</v>
      </c>
      <c r="CM116" s="6" t="e">
        <f t="shared" si="181"/>
        <v>#N/A</v>
      </c>
      <c r="CN116" s="26" t="s">
        <v>148</v>
      </c>
      <c r="CO116" s="15" t="e">
        <f>IF(VLOOKUP(CI116,'Summary-input'!A:C,3,0)="Outward",
IF(CP116&lt;0,"External","Internal"),
IF(CP116&lt;0,"Internal","External")
)</f>
        <v>#N/A</v>
      </c>
      <c r="CP116" t="e">
        <f>VLOOKUP(CI116&amp;CN116,'Summary-output-ULS'!A:G,6,0)</f>
        <v>#N/A</v>
      </c>
      <c r="CQ116" t="e">
        <f>VLOOKUP(CI116&amp;CN116,'Summary-output-ULS'!A:G,7,0)</f>
        <v>#N/A</v>
      </c>
      <c r="CR116" s="3" t="e">
        <f>VLOOKUP(CI116&amp;CN116,'Summary-output-SLS'!A:G,6,0)</f>
        <v>#N/A</v>
      </c>
      <c r="CS116" s="3" t="e">
        <f>VLOOKUP(CI116&amp;CN116,'Summary-output-SLS'!A:G,7,0)</f>
        <v>#N/A</v>
      </c>
      <c r="CT116" s="20">
        <v>1000</v>
      </c>
      <c r="CU116" s="2" t="e">
        <f>VLOOKUP(CI116&amp;CN116,'Summary-output-ULS'!A:G,5,0)</f>
        <v>#N/A</v>
      </c>
      <c r="CV116" s="15" t="e">
        <f>VLOOKUP(CI116&amp;CN116,'Summary-output-SLS'!A:G,5,0)</f>
        <v>#N/A</v>
      </c>
      <c r="CW116" s="6"/>
      <c r="CX116" s="278"/>
      <c r="CY116" s="6"/>
      <c r="CZ116" s="6"/>
      <c r="DA116" s="6"/>
      <c r="DB116" s="6"/>
      <c r="DC116" s="6"/>
      <c r="DD116" s="6"/>
      <c r="DE116" s="6"/>
      <c r="DF116" s="6"/>
      <c r="DG116" s="6"/>
      <c r="DH116" s="6"/>
      <c r="DI116" s="6"/>
      <c r="DJ116" s="212"/>
      <c r="DK116" s="13"/>
      <c r="DL116" s="13"/>
      <c r="DM116" s="202"/>
      <c r="DN116" s="206" t="e">
        <f>IF(CO116="external",T116,0)</f>
        <v>#N/A</v>
      </c>
      <c r="DO116" s="206" t="e">
        <f>IF(CO116="external",W116,0)</f>
        <v>#N/A</v>
      </c>
      <c r="DP116" s="206" t="e">
        <f>IF(CO116="external",Z116,0)</f>
        <v>#N/A</v>
      </c>
      <c r="DQ116" s="206" t="e">
        <f>IF(CO116="external",AC116,0)</f>
        <v>#N/A</v>
      </c>
      <c r="DR116" s="206" t="e">
        <f>IF(CO116="external",AF116,0)</f>
        <v>#N/A</v>
      </c>
      <c r="DS116" s="207" t="e">
        <f>IF(CO116="external",AI116,0)</f>
        <v>#N/A</v>
      </c>
      <c r="DT116" s="208"/>
      <c r="DU116" s="207" t="e">
        <f>IF(CO116="internal",T116,0)</f>
        <v>#N/A</v>
      </c>
      <c r="DV116" s="207" t="e">
        <f>IF(CO116="internal",W116,0)</f>
        <v>#N/A</v>
      </c>
      <c r="DW116" s="207" t="e">
        <f>IF(CO116="internal",Z116,0)</f>
        <v>#N/A</v>
      </c>
      <c r="DX116" s="207" t="e">
        <f>IF(CO116="internal",AC116,0)</f>
        <v>#N/A</v>
      </c>
      <c r="DY116" s="207" t="e">
        <f>IF(CO116="internal",AF116,0)</f>
        <v>#N/A</v>
      </c>
      <c r="DZ116" s="207" t="e">
        <f>IF(CO116="internal",AI116,0)</f>
        <v>#N/A</v>
      </c>
    </row>
    <row r="117" spans="1:130" s="7" customFormat="1" x14ac:dyDescent="0.3">
      <c r="B117" s="19">
        <f t="shared" si="178"/>
        <v>98</v>
      </c>
      <c r="C117" s="6">
        <f t="shared" si="182"/>
        <v>0</v>
      </c>
      <c r="D117" s="6" t="e">
        <f t="shared" si="183"/>
        <v>#N/A</v>
      </c>
      <c r="E117" s="6" t="str">
        <f t="shared" si="184"/>
        <v>--</v>
      </c>
      <c r="F117" s="6" t="e">
        <f>+CM117</f>
        <v>#N/A</v>
      </c>
      <c r="G117" s="174" t="str">
        <f t="shared" si="185"/>
        <v>Max Fx</v>
      </c>
      <c r="H117" s="6" t="e">
        <f t="shared" si="186"/>
        <v>#N/A</v>
      </c>
      <c r="I117" s="156"/>
      <c r="J117" s="10" t="e">
        <f t="shared" si="187"/>
        <v>#N/A</v>
      </c>
      <c r="K117" s="10" t="e">
        <f t="shared" si="188"/>
        <v>#N/A</v>
      </c>
      <c r="L117" s="10" t="e">
        <f t="shared" si="189"/>
        <v>#N/A</v>
      </c>
      <c r="M117" s="10" t="e">
        <f t="shared" si="190"/>
        <v>#N/A</v>
      </c>
      <c r="N117" s="10" t="e">
        <f>IF(I117*J117&gt;=0,J117*$J$19+I117*$J$18,J117)</f>
        <v>#N/A</v>
      </c>
      <c r="O117" s="10" t="e">
        <f>(K117)*$J$19</f>
        <v>#N/A</v>
      </c>
      <c r="P117" s="14" t="e">
        <f>IF(I117*L117&gt;=0,(L117)+I117,L117)</f>
        <v>#N/A</v>
      </c>
      <c r="Q117" s="3" t="e">
        <f>(M117)</f>
        <v>#N/A</v>
      </c>
      <c r="R117" s="20">
        <f t="shared" si="179"/>
        <v>1000</v>
      </c>
      <c r="S117" s="23"/>
      <c r="T117" s="12">
        <v>20</v>
      </c>
      <c r="U117" s="28"/>
      <c r="V117" s="28"/>
      <c r="W117" s="12"/>
      <c r="X117" s="28"/>
      <c r="Y117" s="28"/>
      <c r="Z117" s="12"/>
      <c r="AA117" s="28"/>
      <c r="AB117" s="28"/>
      <c r="AC117" s="158"/>
      <c r="AD117" s="28"/>
      <c r="AE117" s="28"/>
      <c r="AF117" s="158"/>
      <c r="AG117" s="28"/>
      <c r="AH117" s="28"/>
      <c r="AI117" s="29"/>
      <c r="AJ117" s="6">
        <f>PI()/4*T117^2*$O$12/$AX$16</f>
        <v>2094.3951023931954</v>
      </c>
      <c r="AK117" s="28" t="str">
        <f>IF(W117=0,"","+")</f>
        <v/>
      </c>
      <c r="AL117" s="6">
        <f>PI()/4*W117^2*$O$12/$AX$16</f>
        <v>0</v>
      </c>
      <c r="AM117" s="28" t="str">
        <f>IF(Z117=0,"","+")</f>
        <v/>
      </c>
      <c r="AN117" s="6">
        <f>PI()/4*Z117^2*$O$12/$AX$16</f>
        <v>0</v>
      </c>
      <c r="AO117" s="28" t="str">
        <f>IF(AC117=0,"","+")</f>
        <v/>
      </c>
      <c r="AP117" s="6">
        <f>PI()/4*AC117^2*$O$12/$AX$16</f>
        <v>0</v>
      </c>
      <c r="AQ117" s="28" t="str">
        <f>IF(AF117=0,"","+")</f>
        <v/>
      </c>
      <c r="AR117" s="6">
        <f>PI()/4*AF117^2*$O$12/$AX$16</f>
        <v>0</v>
      </c>
      <c r="AS117" s="28" t="str">
        <f>IF(AI117=0,"","+")</f>
        <v/>
      </c>
      <c r="AT117" s="6">
        <f>PI()/4*AI117^2*$O$12/$AX$16</f>
        <v>0</v>
      </c>
      <c r="AU117" s="28" t="s">
        <v>24</v>
      </c>
      <c r="AV117" s="15">
        <f>VALUE(AJ117)+VALUE(AL117)+VALUE(AN117)+VALUE(AP117)+VALUE(AR117)+VALUE(AT117)</f>
        <v>2094.3951023931954</v>
      </c>
      <c r="AW117" s="228">
        <f>MAX(0.3*$AJ$14^(2/3)/$AJ$16*0.26*100,0.13)</f>
        <v>0.15723814702688016</v>
      </c>
      <c r="AX117" s="6">
        <f>AW117/100*$O$12*BK117</f>
        <v>1426.1499935338031</v>
      </c>
      <c r="AY117" s="6"/>
      <c r="AZ117" s="6"/>
      <c r="BA117" s="24" t="str">
        <f>IF(BB117=0,"","+")</f>
        <v/>
      </c>
      <c r="BB117" s="24"/>
      <c r="BC117" s="28" t="s">
        <v>24</v>
      </c>
      <c r="BD117" s="15">
        <f>AX117+AZ117+BB117</f>
        <v>1426.1499935338031</v>
      </c>
      <c r="BE117" s="2">
        <f>(R117-($AX$14+$O$16+T117/2))</f>
        <v>907</v>
      </c>
      <c r="BF117" s="3">
        <f>IF(W117=0,0,(R117-($AX$14+T117/2+$O$16+$BI$16)))</f>
        <v>0</v>
      </c>
      <c r="BG117" s="3">
        <f>IF(Z117=0,0,(R117-($AX$14+T117/2+$BI$16+$O$16+$BI$17)))</f>
        <v>0</v>
      </c>
      <c r="BH117" s="3">
        <f>IF(AC117=0,0,(R117-($AX$14+T117/2+$O$16+$BI$16+$BI$17+$BI$18)))</f>
        <v>0</v>
      </c>
      <c r="BI117" s="3">
        <f>IF(AF117=0,0,(R117-($AX$14+T117/2+$O$16+$BI$16+$BI$17+$BI$18+$BL$16)))</f>
        <v>0</v>
      </c>
      <c r="BJ117" s="3">
        <f>IF(AI117=0,0,(R117-($AX$14+T117/2+$O$16+$BI$16+$BI$17+$BI$18+$BL$16+$BL$17)))</f>
        <v>0</v>
      </c>
      <c r="BK117" s="6">
        <f>(BE117*AJ117+BF117*AL117+BG117*AN117+BH117*AP117+BI117*AR117+BJ117*AT117)/AV117</f>
        <v>907</v>
      </c>
      <c r="BL117" s="175" t="e">
        <f>ABS(N117)*1000000/$O$12/BK117^2</f>
        <v>#N/A</v>
      </c>
      <c r="BM117" s="175" t="e">
        <f>BL117/$AJ$14</f>
        <v>#N/A</v>
      </c>
      <c r="BN117" s="21" t="e">
        <f>IF(BM117&lt;0.167,0.5+SQRT(0.25-(BM117/1.134)),0.82)</f>
        <v>#N/A</v>
      </c>
      <c r="BO117" s="15" t="e">
        <f>ABS(N117)/(0.87*$AJ$16*BN117*BK117)*10^6</f>
        <v>#N/A</v>
      </c>
      <c r="BP117" s="22">
        <v>2295.0096613224355</v>
      </c>
      <c r="BQ117" s="175" t="e">
        <f>IF(Q117=0,2*ABS(P117*10^6)/$O$12/BP117/(BK117-BP117/3),Q117*BP117*1000/($O$12/2*BP117^2-(BE117-BP117)*AJ117*$AJ$18-(BF117-BP117)*AL117*$AJ$18-(BG117-BP117)*AN117*$AJ$18-(BH117-BP117)*AP117*$AJ$18-(BI117-BP117)*AR117*$AJ$18-(BJ117-BP117)*AT117*$AJ$18))</f>
        <v>#N/A</v>
      </c>
      <c r="BR117" s="3" t="e">
        <f>0.5*$O$12*BP117*BQ117 /1000</f>
        <v>#N/A</v>
      </c>
      <c r="BS117" s="3" t="e">
        <f>($BQ117/$BP117)*(BE117-$BP117)*$AJ$18*AJ117/1000</f>
        <v>#N/A</v>
      </c>
      <c r="BT117" s="3" t="e">
        <f>($BQ117/$BP117)*(BF117-$BP117)*$AJ$18*AL117/1000</f>
        <v>#N/A</v>
      </c>
      <c r="BU117" s="3" t="e">
        <f>($BQ117/$BP117)*(BG117-$BP117)*$AJ$18*AN117/1000</f>
        <v>#N/A</v>
      </c>
      <c r="BV117" s="3" t="e">
        <f>($BQ117/$BP117)*(BH117-$BP117)*$AJ$18*AP117/1000</f>
        <v>#N/A</v>
      </c>
      <c r="BW117" s="3" t="e">
        <f>($BQ117/$BP117)*(BI117-$BP117)*$AJ$18*AR117/1000</f>
        <v>#N/A</v>
      </c>
      <c r="BX117" s="3" t="e">
        <f>($BQ117/$BP117)*(BJ117-$BP117)*$AJ$18*AT117/1000</f>
        <v>#N/A</v>
      </c>
      <c r="BY117" s="175" t="e">
        <f>IF(Q117=0,0,(0.5*$O$12*BP117*BQ117/1000*(R117/2-$BP117/3)+BS117*(BE117-R117/2)+BT117*(BF117-R117/2)+BU117*(BG117-R117/2)+BV117*(BH117-R117/2)+BW117*(BI117-R117/2)+BX117*(BJ117-R117/2))/1000-ABS(P117))</f>
        <v>#N/A</v>
      </c>
      <c r="BZ117" s="10"/>
      <c r="CA117" s="176" t="e">
        <f>ABS(P117)/(BK117-BP117/3)/AV117*10^6-Q117*(R117/2-BP117/3)/(BK117-BP117/3)/AV117*1000</f>
        <v>#N/A</v>
      </c>
      <c r="CB117" s="177">
        <f>(AV117/($O$12*MIN(2.5*(R117-BK117),(R117-BP117)/3,R117/2)-AV117))</f>
        <v>-4.8284176182580374E-3</v>
      </c>
      <c r="CC117" s="177">
        <f>3.4*($O$16+$AX$14)+0.425*0.8*0.5*(T117^2+W117^2+Z117^2+AC117^2+AF117^2+AI117^2)/(T117+W117+Z117+AC117+AF117+AI117)/CB117</f>
        <v>-421.96444243417119</v>
      </c>
      <c r="CD117" s="177" t="e">
        <f>MAX(0.6*CA117/$AJ$17,(CA117-0.4*0.3*$AJ$14^(2/3)/CB117*(1+$AJ$17/$AJ$15*CB117))/$AJ$17)</f>
        <v>#N/A</v>
      </c>
      <c r="CE117" s="178" t="e">
        <f>CC117*CD117/1000</f>
        <v>#N/A</v>
      </c>
      <c r="CF117" s="23" t="e">
        <f>IF(AND(AV117&gt;=BD117,AV117&gt;=BO117,CE117&lt;=(+IF(CO117="External",0.25,0.3))),"O.K", "Not O.K")</f>
        <v>#N/A</v>
      </c>
      <c r="CG117" s="28"/>
      <c r="CH117" s="179" t="e">
        <f>IF(O117&lt;0.2*$AJ$14*R117*$O$12/1000,"N &lt; 0.2fckAc - OK!","TBA")</f>
        <v>#N/A</v>
      </c>
      <c r="CI117" s="24">
        <v>98</v>
      </c>
      <c r="CJ117" s="25"/>
      <c r="CK117" s="6" t="e">
        <f t="shared" si="180"/>
        <v>#N/A</v>
      </c>
      <c r="CL117" s="8" t="s">
        <v>72</v>
      </c>
      <c r="CM117" s="6" t="e">
        <f t="shared" si="181"/>
        <v>#N/A</v>
      </c>
      <c r="CN117" s="26" t="s">
        <v>145</v>
      </c>
      <c r="CO117" s="15" t="e">
        <f>IF(VLOOKUP(CI117,'Summary-input'!A:C,3,0)="Outward",
IF(CP117&lt;0,"External","Internal"),
IF(CP117&lt;0,"Internal","External")
)</f>
        <v>#N/A</v>
      </c>
      <c r="CP117" t="e">
        <f>VLOOKUP(CI117&amp;CN117,'Summary-output-ULS'!A:G,6,0)</f>
        <v>#N/A</v>
      </c>
      <c r="CQ117" t="e">
        <f>VLOOKUP(CI117&amp;CN117,'Summary-output-ULS'!A:G,7,0)</f>
        <v>#N/A</v>
      </c>
      <c r="CR117" s="3" t="e">
        <f>VLOOKUP(CI117&amp;CN117,'Summary-output-SLS'!A:G,6,0)</f>
        <v>#N/A</v>
      </c>
      <c r="CS117" s="3" t="e">
        <f>VLOOKUP(CI117&amp;CN117,'Summary-output-SLS'!A:G,7,0)</f>
        <v>#N/A</v>
      </c>
      <c r="CT117" s="20">
        <v>1000</v>
      </c>
      <c r="CU117" s="2" t="e">
        <f>VLOOKUP(CI117&amp;CN117,'Summary-output-ULS'!A:G,5,0)</f>
        <v>#N/A</v>
      </c>
      <c r="CV117" s="15" t="e">
        <f>VLOOKUP(CI117&amp;CN117,'Summary-output-SLS'!A:G,5,0)</f>
        <v>#N/A</v>
      </c>
      <c r="CW117" s="6"/>
      <c r="CX117" s="278"/>
      <c r="CY117" s="6"/>
      <c r="CZ117" s="6"/>
      <c r="DA117" s="6"/>
      <c r="DB117" s="6"/>
      <c r="DC117" s="6"/>
      <c r="DD117" s="6"/>
      <c r="DE117" s="6"/>
      <c r="DF117" s="6"/>
      <c r="DG117" s="6"/>
      <c r="DH117" s="6"/>
      <c r="DI117" s="6"/>
      <c r="DJ117" s="212"/>
      <c r="DK117" s="13"/>
      <c r="DL117" s="13"/>
      <c r="DM117" s="202"/>
      <c r="DN117" s="206" t="e">
        <f>IF(CO117="external",T117,0)</f>
        <v>#N/A</v>
      </c>
      <c r="DO117" s="206" t="e">
        <f>IF(CO117="external",W117,0)</f>
        <v>#N/A</v>
      </c>
      <c r="DP117" s="206" t="e">
        <f>IF(CO117="external",Z117,0)</f>
        <v>#N/A</v>
      </c>
      <c r="DQ117" s="206" t="e">
        <f>IF(CO117="external",AC117,0)</f>
        <v>#N/A</v>
      </c>
      <c r="DR117" s="206" t="e">
        <f>IF(CO117="external",AF117,0)</f>
        <v>#N/A</v>
      </c>
      <c r="DS117" s="207" t="e">
        <f>IF(CO117="external",AI117,0)</f>
        <v>#N/A</v>
      </c>
      <c r="DT117" s="208"/>
      <c r="DU117" s="207" t="e">
        <f>IF(CO117="internal",T117,0)</f>
        <v>#N/A</v>
      </c>
      <c r="DV117" s="207" t="e">
        <f>IF(CO117="internal",W117,0)</f>
        <v>#N/A</v>
      </c>
      <c r="DW117" s="207" t="e">
        <f>IF(CO117="internal",Z117,0)</f>
        <v>#N/A</v>
      </c>
      <c r="DX117" s="207" t="e">
        <f>IF(CO117="internal",AC117,0)</f>
        <v>#N/A</v>
      </c>
      <c r="DY117" s="207" t="e">
        <f>IF(CO117="internal",AF117,0)</f>
        <v>#N/A</v>
      </c>
      <c r="DZ117" s="207" t="e">
        <f>IF(CO117="internal",AI117,0)</f>
        <v>#N/A</v>
      </c>
    </row>
    <row r="118" spans="1:130" s="7" customFormat="1" x14ac:dyDescent="0.3">
      <c r="B118" s="19">
        <f t="shared" si="178"/>
        <v>98</v>
      </c>
      <c r="C118" s="6">
        <f t="shared" si="182"/>
        <v>0</v>
      </c>
      <c r="D118" s="6" t="e">
        <f t="shared" si="183"/>
        <v>#N/A</v>
      </c>
      <c r="E118" s="6" t="str">
        <f t="shared" si="184"/>
        <v>--</v>
      </c>
      <c r="F118" s="6" t="e">
        <f>+CM118</f>
        <v>#N/A</v>
      </c>
      <c r="G118" s="174" t="str">
        <f t="shared" si="185"/>
        <v>Min Fx</v>
      </c>
      <c r="H118" s="6" t="e">
        <f t="shared" si="186"/>
        <v>#N/A</v>
      </c>
      <c r="I118" s="156"/>
      <c r="J118" s="10" t="e">
        <f t="shared" si="187"/>
        <v>#N/A</v>
      </c>
      <c r="K118" s="10" t="e">
        <f t="shared" si="188"/>
        <v>#N/A</v>
      </c>
      <c r="L118" s="10" t="e">
        <f t="shared" si="189"/>
        <v>#N/A</v>
      </c>
      <c r="M118" s="10" t="e">
        <f t="shared" si="190"/>
        <v>#N/A</v>
      </c>
      <c r="N118" s="10" t="e">
        <f>IF(I118*J118&gt;=0,J118*$J$19+I118*$J$18,J118)</f>
        <v>#N/A</v>
      </c>
      <c r="O118" s="10" t="e">
        <f>(K118)*$J$19</f>
        <v>#N/A</v>
      </c>
      <c r="P118" s="14" t="e">
        <f>IF(I118*L118&gt;=0,(L118)+I118,L118)</f>
        <v>#N/A</v>
      </c>
      <c r="Q118" s="3" t="e">
        <f>(M118)</f>
        <v>#N/A</v>
      </c>
      <c r="R118" s="20">
        <f t="shared" si="179"/>
        <v>1000</v>
      </c>
      <c r="S118" s="23"/>
      <c r="T118" s="12">
        <v>20</v>
      </c>
      <c r="U118" s="28"/>
      <c r="V118" s="28"/>
      <c r="W118" s="12"/>
      <c r="X118" s="28"/>
      <c r="Y118" s="28"/>
      <c r="Z118" s="12"/>
      <c r="AA118" s="28"/>
      <c r="AB118" s="28"/>
      <c r="AC118" s="158"/>
      <c r="AD118" s="28"/>
      <c r="AE118" s="28"/>
      <c r="AF118" s="158"/>
      <c r="AG118" s="28"/>
      <c r="AH118" s="28"/>
      <c r="AI118" s="29"/>
      <c r="AJ118" s="6">
        <f>PI()/4*T118^2*$O$12/$AX$16</f>
        <v>2094.3951023931954</v>
      </c>
      <c r="AK118" s="28" t="str">
        <f>IF(W118=0,"","+")</f>
        <v/>
      </c>
      <c r="AL118" s="6">
        <f>PI()/4*W118^2*$O$12/$AX$16</f>
        <v>0</v>
      </c>
      <c r="AM118" s="28" t="str">
        <f>IF(Z118=0,"","+")</f>
        <v/>
      </c>
      <c r="AN118" s="6">
        <f>PI()/4*Z118^2*$O$12/$AX$16</f>
        <v>0</v>
      </c>
      <c r="AO118" s="28" t="str">
        <f>IF(AC118=0,"","+")</f>
        <v/>
      </c>
      <c r="AP118" s="6">
        <f>PI()/4*AC118^2*$O$12/$AX$16</f>
        <v>0</v>
      </c>
      <c r="AQ118" s="28" t="str">
        <f>IF(AF118=0,"","+")</f>
        <v/>
      </c>
      <c r="AR118" s="6">
        <f>PI()/4*AF118^2*$O$12/$AX$16</f>
        <v>0</v>
      </c>
      <c r="AS118" s="28" t="str">
        <f>IF(AI118=0,"","+")</f>
        <v/>
      </c>
      <c r="AT118" s="6">
        <f>PI()/4*AI118^2*$O$12/$AX$16</f>
        <v>0</v>
      </c>
      <c r="AU118" s="28" t="s">
        <v>24</v>
      </c>
      <c r="AV118" s="15">
        <f>VALUE(AJ118)+VALUE(AL118)+VALUE(AN118)+VALUE(AP118)+VALUE(AR118)+VALUE(AT118)</f>
        <v>2094.3951023931954</v>
      </c>
      <c r="AW118" s="228">
        <f>MAX(0.3*$AJ$14^(2/3)/$AJ$16*0.26*100,0.13)</f>
        <v>0.15723814702688016</v>
      </c>
      <c r="AX118" s="6">
        <f>AW118/100*$O$12*BK118</f>
        <v>1426.1499935338031</v>
      </c>
      <c r="AY118" s="6"/>
      <c r="AZ118" s="6"/>
      <c r="BA118" s="24" t="str">
        <f>IF(BB118=0,"","+")</f>
        <v/>
      </c>
      <c r="BB118" s="24"/>
      <c r="BC118" s="28" t="s">
        <v>24</v>
      </c>
      <c r="BD118" s="15">
        <f>AX118+AZ118+BB118</f>
        <v>1426.1499935338031</v>
      </c>
      <c r="BE118" s="2">
        <f>(R118-($AX$14+$O$16+T118/2))</f>
        <v>907</v>
      </c>
      <c r="BF118" s="3">
        <f>IF(W118=0,0,(R118-($AX$14+T118/2+$O$16+$BI$16)))</f>
        <v>0</v>
      </c>
      <c r="BG118" s="3">
        <f>IF(Z118=0,0,(R118-($AX$14+T118/2+$BI$16+$O$16+$BI$17)))</f>
        <v>0</v>
      </c>
      <c r="BH118" s="3">
        <f>IF(AC118=0,0,(R118-($AX$14+T118/2+$O$16+$BI$16+$BI$17+$BI$18)))</f>
        <v>0</v>
      </c>
      <c r="BI118" s="3">
        <f>IF(AF118=0,0,(R118-($AX$14+T118/2+$O$16+$BI$16+$BI$17+$BI$18+$BL$16)))</f>
        <v>0</v>
      </c>
      <c r="BJ118" s="3">
        <f>IF(AI118=0,0,(R118-($AX$14+T118/2+$O$16+$BI$16+$BI$17+$BI$18+$BL$16+$BL$17)))</f>
        <v>0</v>
      </c>
      <c r="BK118" s="6">
        <f>(BE118*AJ118+BF118*AL118+BG118*AN118+BH118*AP118+BI118*AR118+BJ118*AT118)/AV118</f>
        <v>907</v>
      </c>
      <c r="BL118" s="175" t="e">
        <f>ABS(N118)*1000000/$O$12/BK118^2</f>
        <v>#N/A</v>
      </c>
      <c r="BM118" s="175" t="e">
        <f>BL118/$AJ$14</f>
        <v>#N/A</v>
      </c>
      <c r="BN118" s="21" t="e">
        <f>IF(BM118&lt;0.167,0.5+SQRT(0.25-(BM118/1.134)),0.82)</f>
        <v>#N/A</v>
      </c>
      <c r="BO118" s="15" t="e">
        <f>ABS(N118)/(0.87*$AJ$16*BN118*BK118)*10^6</f>
        <v>#N/A</v>
      </c>
      <c r="BP118" s="22">
        <v>3124.8975833845088</v>
      </c>
      <c r="BQ118" s="175" t="e">
        <f>IF(Q118=0,2*ABS(P118*10^6)/$O$12/BP118/(BK118-BP118/3),Q118*BP118*1000/($O$12/2*BP118^2-(BE118-BP118)*AJ118*$AJ$18-(BF118-BP118)*AL118*$AJ$18-(BG118-BP118)*AN118*$AJ$18-(BH118-BP118)*AP118*$AJ$18-(BI118-BP118)*AR118*$AJ$18-(BJ118-BP118)*AT118*$AJ$18))</f>
        <v>#N/A</v>
      </c>
      <c r="BR118" s="3" t="e">
        <f>0.5*$O$12*BP118*BQ118 /1000</f>
        <v>#N/A</v>
      </c>
      <c r="BS118" s="3" t="e">
        <f>($BQ118/$BP118)*(BE118-$BP118)*$AJ$18*AJ118/1000</f>
        <v>#N/A</v>
      </c>
      <c r="BT118" s="3" t="e">
        <f>($BQ118/$BP118)*(BF118-$BP118)*$AJ$18*AL118/1000</f>
        <v>#N/A</v>
      </c>
      <c r="BU118" s="3" t="e">
        <f>($BQ118/$BP118)*(BG118-$BP118)*$AJ$18*AN118/1000</f>
        <v>#N/A</v>
      </c>
      <c r="BV118" s="3" t="e">
        <f>($BQ118/$BP118)*(BH118-$BP118)*$AJ$18*AP118/1000</f>
        <v>#N/A</v>
      </c>
      <c r="BW118" s="3" t="e">
        <f>($BQ118/$BP118)*(BI118-$BP118)*$AJ$18*AR118/1000</f>
        <v>#N/A</v>
      </c>
      <c r="BX118" s="3" t="e">
        <f>($BQ118/$BP118)*(BJ118-$BP118)*$AJ$18*AT118/1000</f>
        <v>#N/A</v>
      </c>
      <c r="BY118" s="175" t="e">
        <f>IF(Q118=0,0,(0.5*$O$12*BP118*BQ118/1000*(R118/2-$BP118/3)+BS118*(BE118-R118/2)+BT118*(BF118-R118/2)+BU118*(BG118-R118/2)+BV118*(BH118-R118/2)+BW118*(BI118-R118/2)+BX118*(BJ118-R118/2))/1000-ABS(P118))</f>
        <v>#N/A</v>
      </c>
      <c r="BZ118" s="10"/>
      <c r="CA118" s="176" t="e">
        <f>ABS(P118)/(BK118-BP118/3)/AV118*10^6-Q118*(R118/2-BP118/3)/(BK118-BP118/3)/AV118*1000</f>
        <v>#N/A</v>
      </c>
      <c r="CB118" s="177">
        <f>(AV118/($O$12*MIN(2.5*(R118-BK118),(R118-BP118)/3,R118/2)-AV118))</f>
        <v>-2.9482179078768496E-3</v>
      </c>
      <c r="CC118" s="177">
        <f>3.4*($O$16+$AX$14)+0.425*0.8*0.5*(T118^2+W118^2+Z118^2+AC118^2+AF118^2+AI118^2)/(T118+W118+Z118+AC118+AF118+AI118)/CB118</f>
        <v>-871.03904346286936</v>
      </c>
      <c r="CD118" s="177" t="e">
        <f>MAX(0.6*CA118/$AJ$17,(CA118-0.4*0.3*$AJ$14^(2/3)/CB118*(1+$AJ$17/$AJ$15*CB118))/$AJ$17)</f>
        <v>#N/A</v>
      </c>
      <c r="CE118" s="178" t="e">
        <f>CC118*CD118/1000</f>
        <v>#N/A</v>
      </c>
      <c r="CF118" s="23" t="e">
        <f>IF(AND(AV118&gt;=BD118,AV118&gt;=BO118,CE118&lt;=(+IF(CO118="External",0.25,0.3))),"O.K", "Not O.K")</f>
        <v>#N/A</v>
      </c>
      <c r="CG118" s="28"/>
      <c r="CH118" s="179" t="e">
        <f>IF(O118&lt;0.2*$AJ$14*R118*$O$12/1000,"N &lt; 0.2fckAc - OK!","TBA")</f>
        <v>#N/A</v>
      </c>
      <c r="CI118" s="24">
        <v>98</v>
      </c>
      <c r="CJ118" s="25"/>
      <c r="CK118" s="6" t="e">
        <f t="shared" si="180"/>
        <v>#N/A</v>
      </c>
      <c r="CL118" s="8" t="s">
        <v>72</v>
      </c>
      <c r="CM118" s="6" t="e">
        <f t="shared" si="181"/>
        <v>#N/A</v>
      </c>
      <c r="CN118" s="26" t="s">
        <v>146</v>
      </c>
      <c r="CO118" s="15" t="e">
        <f>IF(VLOOKUP(CI118,'Summary-input'!A:C,3,0)="Outward",
IF(CP118&lt;0,"External","Internal"),
IF(CP118&lt;0,"Internal","External")
)</f>
        <v>#N/A</v>
      </c>
      <c r="CP118" t="e">
        <f>VLOOKUP(CI118&amp;CN118,'Summary-output-ULS'!A:G,6,0)</f>
        <v>#N/A</v>
      </c>
      <c r="CQ118" t="e">
        <f>VLOOKUP(CI118&amp;CN118,'Summary-output-ULS'!A:G,7,0)</f>
        <v>#N/A</v>
      </c>
      <c r="CR118" s="3" t="e">
        <f>VLOOKUP(CI118&amp;CN118,'Summary-output-SLS'!A:G,6,0)</f>
        <v>#N/A</v>
      </c>
      <c r="CS118" s="3" t="e">
        <f>VLOOKUP(CI118&amp;CN118,'Summary-output-SLS'!A:G,7,0)</f>
        <v>#N/A</v>
      </c>
      <c r="CT118" s="20">
        <v>1000</v>
      </c>
      <c r="CU118" s="2" t="e">
        <f>VLOOKUP(CI118&amp;CN118,'Summary-output-ULS'!A:G,5,0)</f>
        <v>#N/A</v>
      </c>
      <c r="CV118" s="15" t="e">
        <f>VLOOKUP(CI118&amp;CN118,'Summary-output-SLS'!A:G,5,0)</f>
        <v>#N/A</v>
      </c>
      <c r="CW118" s="6"/>
      <c r="CX118" s="278"/>
      <c r="CY118" s="6"/>
      <c r="CZ118" s="6"/>
      <c r="DA118" s="6"/>
      <c r="DB118" s="6"/>
      <c r="DC118" s="6"/>
      <c r="DD118" s="6"/>
      <c r="DE118" s="6"/>
      <c r="DF118" s="6"/>
      <c r="DG118" s="6"/>
      <c r="DH118" s="6"/>
      <c r="DI118" s="6"/>
      <c r="DJ118" s="212"/>
      <c r="DK118" s="13"/>
      <c r="DL118" s="13"/>
      <c r="DM118" s="202"/>
      <c r="DN118" s="206" t="e">
        <f>IF(CO118="external",T118,0)</f>
        <v>#N/A</v>
      </c>
      <c r="DO118" s="206" t="e">
        <f>IF(CO118="external",W118,0)</f>
        <v>#N/A</v>
      </c>
      <c r="DP118" s="206" t="e">
        <f>IF(CO118="external",Z118,0)</f>
        <v>#N/A</v>
      </c>
      <c r="DQ118" s="206" t="e">
        <f>IF(CO118="external",AC118,0)</f>
        <v>#N/A</v>
      </c>
      <c r="DR118" s="206" t="e">
        <f>IF(CO118="external",AF118,0)</f>
        <v>#N/A</v>
      </c>
      <c r="DS118" s="207" t="e">
        <f>IF(CO118="external",AI118,0)</f>
        <v>#N/A</v>
      </c>
      <c r="DT118" s="208"/>
      <c r="DU118" s="207" t="e">
        <f>IF(CO118="internal",T118,0)</f>
        <v>#N/A</v>
      </c>
      <c r="DV118" s="207" t="e">
        <f>IF(CO118="internal",W118,0)</f>
        <v>#N/A</v>
      </c>
      <c r="DW118" s="207" t="e">
        <f>IF(CO118="internal",Z118,0)</f>
        <v>#N/A</v>
      </c>
      <c r="DX118" s="207" t="e">
        <f>IF(CO118="internal",AC118,0)</f>
        <v>#N/A</v>
      </c>
      <c r="DY118" s="207" t="e">
        <f>IF(CO118="internal",AF118,0)</f>
        <v>#N/A</v>
      </c>
      <c r="DZ118" s="207" t="e">
        <f>IF(CO118="internal",AI118,0)</f>
        <v>#N/A</v>
      </c>
    </row>
    <row r="119" spans="1:130" s="7" customFormat="1" x14ac:dyDescent="0.3">
      <c r="B119" s="19">
        <f t="shared" si="176"/>
        <v>0</v>
      </c>
      <c r="C119" s="6"/>
      <c r="D119" s="6"/>
      <c r="E119" s="6"/>
      <c r="F119" s="6"/>
      <c r="G119" s="232"/>
      <c r="H119" s="6"/>
      <c r="I119" s="24"/>
      <c r="J119" s="6"/>
      <c r="K119" s="6"/>
      <c r="L119" s="6"/>
      <c r="M119" s="6"/>
      <c r="N119" s="6"/>
      <c r="O119" s="6"/>
      <c r="P119" s="24"/>
      <c r="Q119" s="6"/>
      <c r="R119" s="6">
        <f t="shared" si="177"/>
        <v>0</v>
      </c>
      <c r="S119" s="28"/>
      <c r="T119" s="12"/>
      <c r="U119" s="28"/>
      <c r="V119" s="28"/>
      <c r="W119" s="12"/>
      <c r="X119" s="28"/>
      <c r="Y119" s="28"/>
      <c r="Z119" s="12"/>
      <c r="AA119" s="28"/>
      <c r="AB119" s="28"/>
      <c r="AC119" s="158"/>
      <c r="AD119" s="28"/>
      <c r="AE119" s="28"/>
      <c r="AF119" s="158"/>
      <c r="AG119" s="28"/>
      <c r="AH119" s="28"/>
      <c r="AI119" s="12"/>
      <c r="AJ119" s="6"/>
      <c r="AK119" s="28"/>
      <c r="AL119" s="6"/>
      <c r="AM119" s="28"/>
      <c r="AN119" s="6"/>
      <c r="AO119" s="28"/>
      <c r="AP119" s="6"/>
      <c r="AQ119" s="28"/>
      <c r="AR119" s="6"/>
      <c r="AS119" s="28"/>
      <c r="AT119" s="6"/>
      <c r="AU119" s="28"/>
      <c r="AV119" s="6"/>
      <c r="AW119" s="233"/>
      <c r="AX119" s="6"/>
      <c r="AY119" s="6"/>
      <c r="AZ119" s="6"/>
      <c r="BA119" s="24"/>
      <c r="BB119" s="24"/>
      <c r="BC119" s="28"/>
      <c r="BD119" s="6"/>
      <c r="BE119" s="6"/>
      <c r="BF119" s="6"/>
      <c r="BG119" s="6"/>
      <c r="BH119" s="6"/>
      <c r="BI119" s="6"/>
      <c r="BJ119" s="6"/>
      <c r="BK119" s="6"/>
      <c r="BL119" s="231"/>
      <c r="BM119" s="231"/>
      <c r="BN119" s="231"/>
      <c r="BO119" s="6"/>
      <c r="BP119" s="234"/>
      <c r="BQ119" s="231"/>
      <c r="BR119" s="6"/>
      <c r="BS119" s="6"/>
      <c r="BT119" s="6"/>
      <c r="BU119" s="6"/>
      <c r="BV119" s="6"/>
      <c r="BW119" s="6"/>
      <c r="BX119" s="6"/>
      <c r="BY119" s="231"/>
      <c r="BZ119" s="6"/>
      <c r="CA119" s="234"/>
      <c r="CB119" s="235"/>
      <c r="CC119" s="235"/>
      <c r="CD119" s="235"/>
      <c r="CE119" s="235"/>
      <c r="CF119" s="28"/>
      <c r="CG119" s="28"/>
      <c r="CH119" s="173"/>
      <c r="CI119" s="24"/>
      <c r="CJ119" s="25"/>
      <c r="CK119" s="6" t="e">
        <f t="shared" ref="CK119:CK124" si="203">CU119</f>
        <v>#N/A</v>
      </c>
      <c r="CL119" s="8" t="s">
        <v>72</v>
      </c>
      <c r="CM119" s="6" t="e">
        <f t="shared" ref="CM119:CM124" si="204">CV119</f>
        <v>#N/A</v>
      </c>
      <c r="CN119" s="236"/>
      <c r="CO119" s="15" t="e">
        <f>IF(VLOOKUP(CI119,'Summary-input'!A:C,3,0)="Outward",
IF(CP119&lt;0,"External","Internal"),
IF(CP119&lt;0,"Internal","External")
)</f>
        <v>#N/A</v>
      </c>
      <c r="CP119" t="e">
        <f>VLOOKUP(CI119&amp;CN119,'Summary-output-ULS'!A:G,6,0)</f>
        <v>#N/A</v>
      </c>
      <c r="CQ119" t="e">
        <f>VLOOKUP(CI119&amp;CN119,'Summary-output-ULS'!A:G,7,0)</f>
        <v>#N/A</v>
      </c>
      <c r="CR119" s="3" t="e">
        <f>VLOOKUP(CI119&amp;CN119,'Summary-output-SLS'!A:G,6,0)</f>
        <v>#N/A</v>
      </c>
      <c r="CS119" s="3" t="e">
        <f>VLOOKUP(CI119&amp;CN119,'Summary-output-SLS'!A:G,7,0)</f>
        <v>#N/A</v>
      </c>
      <c r="CT119" s="6"/>
      <c r="CU119" s="2" t="e">
        <f>VLOOKUP(CI119&amp;CN119,'Summary-output-ULS'!A:G,5,0)</f>
        <v>#N/A</v>
      </c>
      <c r="CV119" s="15" t="e">
        <f>VLOOKUP(CI119&amp;CN119,'Summary-output-SLS'!A:G,5,0)</f>
        <v>#N/A</v>
      </c>
      <c r="CW119" s="6"/>
      <c r="CX119" s="278"/>
      <c r="CY119" s="6"/>
      <c r="CZ119" s="6"/>
      <c r="DA119" s="6"/>
      <c r="DB119" s="6"/>
      <c r="DC119" s="6"/>
      <c r="DD119" s="6"/>
      <c r="DE119" s="6"/>
      <c r="DF119" s="6"/>
      <c r="DG119" s="6"/>
      <c r="DH119" s="6"/>
      <c r="DI119" s="6"/>
      <c r="DJ119" s="212"/>
      <c r="DK119" s="13"/>
      <c r="DL119" s="13"/>
      <c r="DM119" s="202"/>
      <c r="DN119" s="206"/>
      <c r="DO119" s="206"/>
      <c r="DP119" s="206"/>
      <c r="DQ119" s="206"/>
      <c r="DR119" s="206"/>
      <c r="DS119" s="207"/>
      <c r="DT119" s="208"/>
      <c r="DU119" s="207"/>
      <c r="DV119" s="207"/>
      <c r="DW119" s="207"/>
      <c r="DX119" s="207"/>
      <c r="DY119" s="207"/>
      <c r="DZ119" s="207"/>
    </row>
    <row r="120" spans="1:130" s="7" customFormat="1" ht="13.8" x14ac:dyDescent="0.25">
      <c r="A120" s="7" t="s">
        <v>141</v>
      </c>
      <c r="B120" s="19">
        <f t="shared" si="176"/>
        <v>99</v>
      </c>
      <c r="C120" s="6">
        <f t="shared" ref="C120:E123" si="205">CJ120</f>
        <v>0</v>
      </c>
      <c r="D120" s="6" t="e">
        <f t="shared" si="205"/>
        <v>#N/A</v>
      </c>
      <c r="E120" s="6" t="str">
        <f t="shared" si="205"/>
        <v>--</v>
      </c>
      <c r="F120" s="6" t="e">
        <f>+CM120</f>
        <v>#N/A</v>
      </c>
      <c r="G120" s="174" t="str">
        <f t="shared" ref="G120:H123" si="206">CN120</f>
        <v>Max Mz</v>
      </c>
      <c r="H120" s="6" t="e">
        <f t="shared" si="206"/>
        <v>#N/A</v>
      </c>
      <c r="I120" s="156"/>
      <c r="J120" s="10" t="e">
        <f t="shared" ref="J120:M123" si="207">(CP120)</f>
        <v>#N/A</v>
      </c>
      <c r="K120" s="10" t="e">
        <f t="shared" si="207"/>
        <v>#N/A</v>
      </c>
      <c r="L120" s="10" t="e">
        <f t="shared" si="207"/>
        <v>#N/A</v>
      </c>
      <c r="M120" s="10" t="e">
        <f t="shared" si="207"/>
        <v>#N/A</v>
      </c>
      <c r="N120" s="10" t="e">
        <f>IF(I120*J120&gt;=0,J120*$J$19+I120*$J$18,J120)</f>
        <v>#N/A</v>
      </c>
      <c r="O120" s="10" t="e">
        <f>(K120)*$J$19</f>
        <v>#N/A</v>
      </c>
      <c r="P120" s="14" t="e">
        <f>IF(I120*L120&gt;=0,(L120)+I120,L120)</f>
        <v>#N/A</v>
      </c>
      <c r="Q120" s="3" t="e">
        <f>(M120)</f>
        <v>#N/A</v>
      </c>
      <c r="R120" s="20">
        <f t="shared" si="177"/>
        <v>1000</v>
      </c>
      <c r="S120" s="23"/>
      <c r="T120" s="12">
        <v>32</v>
      </c>
      <c r="U120" s="28"/>
      <c r="V120" s="28"/>
      <c r="W120" s="12"/>
      <c r="X120" s="28"/>
      <c r="Y120" s="28"/>
      <c r="Z120" s="12"/>
      <c r="AA120" s="28"/>
      <c r="AB120" s="28"/>
      <c r="AC120" s="158"/>
      <c r="AD120" s="28"/>
      <c r="AE120" s="28"/>
      <c r="AF120" s="158"/>
      <c r="AG120" s="28"/>
      <c r="AH120" s="28"/>
      <c r="AI120" s="29"/>
      <c r="AJ120" s="6">
        <f>PI()/4*T120^2*$O$12/$AX$16</f>
        <v>5361.6514621265796</v>
      </c>
      <c r="AK120" s="28" t="str">
        <f>IF(W120=0,"","+")</f>
        <v/>
      </c>
      <c r="AL120" s="6">
        <f>PI()/4*W120^2*$O$12/$AX$16</f>
        <v>0</v>
      </c>
      <c r="AM120" s="28" t="str">
        <f>IF(Z120=0,"","+")</f>
        <v/>
      </c>
      <c r="AN120" s="6">
        <f>PI()/4*Z120^2*$O$12/$AX$16</f>
        <v>0</v>
      </c>
      <c r="AO120" s="28" t="str">
        <f>IF(AC120=0,"","+")</f>
        <v/>
      </c>
      <c r="AP120" s="6">
        <f>PI()/4*AC120^2*$O$12/$AX$16</f>
        <v>0</v>
      </c>
      <c r="AQ120" s="28" t="str">
        <f>IF(AF120=0,"","+")</f>
        <v/>
      </c>
      <c r="AR120" s="6">
        <f>PI()/4*AF120^2*$O$12/$AX$16</f>
        <v>0</v>
      </c>
      <c r="AS120" s="28" t="str">
        <f>IF(AI120=0,"","+")</f>
        <v/>
      </c>
      <c r="AT120" s="6">
        <f>PI()/4*AI120^2*$O$12/$AX$16</f>
        <v>0</v>
      </c>
      <c r="AU120" s="28" t="s">
        <v>24</v>
      </c>
      <c r="AV120" s="15">
        <f>VALUE(AJ120)+VALUE(AL120)+VALUE(AN120)+VALUE(AP120)+VALUE(AR120)+VALUE(AT120)</f>
        <v>5361.6514621265796</v>
      </c>
      <c r="AW120" s="228">
        <f>MAX(0.3*$AJ$14^(2/3)/$AJ$16*0.26*100,0.13)</f>
        <v>0.15723814702688016</v>
      </c>
      <c r="AX120" s="6">
        <f>AW120/100*$O$12*BK120</f>
        <v>1416.7157047121905</v>
      </c>
      <c r="AY120" s="6"/>
      <c r="AZ120" s="6"/>
      <c r="BA120" s="24" t="str">
        <f>IF(BB120=0,"","+")</f>
        <v/>
      </c>
      <c r="BB120" s="24"/>
      <c r="BC120" s="28" t="s">
        <v>24</v>
      </c>
      <c r="BD120" s="15">
        <f>AX120+AZ120+BB120</f>
        <v>1416.7157047121905</v>
      </c>
      <c r="BE120" s="2">
        <f>(R120-($AX$14+$O$16+T120/2))</f>
        <v>901</v>
      </c>
      <c r="BF120" s="3">
        <f>IF(W120=0,0,(R120-($AX$14+T120/2+$O$16+$BI$16)))</f>
        <v>0</v>
      </c>
      <c r="BG120" s="3">
        <f>IF(Z120=0,0,(R120-($AX$14+T120/2+$BI$16+$O$16+$BI$17)))</f>
        <v>0</v>
      </c>
      <c r="BH120" s="3">
        <f>IF(AC120=0,0,(R120-($AX$14+T120/2+$O$16+$BI$16+$BI$17+$BI$18)))</f>
        <v>0</v>
      </c>
      <c r="BI120" s="3">
        <f>IF(AF120=0,0,(R120-($AX$14+T120/2+$O$16+$BI$16+$BI$17+$BI$18+$BL$16)))</f>
        <v>0</v>
      </c>
      <c r="BJ120" s="3">
        <f>IF(AI120=0,0,(R120-($AX$14+T120/2+$O$16+$BI$16+$BI$17+$BI$18+$BL$16+$BL$17)))</f>
        <v>0</v>
      </c>
      <c r="BK120" s="6">
        <f>(BE120*AJ120+BF120*AL120+BG120*AN120+BH120*AP120+BI120*AR120+BJ120*AT120)/AV120</f>
        <v>901.00000000000011</v>
      </c>
      <c r="BL120" s="175" t="e">
        <f>ABS(N120)*1000000/$O$12/BK120^2</f>
        <v>#N/A</v>
      </c>
      <c r="BM120" s="175" t="e">
        <f>BL120/$AJ$14</f>
        <v>#N/A</v>
      </c>
      <c r="BN120" s="21" t="e">
        <f>IF(BM120&lt;0.167,0.5+SQRT(0.25-(BM120/1.134)),0.82)</f>
        <v>#N/A</v>
      </c>
      <c r="BO120" s="15" t="e">
        <f>ABS(N120)/(0.87*$AJ$16*BN120*BK120)*10^6</f>
        <v>#N/A</v>
      </c>
      <c r="BP120" s="22">
        <v>3751.9529127373571</v>
      </c>
      <c r="BQ120" s="175" t="e">
        <f>IF(Q120=0,2*ABS(P120*10^6)/$O$12/BP120/(BK120-BP120/3),Q120*BP120*1000/($O$12/2*BP120^2-(BE120-BP120)*AJ120*$AJ$18-(BF120-BP120)*AL120*$AJ$18-(BG120-BP120)*AN120*$AJ$18-(BH120-BP120)*AP120*$AJ$18-(BI120-BP120)*AR120*$AJ$18-(BJ120-BP120)*AT120*$AJ$18))</f>
        <v>#N/A</v>
      </c>
      <c r="BR120" s="3" t="e">
        <f>0.5*$O$12*BP120*BQ120 /1000</f>
        <v>#N/A</v>
      </c>
      <c r="BS120" s="3" t="e">
        <f>($BQ120/$BP120)*(BE120-$BP120)*$AJ$18*AJ120/1000</f>
        <v>#N/A</v>
      </c>
      <c r="BT120" s="3" t="e">
        <f>($BQ120/$BP120)*(BF120-$BP120)*$AJ$18*AL120/1000</f>
        <v>#N/A</v>
      </c>
      <c r="BU120" s="3" t="e">
        <f>($BQ120/$BP120)*(BG120-$BP120)*$AJ$18*AN120/1000</f>
        <v>#N/A</v>
      </c>
      <c r="BV120" s="3" t="e">
        <f>($BQ120/$BP120)*(BH120-$BP120)*$AJ$18*AP120/1000</f>
        <v>#N/A</v>
      </c>
      <c r="BW120" s="3" t="e">
        <f>($BQ120/$BP120)*(BI120-$BP120)*$AJ$18*AR120/1000</f>
        <v>#N/A</v>
      </c>
      <c r="BX120" s="3" t="e">
        <f>($BQ120/$BP120)*(BJ120-$BP120)*$AJ$18*AT120/1000</f>
        <v>#N/A</v>
      </c>
      <c r="BY120" s="175" t="e">
        <f>IF(Q120=0,0,(0.5*$O$12*BP120*BQ120/1000*(R120/2-$BP120/3)+BS120*(BE120-R120/2)+BT120*(BF120-R120/2)+BU120*(BG120-R120/2)+BV120*(BH120-R120/2)+BW120*(BI120-R120/2)+BX120*(BJ120-R120/2))/1000-ABS(P120))</f>
        <v>#N/A</v>
      </c>
      <c r="BZ120" s="10"/>
      <c r="CA120" s="176" t="e">
        <f>ABS(P120)/(BK120-BP120/3)/AV120*10^6-Q120*(R120/2-BP120/3)/(BK120-BP120/3)/AV120*1000</f>
        <v>#N/A</v>
      </c>
      <c r="CB120" s="177">
        <f>(AV120/($O$12*MIN(2.5*(R120-BK120),(R120-BP120)/3,R120/2)-AV120))</f>
        <v>-5.8109589386122042E-3</v>
      </c>
      <c r="CC120" s="177">
        <f>3.4*($O$16+$AX$14)+0.425*0.8*0.5*(T120^2+W120^2+Z120^2+AC120^2+AF120^2+AI120^2)/(T120+W120+Z120+AC120+AF120+AI120)/CB120</f>
        <v>-653.9621820888658</v>
      </c>
      <c r="CD120" s="177" t="e">
        <f>MAX(0.6*CA120/$AJ$17,(CA120-0.4*0.3*$AJ$14^(2/3)/CB120*(1+$AJ$17/$AJ$15*CB120))/$AJ$17)</f>
        <v>#N/A</v>
      </c>
      <c r="CE120" s="178" t="e">
        <f>CC120*CD120/1000</f>
        <v>#N/A</v>
      </c>
      <c r="CF120" s="23" t="e">
        <f>IF(AND(AV120&gt;=BD120,AV120&gt;=BO120,CE120&lt;=(+IF(CO120="External",0.25,0.3))),"O.K", "Not O.K")</f>
        <v>#N/A</v>
      </c>
      <c r="CG120" s="28"/>
      <c r="CH120" s="179" t="e">
        <f>IF(O120&lt;0.2*$AJ$14*R120*$O$12/1000,"N &lt; 0.2fckAc - OK!","TBA")</f>
        <v>#N/A</v>
      </c>
      <c r="CI120" s="24">
        <v>99</v>
      </c>
      <c r="CJ120" s="25"/>
      <c r="CK120" s="6" t="e">
        <f t="shared" si="203"/>
        <v>#N/A</v>
      </c>
      <c r="CL120" s="8" t="s">
        <v>72</v>
      </c>
      <c r="CM120" s="6" t="e">
        <f t="shared" si="204"/>
        <v>#N/A</v>
      </c>
      <c r="CN120" s="26" t="s">
        <v>147</v>
      </c>
      <c r="CO120" s="15" t="e">
        <f>IF(VLOOKUP(CI120,'Summary-input'!A:C,3,0)="Outward",
IF(CP120&lt;0,"External","Internal"),
IF(CP120&lt;0,"Internal","External")
)</f>
        <v>#N/A</v>
      </c>
      <c r="CP120" t="e">
        <f>VLOOKUP(CI120&amp;CN120,'Summary-output-ULS'!A:G,6,0)</f>
        <v>#N/A</v>
      </c>
      <c r="CQ120" t="e">
        <f>VLOOKUP(CI120&amp;CN120,'Summary-output-ULS'!A:G,7,0)</f>
        <v>#N/A</v>
      </c>
      <c r="CR120" s="3" t="e">
        <f>VLOOKUP(CI120&amp;CN120,'Summary-output-SLS'!A:G,6,0)</f>
        <v>#N/A</v>
      </c>
      <c r="CS120" s="3" t="e">
        <f>VLOOKUP(CI120&amp;CN120,'Summary-output-SLS'!A:G,7,0)</f>
        <v>#N/A</v>
      </c>
      <c r="CT120" s="20">
        <v>1000</v>
      </c>
      <c r="CU120" s="2" t="e">
        <f>VLOOKUP(CI120&amp;CN120,'Summary-output-ULS'!A:G,5,0)</f>
        <v>#N/A</v>
      </c>
      <c r="CV120" s="15" t="e">
        <f>VLOOKUP(CI120&amp;CN120,'Summary-output-SLS'!A:G,5,0)</f>
        <v>#N/A</v>
      </c>
      <c r="CW120" s="6"/>
      <c r="CX120" s="278">
        <f>CI120</f>
        <v>99</v>
      </c>
      <c r="CY120" s="6" t="e">
        <f t="shared" ref="CY120:DD120" si="208">MAX(DN120:DN123)</f>
        <v>#N/A</v>
      </c>
      <c r="CZ120" s="6" t="e">
        <f t="shared" si="208"/>
        <v>#N/A</v>
      </c>
      <c r="DA120" s="6" t="e">
        <f t="shared" si="208"/>
        <v>#N/A</v>
      </c>
      <c r="DB120" s="6" t="e">
        <f t="shared" si="208"/>
        <v>#N/A</v>
      </c>
      <c r="DC120" s="6" t="e">
        <f t="shared" si="208"/>
        <v>#N/A</v>
      </c>
      <c r="DD120" s="6" t="e">
        <f t="shared" si="208"/>
        <v>#N/A</v>
      </c>
      <c r="DE120" s="6"/>
      <c r="DF120" s="6" t="e">
        <f t="shared" ref="DF120:DK120" si="209">MAX(DU120:DU123)</f>
        <v>#N/A</v>
      </c>
      <c r="DG120" s="6" t="e">
        <f t="shared" si="209"/>
        <v>#N/A</v>
      </c>
      <c r="DH120" s="6" t="e">
        <f t="shared" si="209"/>
        <v>#N/A</v>
      </c>
      <c r="DI120" s="6" t="e">
        <f t="shared" si="209"/>
        <v>#N/A</v>
      </c>
      <c r="DJ120" s="6" t="e">
        <f t="shared" si="209"/>
        <v>#N/A</v>
      </c>
      <c r="DK120" s="6" t="e">
        <f t="shared" si="209"/>
        <v>#N/A</v>
      </c>
      <c r="DL120" s="13"/>
      <c r="DM120" s="202">
        <f>CI120</f>
        <v>99</v>
      </c>
      <c r="DN120" s="206" t="e">
        <f>IF(CO120="external",T120,0)</f>
        <v>#N/A</v>
      </c>
      <c r="DO120" s="206" t="e">
        <f>IF(CO120="external",W120,0)</f>
        <v>#N/A</v>
      </c>
      <c r="DP120" s="206" t="e">
        <f>IF(CO120="external",Z120,0)</f>
        <v>#N/A</v>
      </c>
      <c r="DQ120" s="206" t="e">
        <f>IF(CO120="external",AC120,0)</f>
        <v>#N/A</v>
      </c>
      <c r="DR120" s="206" t="e">
        <f>IF(CO120="external",AF120,0)</f>
        <v>#N/A</v>
      </c>
      <c r="DS120" s="207" t="e">
        <f>IF(CO120="external",AI120,0)</f>
        <v>#N/A</v>
      </c>
      <c r="DT120" s="208"/>
      <c r="DU120" s="207" t="e">
        <f>IF(CO120="internal",T120,0)</f>
        <v>#N/A</v>
      </c>
      <c r="DV120" s="207" t="e">
        <f>IF(CO120="internal",W120,0)</f>
        <v>#N/A</v>
      </c>
      <c r="DW120" s="207" t="e">
        <f>IF(CO120="internal",Z120,0)</f>
        <v>#N/A</v>
      </c>
      <c r="DX120" s="207" t="e">
        <f>IF(CO120="internal",AC120,0)</f>
        <v>#N/A</v>
      </c>
      <c r="DY120" s="207" t="e">
        <f>IF(CO120="internal",AF120,0)</f>
        <v>#N/A</v>
      </c>
      <c r="DZ120" s="207" t="e">
        <f>IF(CO120="internal",AI120,0)</f>
        <v>#N/A</v>
      </c>
    </row>
    <row r="121" spans="1:130" s="7" customFormat="1" x14ac:dyDescent="0.3">
      <c r="B121" s="19">
        <f t="shared" si="176"/>
        <v>99</v>
      </c>
      <c r="C121" s="6">
        <f t="shared" si="205"/>
        <v>0</v>
      </c>
      <c r="D121" s="6" t="e">
        <f t="shared" si="205"/>
        <v>#N/A</v>
      </c>
      <c r="E121" s="6" t="str">
        <f t="shared" si="205"/>
        <v>--</v>
      </c>
      <c r="F121" s="6" t="e">
        <f>+CM121</f>
        <v>#N/A</v>
      </c>
      <c r="G121" s="174" t="str">
        <f t="shared" si="206"/>
        <v>Min Mz</v>
      </c>
      <c r="H121" s="6" t="e">
        <f t="shared" si="206"/>
        <v>#N/A</v>
      </c>
      <c r="I121" s="156"/>
      <c r="J121" s="10" t="e">
        <f t="shared" si="207"/>
        <v>#N/A</v>
      </c>
      <c r="K121" s="10" t="e">
        <f t="shared" si="207"/>
        <v>#N/A</v>
      </c>
      <c r="L121" s="10" t="e">
        <f t="shared" si="207"/>
        <v>#N/A</v>
      </c>
      <c r="M121" s="10" t="e">
        <f t="shared" si="207"/>
        <v>#N/A</v>
      </c>
      <c r="N121" s="10" t="e">
        <f>IF(I121*J121&gt;=0,J121*$J$19+I121*$J$18,J121)</f>
        <v>#N/A</v>
      </c>
      <c r="O121" s="10" t="e">
        <f>(K121)*$J$19</f>
        <v>#N/A</v>
      </c>
      <c r="P121" s="14" t="e">
        <f>IF(I121*L121&gt;=0,(L121)+I121,L121)</f>
        <v>#N/A</v>
      </c>
      <c r="Q121" s="3" t="e">
        <f>(M121)</f>
        <v>#N/A</v>
      </c>
      <c r="R121" s="20">
        <f t="shared" si="177"/>
        <v>1000</v>
      </c>
      <c r="S121" s="23"/>
      <c r="T121" s="12">
        <v>20</v>
      </c>
      <c r="U121" s="28"/>
      <c r="V121" s="28"/>
      <c r="W121" s="12"/>
      <c r="X121" s="28"/>
      <c r="Y121" s="28"/>
      <c r="Z121" s="12"/>
      <c r="AA121" s="28"/>
      <c r="AB121" s="28"/>
      <c r="AC121" s="158"/>
      <c r="AD121" s="28"/>
      <c r="AE121" s="28"/>
      <c r="AF121" s="158"/>
      <c r="AG121" s="28"/>
      <c r="AH121" s="28"/>
      <c r="AI121" s="29"/>
      <c r="AJ121" s="6">
        <f>PI()/4*T121^2*$O$12/$AX$16</f>
        <v>2094.3951023931954</v>
      </c>
      <c r="AK121" s="28" t="str">
        <f>IF(W121=0,"","+")</f>
        <v/>
      </c>
      <c r="AL121" s="6">
        <f>PI()/4*W121^2*$O$12/$AX$16</f>
        <v>0</v>
      </c>
      <c r="AM121" s="28" t="str">
        <f>IF(Z121=0,"","+")</f>
        <v/>
      </c>
      <c r="AN121" s="6">
        <f>PI()/4*Z121^2*$O$12/$AX$16</f>
        <v>0</v>
      </c>
      <c r="AO121" s="28" t="str">
        <f>IF(AC121=0,"","+")</f>
        <v/>
      </c>
      <c r="AP121" s="6">
        <f>PI()/4*AC121^2*$O$12/$AX$16</f>
        <v>0</v>
      </c>
      <c r="AQ121" s="28" t="str">
        <f>IF(AF121=0,"","+")</f>
        <v/>
      </c>
      <c r="AR121" s="6">
        <f>PI()/4*AF121^2*$O$12/$AX$16</f>
        <v>0</v>
      </c>
      <c r="AS121" s="28" t="str">
        <f>IF(AI121=0,"","+")</f>
        <v/>
      </c>
      <c r="AT121" s="6">
        <f>PI()/4*AI121^2*$O$12/$AX$16</f>
        <v>0</v>
      </c>
      <c r="AU121" s="28" t="s">
        <v>24</v>
      </c>
      <c r="AV121" s="15">
        <f>VALUE(AJ121)+VALUE(AL121)+VALUE(AN121)+VALUE(AP121)+VALUE(AR121)+VALUE(AT121)</f>
        <v>2094.3951023931954</v>
      </c>
      <c r="AW121" s="228">
        <f>MAX(0.3*$AJ$14^(2/3)/$AJ$16*0.26*100,0.13)</f>
        <v>0.15723814702688016</v>
      </c>
      <c r="AX121" s="6">
        <f>AW121/100*$O$12*BK121</f>
        <v>1426.1499935338031</v>
      </c>
      <c r="AY121" s="6"/>
      <c r="AZ121" s="6"/>
      <c r="BA121" s="24" t="str">
        <f>IF(BB121=0,"","+")</f>
        <v/>
      </c>
      <c r="BB121" s="24"/>
      <c r="BC121" s="28" t="s">
        <v>24</v>
      </c>
      <c r="BD121" s="15">
        <f>AX121+AZ121+BB121</f>
        <v>1426.1499935338031</v>
      </c>
      <c r="BE121" s="2">
        <f>(R121-($AX$14+$O$16+T121/2))</f>
        <v>907</v>
      </c>
      <c r="BF121" s="3">
        <f>IF(W121=0,0,(R121-($AX$14+T121/2+$O$16+$BI$16)))</f>
        <v>0</v>
      </c>
      <c r="BG121" s="3">
        <f>IF(Z121=0,0,(R121-($AX$14+T121/2+$BI$16+$O$16+$BI$17)))</f>
        <v>0</v>
      </c>
      <c r="BH121" s="3">
        <f>IF(AC121=0,0,(R121-($AX$14+T121/2+$O$16+$BI$16+$BI$17+$BI$18)))</f>
        <v>0</v>
      </c>
      <c r="BI121" s="3">
        <f>IF(AF121=0,0,(R121-($AX$14+T121/2+$O$16+$BI$16+$BI$17+$BI$18+$BL$16)))</f>
        <v>0</v>
      </c>
      <c r="BJ121" s="3">
        <f>IF(AI121=0,0,(R121-($AX$14+T121/2+$O$16+$BI$16+$BI$17+$BI$18+$BL$16+$BL$17)))</f>
        <v>0</v>
      </c>
      <c r="BK121" s="6">
        <f>(BE121*AJ121+BF121*AL121+BG121*AN121+BH121*AP121+BI121*AR121+BJ121*AT121)/AV121</f>
        <v>907</v>
      </c>
      <c r="BL121" s="175" t="e">
        <f>ABS(N121)*1000000/$O$12/BK121^2</f>
        <v>#N/A</v>
      </c>
      <c r="BM121" s="175" t="e">
        <f>BL121/$AJ$14</f>
        <v>#N/A</v>
      </c>
      <c r="BN121" s="21" t="e">
        <f>IF(BM121&lt;0.167,0.5+SQRT(0.25-(BM121/1.134)),0.82)</f>
        <v>#N/A</v>
      </c>
      <c r="BO121" s="15" t="e">
        <f>ABS(N121)/(0.87*$AJ$16*BN121*BK121)*10^6</f>
        <v>#N/A</v>
      </c>
      <c r="BP121" s="22">
        <v>1532.952547297233</v>
      </c>
      <c r="BQ121" s="175" t="e">
        <f>IF(Q121=0,2*ABS(P121*10^6)/$O$12/BP121/(BK121-BP121/3),Q121*BP121*1000/($O$12/2*BP121^2-(BE121-BP121)*AJ121*$AJ$18-(BF121-BP121)*AL121*$AJ$18-(BG121-BP121)*AN121*$AJ$18-(BH121-BP121)*AP121*$AJ$18-(BI121-BP121)*AR121*$AJ$18-(BJ121-BP121)*AT121*$AJ$18))</f>
        <v>#N/A</v>
      </c>
      <c r="BR121" s="3" t="e">
        <f>0.5*$O$12*BP121*BQ121 /1000</f>
        <v>#N/A</v>
      </c>
      <c r="BS121" s="3" t="e">
        <f>($BQ121/$BP121)*(BE121-$BP121)*$AJ$18*AJ121/1000</f>
        <v>#N/A</v>
      </c>
      <c r="BT121" s="3" t="e">
        <f>($BQ121/$BP121)*(BF121-$BP121)*$AJ$18*AL121/1000</f>
        <v>#N/A</v>
      </c>
      <c r="BU121" s="3" t="e">
        <f>($BQ121/$BP121)*(BG121-$BP121)*$AJ$18*AN121/1000</f>
        <v>#N/A</v>
      </c>
      <c r="BV121" s="3" t="e">
        <f>($BQ121/$BP121)*(BH121-$BP121)*$AJ$18*AP121/1000</f>
        <v>#N/A</v>
      </c>
      <c r="BW121" s="3" t="e">
        <f>($BQ121/$BP121)*(BI121-$BP121)*$AJ$18*AR121/1000</f>
        <v>#N/A</v>
      </c>
      <c r="BX121" s="3" t="e">
        <f>($BQ121/$BP121)*(BJ121-$BP121)*$AJ$18*AT121/1000</f>
        <v>#N/A</v>
      </c>
      <c r="BY121" s="175" t="e">
        <f>IF(Q121=0,0,(0.5*$O$12*BP121*BQ121/1000*(R121/2-$BP121/3)+BS121*(BE121-R121/2)+BT121*(BF121-R121/2)+BU121*(BG121-R121/2)+BV121*(BH121-R121/2)+BW121*(BI121-R121/2)+BX121*(BJ121-R121/2))/1000-ABS(P121))</f>
        <v>#N/A</v>
      </c>
      <c r="BZ121" s="10"/>
      <c r="CA121" s="176" t="e">
        <f>ABS(P121)/(BK121-BP121/3)/AV121*10^6-Q121*(R121/2-BP121/3)/(BK121-BP121/3)/AV121*1000</f>
        <v>#N/A</v>
      </c>
      <c r="CB121" s="177">
        <f>(AV121/($O$12*MIN(2.5*(R121-BK121),(R121-BP121)/3,R121/2)-AV121))</f>
        <v>-1.1652019566346096E-2</v>
      </c>
      <c r="CC121" s="177">
        <f>3.4*($O$16+$AX$14)+0.425*0.8*0.5*(T121^2+W121^2+Z121^2+AC121^2+AF121^2+AI121^2)/(T121+W121+Z121+AC121+AF121+AI121)/CB121</f>
        <v>-9.594909941623996</v>
      </c>
      <c r="CD121" s="177" t="e">
        <f>MAX(0.6*CA121/$AJ$17,(CA121-0.4*0.3*$AJ$14^(2/3)/CB121*(1+$AJ$17/$AJ$15*CB121))/$AJ$17)</f>
        <v>#N/A</v>
      </c>
      <c r="CE121" s="178" t="e">
        <f>CC121*CD121/1000</f>
        <v>#N/A</v>
      </c>
      <c r="CF121" s="23" t="e">
        <f>IF(AND(AV121&gt;=BD121,AV121&gt;=BO121,CE121&lt;=(+IF(CO121="External",0.25,0.3))),"O.K", "Not O.K")</f>
        <v>#N/A</v>
      </c>
      <c r="CG121" s="28"/>
      <c r="CH121" s="179" t="e">
        <f>IF(O121&lt;0.2*$AJ$14*R121*$O$12/1000,"N &lt; 0.2fckAc - OK!","TBA")</f>
        <v>#N/A</v>
      </c>
      <c r="CI121" s="24">
        <v>99</v>
      </c>
      <c r="CJ121" s="25"/>
      <c r="CK121" s="6" t="e">
        <f t="shared" si="203"/>
        <v>#N/A</v>
      </c>
      <c r="CL121" s="8" t="s">
        <v>72</v>
      </c>
      <c r="CM121" s="6" t="e">
        <f t="shared" si="204"/>
        <v>#N/A</v>
      </c>
      <c r="CN121" s="26" t="s">
        <v>148</v>
      </c>
      <c r="CO121" s="15" t="e">
        <f>IF(VLOOKUP(CI121,'Summary-input'!A:C,3,0)="Outward",
IF(CP121&lt;0,"External","Internal"),
IF(CP121&lt;0,"Internal","External")
)</f>
        <v>#N/A</v>
      </c>
      <c r="CP121" t="e">
        <f>VLOOKUP(CI121&amp;CN121,'Summary-output-ULS'!A:G,6,0)</f>
        <v>#N/A</v>
      </c>
      <c r="CQ121" t="e">
        <f>VLOOKUP(CI121&amp;CN121,'Summary-output-ULS'!A:G,7,0)</f>
        <v>#N/A</v>
      </c>
      <c r="CR121" s="3" t="e">
        <f>VLOOKUP(CI121&amp;CN121,'Summary-output-SLS'!A:G,6,0)</f>
        <v>#N/A</v>
      </c>
      <c r="CS121" s="3" t="e">
        <f>VLOOKUP(CI121&amp;CN121,'Summary-output-SLS'!A:G,7,0)</f>
        <v>#N/A</v>
      </c>
      <c r="CT121" s="20">
        <v>1000</v>
      </c>
      <c r="CU121" s="2" t="e">
        <f>VLOOKUP(CI121&amp;CN121,'Summary-output-ULS'!A:G,5,0)</f>
        <v>#N/A</v>
      </c>
      <c r="CV121" s="15" t="e">
        <f>VLOOKUP(CI121&amp;CN121,'Summary-output-SLS'!A:G,5,0)</f>
        <v>#N/A</v>
      </c>
      <c r="CW121" s="6"/>
      <c r="CX121" s="278"/>
      <c r="CY121" s="6"/>
      <c r="CZ121" s="6"/>
      <c r="DA121" s="6"/>
      <c r="DB121" s="6"/>
      <c r="DC121" s="6"/>
      <c r="DD121" s="6"/>
      <c r="DE121" s="6"/>
      <c r="DF121" s="6"/>
      <c r="DG121" s="6"/>
      <c r="DH121" s="6"/>
      <c r="DI121" s="6"/>
      <c r="DJ121" s="212"/>
      <c r="DK121" s="13"/>
      <c r="DL121" s="13"/>
      <c r="DM121" s="202"/>
      <c r="DN121" s="206" t="e">
        <f>IF(CO121="external",T121,0)</f>
        <v>#N/A</v>
      </c>
      <c r="DO121" s="206" t="e">
        <f>IF(CO121="external",W121,0)</f>
        <v>#N/A</v>
      </c>
      <c r="DP121" s="206" t="e">
        <f>IF(CO121="external",Z121,0)</f>
        <v>#N/A</v>
      </c>
      <c r="DQ121" s="206" t="e">
        <f>IF(CO121="external",AC121,0)</f>
        <v>#N/A</v>
      </c>
      <c r="DR121" s="206" t="e">
        <f>IF(CO121="external",AF121,0)</f>
        <v>#N/A</v>
      </c>
      <c r="DS121" s="207" t="e">
        <f>IF(CO121="external",AI121,0)</f>
        <v>#N/A</v>
      </c>
      <c r="DT121" s="208"/>
      <c r="DU121" s="207" t="e">
        <f>IF(CO121="internal",T121,0)</f>
        <v>#N/A</v>
      </c>
      <c r="DV121" s="207" t="e">
        <f>IF(CO121="internal",W121,0)</f>
        <v>#N/A</v>
      </c>
      <c r="DW121" s="207" t="e">
        <f>IF(CO121="internal",Z121,0)</f>
        <v>#N/A</v>
      </c>
      <c r="DX121" s="207" t="e">
        <f>IF(CO121="internal",AC121,0)</f>
        <v>#N/A</v>
      </c>
      <c r="DY121" s="207" t="e">
        <f>IF(CO121="internal",AF121,0)</f>
        <v>#N/A</v>
      </c>
      <c r="DZ121" s="207" t="e">
        <f>IF(CO121="internal",AI121,0)</f>
        <v>#N/A</v>
      </c>
    </row>
    <row r="122" spans="1:130" s="7" customFormat="1" x14ac:dyDescent="0.3">
      <c r="B122" s="19">
        <f t="shared" si="176"/>
        <v>99</v>
      </c>
      <c r="C122" s="6">
        <f t="shared" si="205"/>
        <v>0</v>
      </c>
      <c r="D122" s="6" t="e">
        <f t="shared" si="205"/>
        <v>#N/A</v>
      </c>
      <c r="E122" s="6" t="str">
        <f t="shared" si="205"/>
        <v>--</v>
      </c>
      <c r="F122" s="6" t="e">
        <f>+CM122</f>
        <v>#N/A</v>
      </c>
      <c r="G122" s="174" t="str">
        <f t="shared" si="206"/>
        <v>Max Fx</v>
      </c>
      <c r="H122" s="6" t="e">
        <f t="shared" si="206"/>
        <v>#N/A</v>
      </c>
      <c r="I122" s="156"/>
      <c r="J122" s="10" t="e">
        <f t="shared" si="207"/>
        <v>#N/A</v>
      </c>
      <c r="K122" s="10" t="e">
        <f t="shared" si="207"/>
        <v>#N/A</v>
      </c>
      <c r="L122" s="10" t="e">
        <f t="shared" si="207"/>
        <v>#N/A</v>
      </c>
      <c r="M122" s="10" t="e">
        <f t="shared" si="207"/>
        <v>#N/A</v>
      </c>
      <c r="N122" s="10" t="e">
        <f>IF(I122*J122&gt;=0,J122*$J$19+I122*$J$18,J122)</f>
        <v>#N/A</v>
      </c>
      <c r="O122" s="10" t="e">
        <f>(K122)*$J$19</f>
        <v>#N/A</v>
      </c>
      <c r="P122" s="14" t="e">
        <f>IF(I122*L122&gt;=0,(L122)+I122,L122)</f>
        <v>#N/A</v>
      </c>
      <c r="Q122" s="3" t="e">
        <f>(M122)</f>
        <v>#N/A</v>
      </c>
      <c r="R122" s="20">
        <f t="shared" si="177"/>
        <v>1000</v>
      </c>
      <c r="S122" s="23"/>
      <c r="T122" s="12">
        <v>32</v>
      </c>
      <c r="U122" s="28"/>
      <c r="V122" s="28"/>
      <c r="W122" s="12"/>
      <c r="X122" s="28"/>
      <c r="Y122" s="28"/>
      <c r="Z122" s="12"/>
      <c r="AA122" s="28"/>
      <c r="AB122" s="28"/>
      <c r="AC122" s="158"/>
      <c r="AD122" s="28"/>
      <c r="AE122" s="28"/>
      <c r="AF122" s="158"/>
      <c r="AG122" s="28"/>
      <c r="AH122" s="28"/>
      <c r="AI122" s="29"/>
      <c r="AJ122" s="6">
        <f>PI()/4*T122^2*$O$12/$AX$16</f>
        <v>5361.6514621265796</v>
      </c>
      <c r="AK122" s="28" t="str">
        <f>IF(W122=0,"","+")</f>
        <v/>
      </c>
      <c r="AL122" s="6">
        <f>PI()/4*W122^2*$O$12/$AX$16</f>
        <v>0</v>
      </c>
      <c r="AM122" s="28" t="str">
        <f>IF(Z122=0,"","+")</f>
        <v/>
      </c>
      <c r="AN122" s="6">
        <f>PI()/4*Z122^2*$O$12/$AX$16</f>
        <v>0</v>
      </c>
      <c r="AO122" s="28" t="str">
        <f>IF(AC122=0,"","+")</f>
        <v/>
      </c>
      <c r="AP122" s="6">
        <f>PI()/4*AC122^2*$O$12/$AX$16</f>
        <v>0</v>
      </c>
      <c r="AQ122" s="28" t="str">
        <f>IF(AF122=0,"","+")</f>
        <v/>
      </c>
      <c r="AR122" s="6">
        <f>PI()/4*AF122^2*$O$12/$AX$16</f>
        <v>0</v>
      </c>
      <c r="AS122" s="28" t="str">
        <f>IF(AI122=0,"","+")</f>
        <v/>
      </c>
      <c r="AT122" s="6">
        <f>PI()/4*AI122^2*$O$12/$AX$16</f>
        <v>0</v>
      </c>
      <c r="AU122" s="28" t="s">
        <v>24</v>
      </c>
      <c r="AV122" s="15">
        <f>VALUE(AJ122)+VALUE(AL122)+VALUE(AN122)+VALUE(AP122)+VALUE(AR122)+VALUE(AT122)</f>
        <v>5361.6514621265796</v>
      </c>
      <c r="AW122" s="228">
        <f>MAX(0.3*$AJ$14^(2/3)/$AJ$16*0.26*100,0.13)</f>
        <v>0.15723814702688016</v>
      </c>
      <c r="AX122" s="6">
        <f>AW122/100*$O$12*BK122</f>
        <v>1416.7157047121905</v>
      </c>
      <c r="AY122" s="6"/>
      <c r="AZ122" s="6"/>
      <c r="BA122" s="24" t="str">
        <f>IF(BB122=0,"","+")</f>
        <v/>
      </c>
      <c r="BB122" s="24"/>
      <c r="BC122" s="28" t="s">
        <v>24</v>
      </c>
      <c r="BD122" s="15">
        <f>AX122+AZ122+BB122</f>
        <v>1416.7157047121905</v>
      </c>
      <c r="BE122" s="2">
        <f>(R122-($AX$14+$O$16+T122/2))</f>
        <v>901</v>
      </c>
      <c r="BF122" s="3">
        <f>IF(W122=0,0,(R122-($AX$14+T122/2+$O$16+$BI$16)))</f>
        <v>0</v>
      </c>
      <c r="BG122" s="3">
        <f>IF(Z122=0,0,(R122-($AX$14+T122/2+$BI$16+$O$16+$BI$17)))</f>
        <v>0</v>
      </c>
      <c r="BH122" s="3">
        <f>IF(AC122=0,0,(R122-($AX$14+T122/2+$O$16+$BI$16+$BI$17+$BI$18)))</f>
        <v>0</v>
      </c>
      <c r="BI122" s="3">
        <f>IF(AF122=0,0,(R122-($AX$14+T122/2+$O$16+$BI$16+$BI$17+$BI$18+$BL$16)))</f>
        <v>0</v>
      </c>
      <c r="BJ122" s="3">
        <f>IF(AI122=0,0,(R122-($AX$14+T122/2+$O$16+$BI$16+$BI$17+$BI$18+$BL$16+$BL$17)))</f>
        <v>0</v>
      </c>
      <c r="BK122" s="6">
        <f>(BE122*AJ122+BF122*AL122+BG122*AN122+BH122*AP122+BI122*AR122+BJ122*AT122)/AV122</f>
        <v>901.00000000000011</v>
      </c>
      <c r="BL122" s="175" t="e">
        <f>ABS(N122)*1000000/$O$12/BK122^2</f>
        <v>#N/A</v>
      </c>
      <c r="BM122" s="175" t="e">
        <f>BL122/$AJ$14</f>
        <v>#N/A</v>
      </c>
      <c r="BN122" s="21" t="e">
        <f>IF(BM122&lt;0.167,0.5+SQRT(0.25-(BM122/1.134)),0.82)</f>
        <v>#N/A</v>
      </c>
      <c r="BO122" s="15" t="e">
        <f>ABS(N122)/(0.87*$AJ$16*BN122*BK122)*10^6</f>
        <v>#N/A</v>
      </c>
      <c r="BP122" s="22">
        <v>3751.9529127373571</v>
      </c>
      <c r="BQ122" s="175" t="e">
        <f>IF(Q122=0,2*ABS(P122*10^6)/$O$12/BP122/(BK122-BP122/3),Q122*BP122*1000/($O$12/2*BP122^2-(BE122-BP122)*AJ122*$AJ$18-(BF122-BP122)*AL122*$AJ$18-(BG122-BP122)*AN122*$AJ$18-(BH122-BP122)*AP122*$AJ$18-(BI122-BP122)*AR122*$AJ$18-(BJ122-BP122)*AT122*$AJ$18))</f>
        <v>#N/A</v>
      </c>
      <c r="BR122" s="3" t="e">
        <f>0.5*$O$12*BP122*BQ122 /1000</f>
        <v>#N/A</v>
      </c>
      <c r="BS122" s="3" t="e">
        <f>($BQ122/$BP122)*(BE122-$BP122)*$AJ$18*AJ122/1000</f>
        <v>#N/A</v>
      </c>
      <c r="BT122" s="3" t="e">
        <f>($BQ122/$BP122)*(BF122-$BP122)*$AJ$18*AL122/1000</f>
        <v>#N/A</v>
      </c>
      <c r="BU122" s="3" t="e">
        <f>($BQ122/$BP122)*(BG122-$BP122)*$AJ$18*AN122/1000</f>
        <v>#N/A</v>
      </c>
      <c r="BV122" s="3" t="e">
        <f>($BQ122/$BP122)*(BH122-$BP122)*$AJ$18*AP122/1000</f>
        <v>#N/A</v>
      </c>
      <c r="BW122" s="3" t="e">
        <f>($BQ122/$BP122)*(BI122-$BP122)*$AJ$18*AR122/1000</f>
        <v>#N/A</v>
      </c>
      <c r="BX122" s="3" t="e">
        <f>($BQ122/$BP122)*(BJ122-$BP122)*$AJ$18*AT122/1000</f>
        <v>#N/A</v>
      </c>
      <c r="BY122" s="175" t="e">
        <f>IF(Q122=0,0,(0.5*$O$12*BP122*BQ122/1000*(R122/2-$BP122/3)+BS122*(BE122-R122/2)+BT122*(BF122-R122/2)+BU122*(BG122-R122/2)+BV122*(BH122-R122/2)+BW122*(BI122-R122/2)+BX122*(BJ122-R122/2))/1000-ABS(P122))</f>
        <v>#N/A</v>
      </c>
      <c r="BZ122" s="10"/>
      <c r="CA122" s="176" t="e">
        <f>ABS(P122)/(BK122-BP122/3)/AV122*10^6-Q122*(R122/2-BP122/3)/(BK122-BP122/3)/AV122*1000</f>
        <v>#N/A</v>
      </c>
      <c r="CB122" s="177">
        <f>(AV122/($O$12*MIN(2.5*(R122-BK122),(R122-BP122)/3,R122/2)-AV122))</f>
        <v>-5.8109589386122042E-3</v>
      </c>
      <c r="CC122" s="177">
        <f>3.4*($O$16+$AX$14)+0.425*0.8*0.5*(T122^2+W122^2+Z122^2+AC122^2+AF122^2+AI122^2)/(T122+W122+Z122+AC122+AF122+AI122)/CB122</f>
        <v>-653.9621820888658</v>
      </c>
      <c r="CD122" s="177" t="e">
        <f>MAX(0.6*CA122/$AJ$17,(CA122-0.4*0.3*$AJ$14^(2/3)/CB122*(1+$AJ$17/$AJ$15*CB122))/$AJ$17)</f>
        <v>#N/A</v>
      </c>
      <c r="CE122" s="178" t="e">
        <f>CC122*CD122/1000</f>
        <v>#N/A</v>
      </c>
      <c r="CF122" s="23" t="e">
        <f>IF(AND(AV122&gt;=BD122,AV122&gt;=BO122,CE122&lt;=(+IF(CO122="External",0.25,0.3))),"O.K", "Not O.K")</f>
        <v>#N/A</v>
      </c>
      <c r="CG122" s="28"/>
      <c r="CH122" s="179" t="e">
        <f>IF(O122&lt;0.2*$AJ$14*R122*$O$12/1000,"N &lt; 0.2fckAc - OK!","TBA")</f>
        <v>#N/A</v>
      </c>
      <c r="CI122" s="24">
        <v>99</v>
      </c>
      <c r="CJ122" s="25"/>
      <c r="CK122" s="6" t="e">
        <f t="shared" si="203"/>
        <v>#N/A</v>
      </c>
      <c r="CL122" s="8" t="s">
        <v>72</v>
      </c>
      <c r="CM122" s="6" t="e">
        <f t="shared" si="204"/>
        <v>#N/A</v>
      </c>
      <c r="CN122" s="26" t="s">
        <v>145</v>
      </c>
      <c r="CO122" s="15" t="e">
        <f>IF(VLOOKUP(CI122,'Summary-input'!A:C,3,0)="Outward",
IF(CP122&lt;0,"External","Internal"),
IF(CP122&lt;0,"Internal","External")
)</f>
        <v>#N/A</v>
      </c>
      <c r="CP122" t="e">
        <f>VLOOKUP(CI122&amp;CN122,'Summary-output-ULS'!A:G,6,0)</f>
        <v>#N/A</v>
      </c>
      <c r="CQ122" t="e">
        <f>VLOOKUP(CI122&amp;CN122,'Summary-output-ULS'!A:G,7,0)</f>
        <v>#N/A</v>
      </c>
      <c r="CR122" s="3" t="e">
        <f>VLOOKUP(CI122&amp;CN122,'Summary-output-SLS'!A:G,6,0)</f>
        <v>#N/A</v>
      </c>
      <c r="CS122" s="3" t="e">
        <f>VLOOKUP(CI122&amp;CN122,'Summary-output-SLS'!A:G,7,0)</f>
        <v>#N/A</v>
      </c>
      <c r="CT122" s="20">
        <v>1000</v>
      </c>
      <c r="CU122" s="2" t="e">
        <f>VLOOKUP(CI122&amp;CN122,'Summary-output-ULS'!A:G,5,0)</f>
        <v>#N/A</v>
      </c>
      <c r="CV122" s="15" t="e">
        <f>VLOOKUP(CI122&amp;CN122,'Summary-output-SLS'!A:G,5,0)</f>
        <v>#N/A</v>
      </c>
      <c r="CW122" s="6"/>
      <c r="CX122" s="278"/>
      <c r="CY122" s="6"/>
      <c r="CZ122" s="6"/>
      <c r="DA122" s="6"/>
      <c r="DB122" s="6"/>
      <c r="DC122" s="6"/>
      <c r="DD122" s="6"/>
      <c r="DE122" s="6"/>
      <c r="DF122" s="6"/>
      <c r="DG122" s="6"/>
      <c r="DH122" s="6"/>
      <c r="DI122" s="6"/>
      <c r="DJ122" s="212"/>
      <c r="DK122" s="13"/>
      <c r="DL122" s="13"/>
      <c r="DM122" s="202"/>
      <c r="DN122" s="206" t="e">
        <f>IF(CO122="external",T122,0)</f>
        <v>#N/A</v>
      </c>
      <c r="DO122" s="206" t="e">
        <f>IF(CO122="external",W122,0)</f>
        <v>#N/A</v>
      </c>
      <c r="DP122" s="206" t="e">
        <f>IF(CO122="external",Z122,0)</f>
        <v>#N/A</v>
      </c>
      <c r="DQ122" s="206" t="e">
        <f>IF(CO122="external",AC122,0)</f>
        <v>#N/A</v>
      </c>
      <c r="DR122" s="206" t="e">
        <f>IF(CO122="external",AF122,0)</f>
        <v>#N/A</v>
      </c>
      <c r="DS122" s="207" t="e">
        <f>IF(CO122="external",AI122,0)</f>
        <v>#N/A</v>
      </c>
      <c r="DT122" s="208"/>
      <c r="DU122" s="207" t="e">
        <f>IF(CO122="internal",T122,0)</f>
        <v>#N/A</v>
      </c>
      <c r="DV122" s="207" t="e">
        <f>IF(CO122="internal",W122,0)</f>
        <v>#N/A</v>
      </c>
      <c r="DW122" s="207" t="e">
        <f>IF(CO122="internal",Z122,0)</f>
        <v>#N/A</v>
      </c>
      <c r="DX122" s="207" t="e">
        <f>IF(CO122="internal",AC122,0)</f>
        <v>#N/A</v>
      </c>
      <c r="DY122" s="207" t="e">
        <f>IF(CO122="internal",AF122,0)</f>
        <v>#N/A</v>
      </c>
      <c r="DZ122" s="207" t="e">
        <f>IF(CO122="internal",AI122,0)</f>
        <v>#N/A</v>
      </c>
    </row>
    <row r="123" spans="1:130" s="7" customFormat="1" x14ac:dyDescent="0.3">
      <c r="B123" s="19">
        <f t="shared" si="176"/>
        <v>99</v>
      </c>
      <c r="C123" s="6">
        <f t="shared" si="205"/>
        <v>0</v>
      </c>
      <c r="D123" s="6" t="e">
        <f t="shared" si="205"/>
        <v>#N/A</v>
      </c>
      <c r="E123" s="6" t="str">
        <f t="shared" si="205"/>
        <v>--</v>
      </c>
      <c r="F123" s="6" t="e">
        <f>+CM123</f>
        <v>#N/A</v>
      </c>
      <c r="G123" s="174" t="str">
        <f t="shared" si="206"/>
        <v>Min Fx</v>
      </c>
      <c r="H123" s="6" t="e">
        <f t="shared" si="206"/>
        <v>#N/A</v>
      </c>
      <c r="I123" s="156"/>
      <c r="J123" s="10" t="e">
        <f t="shared" si="207"/>
        <v>#N/A</v>
      </c>
      <c r="K123" s="10" t="e">
        <f t="shared" si="207"/>
        <v>#N/A</v>
      </c>
      <c r="L123" s="10" t="e">
        <f t="shared" si="207"/>
        <v>#N/A</v>
      </c>
      <c r="M123" s="10" t="e">
        <f t="shared" si="207"/>
        <v>#N/A</v>
      </c>
      <c r="N123" s="10" t="e">
        <f>IF(I123*J123&gt;=0,J123*$J$19+I123*$J$18,J123)</f>
        <v>#N/A</v>
      </c>
      <c r="O123" s="10" t="e">
        <f>(K123)*$J$19</f>
        <v>#N/A</v>
      </c>
      <c r="P123" s="14" t="e">
        <f>IF(I123*L123&gt;=0,(L123)+I123,L123)</f>
        <v>#N/A</v>
      </c>
      <c r="Q123" s="3" t="e">
        <f>(M123)</f>
        <v>#N/A</v>
      </c>
      <c r="R123" s="20">
        <f t="shared" si="177"/>
        <v>1000</v>
      </c>
      <c r="S123" s="23"/>
      <c r="T123" s="12">
        <v>20</v>
      </c>
      <c r="U123" s="28"/>
      <c r="V123" s="28"/>
      <c r="W123" s="12"/>
      <c r="X123" s="28"/>
      <c r="Y123" s="28"/>
      <c r="Z123" s="12"/>
      <c r="AA123" s="28"/>
      <c r="AB123" s="28"/>
      <c r="AC123" s="158"/>
      <c r="AD123" s="28"/>
      <c r="AE123" s="28"/>
      <c r="AF123" s="158"/>
      <c r="AG123" s="28"/>
      <c r="AH123" s="28"/>
      <c r="AI123" s="29"/>
      <c r="AJ123" s="6">
        <f>PI()/4*T123^2*$O$12/$AX$16</f>
        <v>2094.3951023931954</v>
      </c>
      <c r="AK123" s="28" t="str">
        <f>IF(W123=0,"","+")</f>
        <v/>
      </c>
      <c r="AL123" s="6">
        <f>PI()/4*W123^2*$O$12/$AX$16</f>
        <v>0</v>
      </c>
      <c r="AM123" s="28" t="str">
        <f>IF(Z123=0,"","+")</f>
        <v/>
      </c>
      <c r="AN123" s="6">
        <f>PI()/4*Z123^2*$O$12/$AX$16</f>
        <v>0</v>
      </c>
      <c r="AO123" s="28" t="str">
        <f>IF(AC123=0,"","+")</f>
        <v/>
      </c>
      <c r="AP123" s="6">
        <f>PI()/4*AC123^2*$O$12/$AX$16</f>
        <v>0</v>
      </c>
      <c r="AQ123" s="28" t="str">
        <f>IF(AF123=0,"","+")</f>
        <v/>
      </c>
      <c r="AR123" s="6">
        <f>PI()/4*AF123^2*$O$12/$AX$16</f>
        <v>0</v>
      </c>
      <c r="AS123" s="28" t="str">
        <f>IF(AI123=0,"","+")</f>
        <v/>
      </c>
      <c r="AT123" s="6">
        <f>PI()/4*AI123^2*$O$12/$AX$16</f>
        <v>0</v>
      </c>
      <c r="AU123" s="28" t="s">
        <v>24</v>
      </c>
      <c r="AV123" s="15">
        <f>VALUE(AJ123)+VALUE(AL123)+VALUE(AN123)+VALUE(AP123)+VALUE(AR123)+VALUE(AT123)</f>
        <v>2094.3951023931954</v>
      </c>
      <c r="AW123" s="228">
        <f>MAX(0.3*$AJ$14^(2/3)/$AJ$16*0.26*100,0.13)</f>
        <v>0.15723814702688016</v>
      </c>
      <c r="AX123" s="6">
        <f>AW123/100*$O$12*BK123</f>
        <v>1426.1499935338031</v>
      </c>
      <c r="AY123" s="6"/>
      <c r="AZ123" s="6"/>
      <c r="BA123" s="24" t="str">
        <f>IF(BB123=0,"","+")</f>
        <v/>
      </c>
      <c r="BB123" s="24"/>
      <c r="BC123" s="28" t="s">
        <v>24</v>
      </c>
      <c r="BD123" s="15">
        <f>AX123+AZ123+BB123</f>
        <v>1426.1499935338031</v>
      </c>
      <c r="BE123" s="2">
        <f>(R123-($AX$14+$O$16+T123/2))</f>
        <v>907</v>
      </c>
      <c r="BF123" s="3">
        <f>IF(W123=0,0,(R123-($AX$14+T123/2+$O$16+$BI$16)))</f>
        <v>0</v>
      </c>
      <c r="BG123" s="3">
        <f>IF(Z123=0,0,(R123-($AX$14+T123/2+$BI$16+$O$16+$BI$17)))</f>
        <v>0</v>
      </c>
      <c r="BH123" s="3">
        <f>IF(AC123=0,0,(R123-($AX$14+T123/2+$O$16+$BI$16+$BI$17+$BI$18)))</f>
        <v>0</v>
      </c>
      <c r="BI123" s="3">
        <f>IF(AF123=0,0,(R123-($AX$14+T123/2+$O$16+$BI$16+$BI$17+$BI$18+$BL$16)))</f>
        <v>0</v>
      </c>
      <c r="BJ123" s="3">
        <f>IF(AI123=0,0,(R123-($AX$14+T123/2+$O$16+$BI$16+$BI$17+$BI$18+$BL$16+$BL$17)))</f>
        <v>0</v>
      </c>
      <c r="BK123" s="6">
        <f>(BE123*AJ123+BF123*AL123+BG123*AN123+BH123*AP123+BI123*AR123+BJ123*AT123)/AV123</f>
        <v>907</v>
      </c>
      <c r="BL123" s="175" t="e">
        <f>ABS(N123)*1000000/$O$12/BK123^2</f>
        <v>#N/A</v>
      </c>
      <c r="BM123" s="175" t="e">
        <f>BL123/$AJ$14</f>
        <v>#N/A</v>
      </c>
      <c r="BN123" s="21" t="e">
        <f>IF(BM123&lt;0.167,0.5+SQRT(0.25-(BM123/1.134)),0.82)</f>
        <v>#N/A</v>
      </c>
      <c r="BO123" s="15" t="e">
        <f>ABS(N123)/(0.87*$AJ$16*BN123*BK123)*10^6</f>
        <v>#N/A</v>
      </c>
      <c r="BP123" s="22">
        <v>2121.0049605319318</v>
      </c>
      <c r="BQ123" s="175" t="e">
        <f>IF(Q123=0,2*ABS(P123*10^6)/$O$12/BP123/(BK123-BP123/3),Q123*BP123*1000/($O$12/2*BP123^2-(BE123-BP123)*AJ123*$AJ$18-(BF123-BP123)*AL123*$AJ$18-(BG123-BP123)*AN123*$AJ$18-(BH123-BP123)*AP123*$AJ$18-(BI123-BP123)*AR123*$AJ$18-(BJ123-BP123)*AT123*$AJ$18))</f>
        <v>#N/A</v>
      </c>
      <c r="BR123" s="3" t="e">
        <f>0.5*$O$12*BP123*BQ123 /1000</f>
        <v>#N/A</v>
      </c>
      <c r="BS123" s="3" t="e">
        <f>($BQ123/$BP123)*(BE123-$BP123)*$AJ$18*AJ123/1000</f>
        <v>#N/A</v>
      </c>
      <c r="BT123" s="3" t="e">
        <f>($BQ123/$BP123)*(BF123-$BP123)*$AJ$18*AL123/1000</f>
        <v>#N/A</v>
      </c>
      <c r="BU123" s="3" t="e">
        <f>($BQ123/$BP123)*(BG123-$BP123)*$AJ$18*AN123/1000</f>
        <v>#N/A</v>
      </c>
      <c r="BV123" s="3" t="e">
        <f>($BQ123/$BP123)*(BH123-$BP123)*$AJ$18*AP123/1000</f>
        <v>#N/A</v>
      </c>
      <c r="BW123" s="3" t="e">
        <f>($BQ123/$BP123)*(BI123-$BP123)*$AJ$18*AR123/1000</f>
        <v>#N/A</v>
      </c>
      <c r="BX123" s="3" t="e">
        <f>($BQ123/$BP123)*(BJ123-$BP123)*$AJ$18*AT123/1000</f>
        <v>#N/A</v>
      </c>
      <c r="BY123" s="175" t="e">
        <f>IF(Q123=0,0,(0.5*$O$12*BP123*BQ123/1000*(R123/2-$BP123/3)+BS123*(BE123-R123/2)+BT123*(BF123-R123/2)+BU123*(BG123-R123/2)+BV123*(BH123-R123/2)+BW123*(BI123-R123/2)+BX123*(BJ123-R123/2))/1000-ABS(P123))</f>
        <v>#N/A</v>
      </c>
      <c r="BZ123" s="10"/>
      <c r="CA123" s="176" t="e">
        <f>ABS(P123)/(BK123-BP123/3)/AV123*10^6-Q123*(R123/2-BP123/3)/(BK123-BP123/3)/AV123*1000</f>
        <v>#N/A</v>
      </c>
      <c r="CB123" s="177">
        <f>(AV123/($O$12*MIN(2.5*(R123-BK123),(R123-BP123)/3,R123/2)-AV123))</f>
        <v>-5.5737171816905937E-3</v>
      </c>
      <c r="CC123" s="177">
        <f>3.4*($O$16+$AX$14)+0.425*0.8*0.5*(T123^2+W123^2+Z123^2+AC123^2+AF123^2+AI123^2)/(T123+W123+Z123+AC123+AF123+AI123)/CB123</f>
        <v>-327.80583437725267</v>
      </c>
      <c r="CD123" s="177" t="e">
        <f>MAX(0.6*CA123/$AJ$17,(CA123-0.4*0.3*$AJ$14^(2/3)/CB123*(1+$AJ$17/$AJ$15*CB123))/$AJ$17)</f>
        <v>#N/A</v>
      </c>
      <c r="CE123" s="178" t="e">
        <f>CC123*CD123/1000</f>
        <v>#N/A</v>
      </c>
      <c r="CF123" s="23" t="e">
        <f>IF(AND(AV123&gt;=BD123,AV123&gt;=BO123,CE123&lt;=(+IF(CO123="External",0.25,0.3))),"O.K", "Not O.K")</f>
        <v>#N/A</v>
      </c>
      <c r="CG123" s="28"/>
      <c r="CH123" s="179" t="e">
        <f>IF(O123&lt;0.2*$AJ$14*R123*$O$12/1000,"N &lt; 0.2fckAc - OK!","TBA")</f>
        <v>#N/A</v>
      </c>
      <c r="CI123" s="24">
        <v>99</v>
      </c>
      <c r="CJ123" s="25"/>
      <c r="CK123" s="6" t="e">
        <f t="shared" si="203"/>
        <v>#N/A</v>
      </c>
      <c r="CL123" s="8" t="s">
        <v>72</v>
      </c>
      <c r="CM123" s="6" t="e">
        <f t="shared" si="204"/>
        <v>#N/A</v>
      </c>
      <c r="CN123" s="26" t="s">
        <v>146</v>
      </c>
      <c r="CO123" s="15" t="e">
        <f>IF(VLOOKUP(CI123,'Summary-input'!A:C,3,0)="Outward",
IF(CP123&lt;0,"External","Internal"),
IF(CP123&lt;0,"Internal","External")
)</f>
        <v>#N/A</v>
      </c>
      <c r="CP123" t="e">
        <f>VLOOKUP(CI123&amp;CN123,'Summary-output-ULS'!A:G,6,0)</f>
        <v>#N/A</v>
      </c>
      <c r="CQ123" t="e">
        <f>VLOOKUP(CI123&amp;CN123,'Summary-output-ULS'!A:G,7,0)</f>
        <v>#N/A</v>
      </c>
      <c r="CR123" s="3" t="e">
        <f>VLOOKUP(CI123&amp;CN123,'Summary-output-SLS'!A:G,6,0)</f>
        <v>#N/A</v>
      </c>
      <c r="CS123" s="3" t="e">
        <f>VLOOKUP(CI123&amp;CN123,'Summary-output-SLS'!A:G,7,0)</f>
        <v>#N/A</v>
      </c>
      <c r="CT123" s="20">
        <v>1000</v>
      </c>
      <c r="CU123" s="2" t="e">
        <f>VLOOKUP(CI123&amp;CN123,'Summary-output-ULS'!A:G,5,0)</f>
        <v>#N/A</v>
      </c>
      <c r="CV123" s="15" t="e">
        <f>VLOOKUP(CI123&amp;CN123,'Summary-output-SLS'!A:G,5,0)</f>
        <v>#N/A</v>
      </c>
      <c r="CW123" s="6"/>
      <c r="CX123" s="278"/>
      <c r="CY123" s="6"/>
      <c r="CZ123" s="6"/>
      <c r="DA123" s="6"/>
      <c r="DB123" s="6"/>
      <c r="DC123" s="6"/>
      <c r="DD123" s="6"/>
      <c r="DE123" s="6"/>
      <c r="DF123" s="6"/>
      <c r="DG123" s="6"/>
      <c r="DH123" s="6"/>
      <c r="DI123" s="6"/>
      <c r="DJ123" s="212"/>
      <c r="DK123" s="13"/>
      <c r="DL123" s="13"/>
      <c r="DM123" s="202"/>
      <c r="DN123" s="206" t="e">
        <f>IF(CO123="external",T123,0)</f>
        <v>#N/A</v>
      </c>
      <c r="DO123" s="206" t="e">
        <f>IF(CO123="external",W123,0)</f>
        <v>#N/A</v>
      </c>
      <c r="DP123" s="206" t="e">
        <f>IF(CO123="external",Z123,0)</f>
        <v>#N/A</v>
      </c>
      <c r="DQ123" s="206" t="e">
        <f>IF(CO123="external",AC123,0)</f>
        <v>#N/A</v>
      </c>
      <c r="DR123" s="206" t="e">
        <f>IF(CO123="external",AF123,0)</f>
        <v>#N/A</v>
      </c>
      <c r="DS123" s="207" t="e">
        <f>IF(CO123="external",AI123,0)</f>
        <v>#N/A</v>
      </c>
      <c r="DT123" s="208"/>
      <c r="DU123" s="207" t="e">
        <f>IF(CO123="internal",T123,0)</f>
        <v>#N/A</v>
      </c>
      <c r="DV123" s="207" t="e">
        <f>IF(CO123="internal",W123,0)</f>
        <v>#N/A</v>
      </c>
      <c r="DW123" s="207" t="e">
        <f>IF(CO123="internal",Z123,0)</f>
        <v>#N/A</v>
      </c>
      <c r="DX123" s="207" t="e">
        <f>IF(CO123="internal",AC123,0)</f>
        <v>#N/A</v>
      </c>
      <c r="DY123" s="207" t="e">
        <f>IF(CO123="internal",AF123,0)</f>
        <v>#N/A</v>
      </c>
      <c r="DZ123" s="207" t="e">
        <f>IF(CO123="internal",AI123,0)</f>
        <v>#N/A</v>
      </c>
    </row>
    <row r="124" spans="1:130" s="7" customFormat="1" x14ac:dyDescent="0.3">
      <c r="B124" s="19">
        <f t="shared" si="176"/>
        <v>0</v>
      </c>
      <c r="C124" s="6"/>
      <c r="D124" s="6"/>
      <c r="E124" s="6"/>
      <c r="F124" s="6"/>
      <c r="G124" s="232"/>
      <c r="H124" s="6"/>
      <c r="I124" s="24"/>
      <c r="J124" s="6"/>
      <c r="K124" s="6"/>
      <c r="L124" s="6"/>
      <c r="M124" s="6"/>
      <c r="N124" s="6"/>
      <c r="O124" s="6"/>
      <c r="P124" s="24"/>
      <c r="Q124" s="6"/>
      <c r="R124" s="6">
        <f t="shared" si="177"/>
        <v>0</v>
      </c>
      <c r="S124" s="28"/>
      <c r="T124" s="12"/>
      <c r="U124" s="28"/>
      <c r="V124" s="28"/>
      <c r="W124" s="12"/>
      <c r="X124" s="28"/>
      <c r="Y124" s="28"/>
      <c r="Z124" s="12"/>
      <c r="AA124" s="28"/>
      <c r="AB124" s="28"/>
      <c r="AC124" s="158"/>
      <c r="AD124" s="28"/>
      <c r="AE124" s="28"/>
      <c r="AF124" s="158"/>
      <c r="AG124" s="28"/>
      <c r="AH124" s="28"/>
      <c r="AI124" s="12"/>
      <c r="AJ124" s="6"/>
      <c r="AK124" s="28"/>
      <c r="AL124" s="6"/>
      <c r="AM124" s="28"/>
      <c r="AN124" s="6"/>
      <c r="AO124" s="28"/>
      <c r="AP124" s="6"/>
      <c r="AQ124" s="28"/>
      <c r="AR124" s="6"/>
      <c r="AS124" s="28"/>
      <c r="AT124" s="6"/>
      <c r="AU124" s="28"/>
      <c r="AV124" s="6"/>
      <c r="AW124" s="233"/>
      <c r="AX124" s="6"/>
      <c r="AY124" s="6"/>
      <c r="AZ124" s="6"/>
      <c r="BA124" s="24"/>
      <c r="BB124" s="24"/>
      <c r="BC124" s="28"/>
      <c r="BD124" s="6"/>
      <c r="BE124" s="6"/>
      <c r="BF124" s="6"/>
      <c r="BG124" s="6"/>
      <c r="BH124" s="6"/>
      <c r="BI124" s="6"/>
      <c r="BJ124" s="6"/>
      <c r="BK124" s="6"/>
      <c r="BL124" s="231"/>
      <c r="BM124" s="231"/>
      <c r="BN124" s="231"/>
      <c r="BO124" s="6"/>
      <c r="BP124" s="234"/>
      <c r="BQ124" s="231"/>
      <c r="BR124" s="6"/>
      <c r="BS124" s="6"/>
      <c r="BT124" s="6"/>
      <c r="BU124" s="6"/>
      <c r="BV124" s="6"/>
      <c r="BW124" s="6"/>
      <c r="BX124" s="6"/>
      <c r="BY124" s="231"/>
      <c r="BZ124" s="6"/>
      <c r="CA124" s="234"/>
      <c r="CB124" s="235"/>
      <c r="CC124" s="235"/>
      <c r="CD124" s="235"/>
      <c r="CE124" s="235"/>
      <c r="CF124" s="28"/>
      <c r="CG124" s="28"/>
      <c r="CH124" s="173"/>
      <c r="CI124" s="24"/>
      <c r="CJ124" s="25"/>
      <c r="CK124" s="6" t="e">
        <f t="shared" si="203"/>
        <v>#N/A</v>
      </c>
      <c r="CL124" s="8" t="s">
        <v>72</v>
      </c>
      <c r="CM124" s="6" t="e">
        <f t="shared" si="204"/>
        <v>#N/A</v>
      </c>
      <c r="CN124" s="236"/>
      <c r="CO124" s="15" t="e">
        <f>IF(VLOOKUP(CI124,'Summary-input'!A:C,3,0)="Outward",
IF(CP124&lt;0,"External","Internal"),
IF(CP124&lt;0,"Internal","External")
)</f>
        <v>#N/A</v>
      </c>
      <c r="CP124" t="e">
        <f>VLOOKUP(CI124&amp;CN124,'Summary-output-ULS'!A:G,6,0)</f>
        <v>#N/A</v>
      </c>
      <c r="CQ124" t="e">
        <f>VLOOKUP(CI124&amp;CN124,'Summary-output-ULS'!A:G,7,0)</f>
        <v>#N/A</v>
      </c>
      <c r="CR124" s="3" t="e">
        <f>VLOOKUP(CI124&amp;CN124,'Summary-output-SLS'!A:G,6,0)</f>
        <v>#N/A</v>
      </c>
      <c r="CS124" s="3" t="e">
        <f>VLOOKUP(CI124&amp;CN124,'Summary-output-SLS'!A:G,7,0)</f>
        <v>#N/A</v>
      </c>
      <c r="CT124" s="6"/>
      <c r="CU124" s="2" t="e">
        <f>VLOOKUP(CI124&amp;CN124,'Summary-output-ULS'!A:G,5,0)</f>
        <v>#N/A</v>
      </c>
      <c r="CV124" s="15" t="e">
        <f>VLOOKUP(CI124&amp;CN124,'Summary-output-SLS'!A:G,5,0)</f>
        <v>#N/A</v>
      </c>
      <c r="CW124" s="6"/>
      <c r="CX124" s="278"/>
      <c r="CY124" s="6"/>
      <c r="CZ124" s="6"/>
      <c r="DA124" s="6"/>
      <c r="DB124" s="6"/>
      <c r="DC124" s="6"/>
      <c r="DD124" s="6"/>
      <c r="DE124" s="6"/>
      <c r="DF124" s="6"/>
      <c r="DG124" s="6"/>
      <c r="DH124" s="6"/>
      <c r="DI124" s="6"/>
      <c r="DJ124" s="212"/>
      <c r="DK124" s="13"/>
      <c r="DL124" s="13"/>
      <c r="DM124" s="202"/>
      <c r="DN124" s="206"/>
      <c r="DO124" s="206"/>
      <c r="DP124" s="206"/>
      <c r="DQ124" s="206"/>
      <c r="DR124" s="206"/>
      <c r="DS124" s="207"/>
      <c r="DT124" s="208"/>
      <c r="DU124" s="207"/>
      <c r="DV124" s="207"/>
      <c r="DW124" s="207"/>
      <c r="DX124" s="207"/>
      <c r="DY124" s="207"/>
      <c r="DZ124" s="207"/>
    </row>
    <row r="125" spans="1:130" s="7" customFormat="1" x14ac:dyDescent="0.3">
      <c r="B125" s="298" t="s">
        <v>164</v>
      </c>
      <c r="C125" s="6"/>
      <c r="D125" s="6"/>
      <c r="E125" s="6"/>
      <c r="F125" s="6"/>
      <c r="G125" s="232"/>
      <c r="H125" s="6"/>
      <c r="I125" s="24"/>
      <c r="J125" s="6"/>
      <c r="K125" s="6"/>
      <c r="L125" s="6"/>
      <c r="M125" s="6"/>
      <c r="N125" s="6"/>
      <c r="O125" s="6"/>
      <c r="P125" s="24"/>
      <c r="Q125" s="6"/>
      <c r="R125" s="6">
        <f t="shared" si="177"/>
        <v>0</v>
      </c>
      <c r="S125" s="28"/>
      <c r="T125" s="12"/>
      <c r="U125" s="28"/>
      <c r="V125" s="28"/>
      <c r="W125" s="12"/>
      <c r="X125" s="28"/>
      <c r="Y125" s="28"/>
      <c r="Z125" s="12"/>
      <c r="AA125" s="28"/>
      <c r="AB125" s="28"/>
      <c r="AC125" s="158"/>
      <c r="AD125" s="28"/>
      <c r="AE125" s="28"/>
      <c r="AF125" s="158"/>
      <c r="AG125" s="28"/>
      <c r="AH125" s="28"/>
      <c r="AI125" s="12"/>
      <c r="AJ125" s="6"/>
      <c r="AK125" s="28"/>
      <c r="AL125" s="6"/>
      <c r="AM125" s="28"/>
      <c r="AN125" s="6"/>
      <c r="AO125" s="28"/>
      <c r="AP125" s="6"/>
      <c r="AQ125" s="28"/>
      <c r="AR125" s="6"/>
      <c r="AS125" s="28"/>
      <c r="AT125" s="6"/>
      <c r="AU125" s="28"/>
      <c r="AV125" s="6"/>
      <c r="AW125" s="233"/>
      <c r="AX125" s="6"/>
      <c r="AY125" s="6"/>
      <c r="AZ125" s="6"/>
      <c r="BA125" s="24"/>
      <c r="BB125" s="24"/>
      <c r="BC125" s="28"/>
      <c r="BD125" s="6"/>
      <c r="BE125" s="6"/>
      <c r="BF125" s="6"/>
      <c r="BG125" s="6"/>
      <c r="BH125" s="6"/>
      <c r="BI125" s="6"/>
      <c r="BJ125" s="6"/>
      <c r="BK125" s="6"/>
      <c r="BL125" s="231"/>
      <c r="BM125" s="231"/>
      <c r="BN125" s="231"/>
      <c r="BO125" s="6"/>
      <c r="BP125" s="234"/>
      <c r="BQ125" s="231"/>
      <c r="BR125" s="6"/>
      <c r="BS125" s="6"/>
      <c r="BT125" s="6"/>
      <c r="BU125" s="6"/>
      <c r="BV125" s="6"/>
      <c r="BW125" s="6"/>
      <c r="BX125" s="6"/>
      <c r="BY125" s="231"/>
      <c r="BZ125" s="6"/>
      <c r="CA125" s="234"/>
      <c r="CB125" s="235"/>
      <c r="CC125" s="235"/>
      <c r="CD125" s="235"/>
      <c r="CE125" s="235"/>
      <c r="CF125" s="28"/>
      <c r="CG125" s="28"/>
      <c r="CH125" s="173"/>
      <c r="CI125" s="24"/>
      <c r="CJ125" s="25"/>
      <c r="CK125" s="6" t="e">
        <f>CU125</f>
        <v>#N/A</v>
      </c>
      <c r="CL125" s="8" t="s">
        <v>72</v>
      </c>
      <c r="CM125" s="6" t="e">
        <f>CV125</f>
        <v>#N/A</v>
      </c>
      <c r="CN125" s="236"/>
      <c r="CO125" s="15" t="e">
        <f>IF(VLOOKUP(CI125,'Summary-input'!A:C,3,0)="Outward",
IF(CP125&lt;0,"External","Internal"),
IF(CP125&lt;0,"Internal","External")
)</f>
        <v>#N/A</v>
      </c>
      <c r="CP125" t="e">
        <f>VLOOKUP(CI125&amp;CN125,'Summary-output-ULS'!A:G,6,0)</f>
        <v>#N/A</v>
      </c>
      <c r="CQ125" t="e">
        <f>VLOOKUP(CI125&amp;CN125,'Summary-output-ULS'!A:G,7,0)</f>
        <v>#N/A</v>
      </c>
      <c r="CR125" s="3" t="e">
        <f>VLOOKUP(CI125&amp;CN125,'Summary-output-SLS'!A:G,6,0)</f>
        <v>#N/A</v>
      </c>
      <c r="CS125" s="3" t="e">
        <f>VLOOKUP(CI125&amp;CN125,'Summary-output-SLS'!A:G,7,0)</f>
        <v>#N/A</v>
      </c>
      <c r="CT125" s="6"/>
      <c r="CU125" s="2" t="e">
        <f>VLOOKUP(CI125&amp;CN125,'Summary-output-ULS'!A:G,5,0)</f>
        <v>#N/A</v>
      </c>
      <c r="CV125" s="15" t="e">
        <f>VLOOKUP(CI125&amp;CN125,'Summary-output-SLS'!A:G,5,0)</f>
        <v>#N/A</v>
      </c>
      <c r="CW125" s="6"/>
      <c r="CX125" s="278"/>
      <c r="CY125" s="6"/>
      <c r="CZ125" s="6"/>
      <c r="DA125" s="6"/>
      <c r="DB125" s="6"/>
      <c r="DC125" s="6"/>
      <c r="DD125" s="6"/>
      <c r="DE125" s="6"/>
      <c r="DF125" s="6"/>
      <c r="DG125" s="6"/>
      <c r="DH125" s="6"/>
      <c r="DI125" s="6"/>
      <c r="DJ125" s="212"/>
      <c r="DK125" s="13"/>
      <c r="DL125" s="13"/>
      <c r="DM125" s="202"/>
      <c r="DN125" s="206"/>
      <c r="DO125" s="206"/>
      <c r="DP125" s="206"/>
      <c r="DQ125" s="206"/>
      <c r="DR125" s="206"/>
      <c r="DS125" s="207"/>
      <c r="DT125" s="208"/>
      <c r="DU125" s="207"/>
      <c r="DV125" s="207"/>
      <c r="DW125" s="207"/>
      <c r="DX125" s="207"/>
      <c r="DY125" s="207"/>
      <c r="DZ125" s="207"/>
    </row>
    <row r="126" spans="1:130" s="7" customFormat="1" ht="13.8" x14ac:dyDescent="0.25">
      <c r="A126" s="7" t="s">
        <v>141</v>
      </c>
      <c r="B126" s="19">
        <f>+CI126</f>
        <v>120</v>
      </c>
      <c r="C126" s="6">
        <f t="shared" ref="C126:E129" si="210">CJ126</f>
        <v>0</v>
      </c>
      <c r="D126" s="6" t="e">
        <f t="shared" si="210"/>
        <v>#N/A</v>
      </c>
      <c r="E126" s="6" t="str">
        <f t="shared" si="210"/>
        <v>--</v>
      </c>
      <c r="F126" s="6" t="e">
        <f>+CM126</f>
        <v>#N/A</v>
      </c>
      <c r="G126" s="174" t="str">
        <f t="shared" ref="G126:H129" si="211">CN126</f>
        <v>Max Mz</v>
      </c>
      <c r="H126" s="6" t="e">
        <f t="shared" si="211"/>
        <v>#N/A</v>
      </c>
      <c r="I126" s="156">
        <v>0</v>
      </c>
      <c r="J126" s="10" t="e">
        <f t="shared" ref="J126:M129" si="212">(CP126)</f>
        <v>#N/A</v>
      </c>
      <c r="K126" s="10" t="e">
        <f t="shared" si="212"/>
        <v>#N/A</v>
      </c>
      <c r="L126" s="10" t="e">
        <f t="shared" si="212"/>
        <v>#N/A</v>
      </c>
      <c r="M126" s="10" t="e">
        <f t="shared" si="212"/>
        <v>#N/A</v>
      </c>
      <c r="N126" s="10" t="e">
        <f>IF(I126*J126&gt;=0,J126*$J$19+I126*$J$18,J126)</f>
        <v>#N/A</v>
      </c>
      <c r="O126" s="10" t="e">
        <f>(K126)*$J$19</f>
        <v>#N/A</v>
      </c>
      <c r="P126" s="14" t="e">
        <f>IF(I126*L126&gt;=0,(L126)+I126,L126)</f>
        <v>#N/A</v>
      </c>
      <c r="Q126" s="3" t="e">
        <f>(M126)</f>
        <v>#N/A</v>
      </c>
      <c r="R126" s="20">
        <f t="shared" si="177"/>
        <v>600</v>
      </c>
      <c r="S126" s="23"/>
      <c r="T126" s="12">
        <v>16</v>
      </c>
      <c r="U126" s="28"/>
      <c r="V126" s="28"/>
      <c r="W126" s="12"/>
      <c r="X126" s="28"/>
      <c r="Y126" s="28"/>
      <c r="Z126" s="12"/>
      <c r="AA126" s="28"/>
      <c r="AB126" s="28"/>
      <c r="AC126" s="158"/>
      <c r="AD126" s="28"/>
      <c r="AE126" s="28"/>
      <c r="AF126" s="158"/>
      <c r="AG126" s="28"/>
      <c r="AH126" s="28"/>
      <c r="AI126" s="29"/>
      <c r="AJ126" s="6">
        <f>PI()/4*T126^2*$O$12/$AX$16</f>
        <v>1340.4128655316449</v>
      </c>
      <c r="AK126" s="28" t="str">
        <f>IF(W126=0,"","+")</f>
        <v/>
      </c>
      <c r="AL126" s="6">
        <f>PI()/4*W126^2*$O$12/$AX$16</f>
        <v>0</v>
      </c>
      <c r="AM126" s="28" t="str">
        <f>IF(Z126=0,"","+")</f>
        <v/>
      </c>
      <c r="AN126" s="6">
        <f>PI()/4*Z126^2*$O$12/$AX$16</f>
        <v>0</v>
      </c>
      <c r="AO126" s="28" t="str">
        <f>IF(AC126=0,"","+")</f>
        <v/>
      </c>
      <c r="AP126" s="6">
        <f>PI()/4*AC126^2*$O$12/$AX$16</f>
        <v>0</v>
      </c>
      <c r="AQ126" s="28" t="str">
        <f>IF(AF126=0,"","+")</f>
        <v/>
      </c>
      <c r="AR126" s="6">
        <f>PI()/4*AF126^2*$O$12/$AX$16</f>
        <v>0</v>
      </c>
      <c r="AS126" s="28" t="str">
        <f>IF(AI126=0,"","+")</f>
        <v/>
      </c>
      <c r="AT126" s="6">
        <f>PI()/4*AI126^2*$O$12/$AX$16</f>
        <v>0</v>
      </c>
      <c r="AU126" s="28" t="s">
        <v>24</v>
      </c>
      <c r="AV126" s="15">
        <f>VALUE(AJ126)+VALUE(AL126)+VALUE(AN126)+VALUE(AP126)+VALUE(AR126)+VALUE(AT126)</f>
        <v>1340.4128655316449</v>
      </c>
      <c r="AW126" s="228">
        <f>MAX(0.3*$AJ$14^(2/3)/$AJ$16*0.26*100,0.13)</f>
        <v>0.15723814702688016</v>
      </c>
      <c r="AX126" s="6">
        <f>AW126/100*$O$12*BK126</f>
        <v>800.34216836682015</v>
      </c>
      <c r="AY126" s="6"/>
      <c r="AZ126" s="6"/>
      <c r="BA126" s="24" t="str">
        <f>IF(BB126=0,"","+")</f>
        <v/>
      </c>
      <c r="BB126" s="24"/>
      <c r="BC126" s="28" t="s">
        <v>24</v>
      </c>
      <c r="BD126" s="15">
        <f>AX126+AZ126+BB126</f>
        <v>800.34216836682015</v>
      </c>
      <c r="BE126" s="2">
        <f>(R126-($AX$14+$O$16+T126/2))</f>
        <v>509</v>
      </c>
      <c r="BF126" s="3">
        <f>IF(W126=0,0,(R126-($AX$14+T126/2+$O$16+$BI$16)))</f>
        <v>0</v>
      </c>
      <c r="BG126" s="3">
        <f>IF(Z126=0,0,(R126-($AX$14+T126/2+$BI$16+$O$16+$BI$17)))</f>
        <v>0</v>
      </c>
      <c r="BH126" s="3">
        <f>IF(AC126=0,0,(R126-($AX$14+T126/2+$O$16+$BI$16+$BI$17+$BI$18)))</f>
        <v>0</v>
      </c>
      <c r="BI126" s="3">
        <f>IF(AF126=0,0,(R126-($AX$14+T126/2+$O$16+$BI$16+$BI$17+$BI$18+$BL$16)))</f>
        <v>0</v>
      </c>
      <c r="BJ126" s="3">
        <f>IF(AI126=0,0,(R126-($AX$14+T126/2+$O$16+$BI$16+$BI$17+$BI$18+$BL$16+$BL$17)))</f>
        <v>0</v>
      </c>
      <c r="BK126" s="6">
        <f>(BE126*AJ126+BF126*AL126+BG126*AN126+BH126*AP126+BI126*AR126+BJ126*AT126)/AV126</f>
        <v>509.00000000000006</v>
      </c>
      <c r="BL126" s="175" t="e">
        <f>ABS(N126)*1000000/$O$12/BK126^2</f>
        <v>#N/A</v>
      </c>
      <c r="BM126" s="175" t="e">
        <f>BL126/$AJ$14</f>
        <v>#N/A</v>
      </c>
      <c r="BN126" s="21" t="e">
        <f>IF(BM126&lt;0.167,0.5+SQRT(0.25-(BM126/1.134)),0.82)</f>
        <v>#N/A</v>
      </c>
      <c r="BO126" s="15" t="e">
        <f>ABS(N126)/(0.87*$AJ$16*BN126*BK126)*10^6</f>
        <v>#N/A</v>
      </c>
      <c r="BP126" s="22">
        <v>1227.4399358755368</v>
      </c>
      <c r="BQ126" s="175" t="e">
        <f>IF(Q126=0,2*ABS(P126*10^6)/$O$12/BP126/(BK126-BP126/3),Q126*BP126*1000/($O$12/2*BP126^2-(BE126-BP126)*AJ126*$AJ$18-(BF126-BP126)*AL126*$AJ$18-(BG126-BP126)*AN126*$AJ$18-(BH126-BP126)*AP126*$AJ$18-(BI126-BP126)*AR126*$AJ$18-(BJ126-BP126)*AT126*$AJ$18))</f>
        <v>#N/A</v>
      </c>
      <c r="BR126" s="3" t="e">
        <f>0.5*$O$12*BP126*BQ126 /1000</f>
        <v>#N/A</v>
      </c>
      <c r="BS126" s="3" t="e">
        <f>($BQ126/$BP126)*(BE126-$BP126)*$AJ$18*AJ126/1000</f>
        <v>#N/A</v>
      </c>
      <c r="BT126" s="3" t="e">
        <f>($BQ126/$BP126)*(BF126-$BP126)*$AJ$18*AL126/1000</f>
        <v>#N/A</v>
      </c>
      <c r="BU126" s="3" t="e">
        <f>($BQ126/$BP126)*(BG126-$BP126)*$AJ$18*AN126/1000</f>
        <v>#N/A</v>
      </c>
      <c r="BV126" s="3" t="e">
        <f>($BQ126/$BP126)*(BH126-$BP126)*$AJ$18*AP126/1000</f>
        <v>#N/A</v>
      </c>
      <c r="BW126" s="3" t="e">
        <f>($BQ126/$BP126)*(BI126-$BP126)*$AJ$18*AR126/1000</f>
        <v>#N/A</v>
      </c>
      <c r="BX126" s="3" t="e">
        <f>($BQ126/$BP126)*(BJ126-$BP126)*$AJ$18*AT126/1000</f>
        <v>#N/A</v>
      </c>
      <c r="BY126" s="175" t="e">
        <f>IF(Q126=0,0,(0.5*$O$12*BP126*BQ126/1000*(R126/2-$BP126/3)+BS126*(BE126-R126/2)+BT126*(BF126-R126/2)+BU126*(BG126-R126/2)+BV126*(BH126-R126/2)+BW126*(BI126-R126/2)+BX126*(BJ126-R126/2))/1000-ABS(P126))</f>
        <v>#N/A</v>
      </c>
      <c r="BZ126" s="10"/>
      <c r="CA126" s="176" t="e">
        <f>ABS(P126)/(BK126-BP126/3)/AV126*10^6-Q126*(R126/2-BP126/3)/(BK126-BP126/3)/AV126*1000</f>
        <v>#N/A</v>
      </c>
      <c r="CB126" s="177">
        <f>(AV126/($O$12*MIN(2.5*(R126-BK126),(R126-BP126)/3,R126/2)-AV126))</f>
        <v>-6.3681486038416829E-3</v>
      </c>
      <c r="CC126" s="177">
        <f>3.4*($O$16+$AX$14)+0.425*0.8*0.5*(T126^2+W126^2+Z126^2+AC126^2+AF126^2+AI126^2)/(T126+W126+Z126+AC126+AF126+AI126)/CB126</f>
        <v>-144.92571097337753</v>
      </c>
      <c r="CD126" s="177" t="e">
        <f>MAX(0.6*CA126/$AJ$17,(CA126-0.4*0.3*$AJ$14^(2/3)/CB126*(1+$AJ$17/$AJ$15*CB126))/$AJ$17)</f>
        <v>#N/A</v>
      </c>
      <c r="CE126" s="178" t="e">
        <f>CC126*CD126/1000</f>
        <v>#N/A</v>
      </c>
      <c r="CF126" s="23" t="e">
        <f>IF(AND(AV126&gt;=BD126,AV126&gt;=BO126,CE126&lt;=(+IF(CO126="External",0.25,0.3))),"O.K", "Not O.K")</f>
        <v>#N/A</v>
      </c>
      <c r="CG126" s="28"/>
      <c r="CH126" s="179" t="e">
        <f>IF(O126&lt;0.2*$AJ$14*R126*$O$12/1000,"N &lt; 0.2fckAc - OK!","TBA")</f>
        <v>#N/A</v>
      </c>
      <c r="CI126" s="24">
        <v>120</v>
      </c>
      <c r="CJ126" s="25"/>
      <c r="CK126" s="6" t="e">
        <f>CU126</f>
        <v>#N/A</v>
      </c>
      <c r="CL126" s="8" t="s">
        <v>72</v>
      </c>
      <c r="CM126" s="6" t="e">
        <f>CV126</f>
        <v>#N/A</v>
      </c>
      <c r="CN126" s="26" t="s">
        <v>147</v>
      </c>
      <c r="CO126" s="15" t="e">
        <f>IF(VLOOKUP(CI126,'Summary-input'!A:C,3,0)="Outward",
IF(CP126&lt;0,"External","Internal"),
IF(CP126&lt;0,"Internal","External")
)</f>
        <v>#N/A</v>
      </c>
      <c r="CP126" t="e">
        <f>VLOOKUP(CI126&amp;CN126,'Summary-output-ULS'!A:G,6,0)</f>
        <v>#N/A</v>
      </c>
      <c r="CQ126" t="e">
        <f>VLOOKUP(CI126&amp;CN126,'Summary-output-ULS'!A:G,7,0)</f>
        <v>#N/A</v>
      </c>
      <c r="CR126" s="3" t="e">
        <f>VLOOKUP(CI126&amp;CN126,'Summary-output-SLS'!A:G,6,0)</f>
        <v>#N/A</v>
      </c>
      <c r="CS126" s="3" t="e">
        <f>VLOOKUP(CI126&amp;CN126,'Summary-output-SLS'!A:G,7,0)</f>
        <v>#N/A</v>
      </c>
      <c r="CT126" s="20">
        <v>600</v>
      </c>
      <c r="CU126" s="2" t="e">
        <f>VLOOKUP(CI126&amp;CN126,'Summary-output-ULS'!A:G,5,0)</f>
        <v>#N/A</v>
      </c>
      <c r="CV126" s="15" t="e">
        <f>VLOOKUP(CI126&amp;CN126,'Summary-output-SLS'!A:G,5,0)</f>
        <v>#N/A</v>
      </c>
      <c r="CW126" s="6"/>
      <c r="CX126" s="278">
        <f>CI126</f>
        <v>120</v>
      </c>
      <c r="CY126" s="6" t="e">
        <f t="shared" ref="CY126:DD126" si="213">MAX(DN126:DN129)</f>
        <v>#N/A</v>
      </c>
      <c r="CZ126" s="6" t="e">
        <f t="shared" si="213"/>
        <v>#N/A</v>
      </c>
      <c r="DA126" s="6" t="e">
        <f t="shared" si="213"/>
        <v>#N/A</v>
      </c>
      <c r="DB126" s="6" t="e">
        <f t="shared" si="213"/>
        <v>#N/A</v>
      </c>
      <c r="DC126" s="6" t="e">
        <f t="shared" si="213"/>
        <v>#N/A</v>
      </c>
      <c r="DD126" s="6" t="e">
        <f t="shared" si="213"/>
        <v>#N/A</v>
      </c>
      <c r="DE126" s="6"/>
      <c r="DF126" s="6" t="e">
        <f t="shared" ref="DF126:DK126" si="214">MAX(DU126:DU129)</f>
        <v>#N/A</v>
      </c>
      <c r="DG126" s="6" t="e">
        <f t="shared" si="214"/>
        <v>#N/A</v>
      </c>
      <c r="DH126" s="6" t="e">
        <f t="shared" si="214"/>
        <v>#N/A</v>
      </c>
      <c r="DI126" s="6" t="e">
        <f t="shared" si="214"/>
        <v>#N/A</v>
      </c>
      <c r="DJ126" s="6" t="e">
        <f t="shared" si="214"/>
        <v>#N/A</v>
      </c>
      <c r="DK126" s="6" t="e">
        <f t="shared" si="214"/>
        <v>#N/A</v>
      </c>
      <c r="DL126" s="13"/>
      <c r="DM126" s="202">
        <f>CI126</f>
        <v>120</v>
      </c>
      <c r="DN126" s="206" t="e">
        <f>IF(CO126="external",T126,0)</f>
        <v>#N/A</v>
      </c>
      <c r="DO126" s="206" t="e">
        <f>IF(CO126="external",W126,0)</f>
        <v>#N/A</v>
      </c>
      <c r="DP126" s="206" t="e">
        <f>IF(CO126="external",Z126,0)</f>
        <v>#N/A</v>
      </c>
      <c r="DQ126" s="206" t="e">
        <f>IF(CO126="external",AC126,0)</f>
        <v>#N/A</v>
      </c>
      <c r="DR126" s="206" t="e">
        <f>IF(CO126="external",AF126,0)</f>
        <v>#N/A</v>
      </c>
      <c r="DS126" s="207" t="e">
        <f>IF(CO126="external",AI126,0)</f>
        <v>#N/A</v>
      </c>
      <c r="DT126" s="208"/>
      <c r="DU126" s="207" t="e">
        <f>IF(CO126="internal",T126,0)</f>
        <v>#N/A</v>
      </c>
      <c r="DV126" s="207" t="e">
        <f>IF(CO126="internal",W126,0)</f>
        <v>#N/A</v>
      </c>
      <c r="DW126" s="207" t="e">
        <f>IF(CO126="internal",Z126,0)</f>
        <v>#N/A</v>
      </c>
      <c r="DX126" s="207" t="e">
        <f>IF(CO126="internal",AC126,0)</f>
        <v>#N/A</v>
      </c>
      <c r="DY126" s="207" t="e">
        <f>IF(CO126="internal",AF126,0)</f>
        <v>#N/A</v>
      </c>
      <c r="DZ126" s="207" t="e">
        <f>IF(CO126="internal",AI126,0)</f>
        <v>#N/A</v>
      </c>
    </row>
    <row r="127" spans="1:130" s="7" customFormat="1" x14ac:dyDescent="0.3">
      <c r="B127" s="19">
        <f>+CI127</f>
        <v>120</v>
      </c>
      <c r="C127" s="6">
        <f t="shared" si="210"/>
        <v>0</v>
      </c>
      <c r="D127" s="6" t="e">
        <f t="shared" si="210"/>
        <v>#N/A</v>
      </c>
      <c r="E127" s="6" t="str">
        <f t="shared" si="210"/>
        <v>--</v>
      </c>
      <c r="F127" s="6" t="e">
        <f>+CM127</f>
        <v>#N/A</v>
      </c>
      <c r="G127" s="174" t="str">
        <f t="shared" si="211"/>
        <v>Min Mz</v>
      </c>
      <c r="H127" s="6" t="e">
        <f t="shared" si="211"/>
        <v>#N/A</v>
      </c>
      <c r="I127" s="156">
        <v>0</v>
      </c>
      <c r="J127" s="10" t="e">
        <f t="shared" si="212"/>
        <v>#N/A</v>
      </c>
      <c r="K127" s="10" t="e">
        <f t="shared" si="212"/>
        <v>#N/A</v>
      </c>
      <c r="L127" s="10" t="e">
        <f t="shared" si="212"/>
        <v>#N/A</v>
      </c>
      <c r="M127" s="10" t="e">
        <f t="shared" si="212"/>
        <v>#N/A</v>
      </c>
      <c r="N127" s="10" t="e">
        <f>IF(I127*J127&gt;=0,J127*$J$19+I127*$J$18,J127)</f>
        <v>#N/A</v>
      </c>
      <c r="O127" s="10" t="e">
        <f>(K127)*$J$19</f>
        <v>#N/A</v>
      </c>
      <c r="P127" s="14" t="e">
        <f>IF(I127*L127&gt;=0,(L127)+I127,L127)</f>
        <v>#N/A</v>
      </c>
      <c r="Q127" s="3" t="e">
        <f>(M127)</f>
        <v>#N/A</v>
      </c>
      <c r="R127" s="20">
        <f t="shared" si="177"/>
        <v>600</v>
      </c>
      <c r="S127" s="23"/>
      <c r="T127" s="12">
        <v>13</v>
      </c>
      <c r="U127" s="28"/>
      <c r="V127" s="28"/>
      <c r="W127" s="12"/>
      <c r="X127" s="28"/>
      <c r="Y127" s="28"/>
      <c r="Z127" s="12"/>
      <c r="AA127" s="28"/>
      <c r="AB127" s="28"/>
      <c r="AC127" s="158"/>
      <c r="AD127" s="28"/>
      <c r="AE127" s="28"/>
      <c r="AF127" s="158"/>
      <c r="AG127" s="28"/>
      <c r="AH127" s="28"/>
      <c r="AI127" s="29"/>
      <c r="AJ127" s="6">
        <f>PI()/4*T127^2*$O$12/$AX$16</f>
        <v>884.88193076112498</v>
      </c>
      <c r="AK127" s="28" t="str">
        <f>IF(W127=0,"","+")</f>
        <v/>
      </c>
      <c r="AL127" s="6">
        <f>PI()/4*W127^2*$O$12/$AX$16</f>
        <v>0</v>
      </c>
      <c r="AM127" s="28" t="str">
        <f>IF(Z127=0,"","+")</f>
        <v/>
      </c>
      <c r="AN127" s="6">
        <f>PI()/4*Z127^2*$O$12/$AX$16</f>
        <v>0</v>
      </c>
      <c r="AO127" s="28" t="str">
        <f>IF(AC127=0,"","+")</f>
        <v/>
      </c>
      <c r="AP127" s="6">
        <f>PI()/4*AC127^2*$O$12/$AX$16</f>
        <v>0</v>
      </c>
      <c r="AQ127" s="28" t="str">
        <f>IF(AF127=0,"","+")</f>
        <v/>
      </c>
      <c r="AR127" s="6">
        <f>PI()/4*AF127^2*$O$12/$AX$16</f>
        <v>0</v>
      </c>
      <c r="AS127" s="28" t="str">
        <f>IF(AI127=0,"","+")</f>
        <v/>
      </c>
      <c r="AT127" s="6">
        <f>PI()/4*AI127^2*$O$12/$AX$16</f>
        <v>0</v>
      </c>
      <c r="AU127" s="28" t="s">
        <v>24</v>
      </c>
      <c r="AV127" s="15">
        <f>VALUE(AJ127)+VALUE(AL127)+VALUE(AN127)+VALUE(AP127)+VALUE(AR127)+VALUE(AT127)</f>
        <v>884.88193076112498</v>
      </c>
      <c r="AW127" s="228">
        <f>MAX(0.3*$AJ$14^(2/3)/$AJ$16*0.26*100,0.13)</f>
        <v>0.15723814702688016</v>
      </c>
      <c r="AX127" s="6">
        <f>AW127/100*$O$12*BK127</f>
        <v>802.70074057222325</v>
      </c>
      <c r="AY127" s="6"/>
      <c r="AZ127" s="6"/>
      <c r="BA127" s="24" t="str">
        <f>IF(BB127=0,"","+")</f>
        <v/>
      </c>
      <c r="BB127" s="24"/>
      <c r="BC127" s="28" t="s">
        <v>24</v>
      </c>
      <c r="BD127" s="15">
        <f>AX127+AZ127+BB127</f>
        <v>802.70074057222325</v>
      </c>
      <c r="BE127" s="2">
        <f>(R127-($AX$14+$O$16+T127/2))</f>
        <v>510.5</v>
      </c>
      <c r="BF127" s="3">
        <f>IF(W127=0,0,(R127-($AX$14+T127/2+$O$16+$BI$16)))</f>
        <v>0</v>
      </c>
      <c r="BG127" s="3">
        <f>IF(Z127=0,0,(R127-($AX$14+T127/2+$BI$16+$O$16+$BI$17)))</f>
        <v>0</v>
      </c>
      <c r="BH127" s="3">
        <f>IF(AC127=0,0,(R127-($AX$14+T127/2+$O$16+$BI$16+$BI$17+$BI$18)))</f>
        <v>0</v>
      </c>
      <c r="BI127" s="3">
        <f>IF(AF127=0,0,(R127-($AX$14+T127/2+$O$16+$BI$16+$BI$17+$BI$18+$BL$16)))</f>
        <v>0</v>
      </c>
      <c r="BJ127" s="3">
        <f>IF(AI127=0,0,(R127-($AX$14+T127/2+$O$16+$BI$16+$BI$17+$BI$18+$BL$16+$BL$17)))</f>
        <v>0</v>
      </c>
      <c r="BK127" s="6">
        <f>(BE127*AJ127+BF127*AL127+BG127*AN127+BH127*AP127+BI127*AR127+BJ127*AT127)/AV127</f>
        <v>510.5</v>
      </c>
      <c r="BL127" s="175" t="e">
        <f>ABS(N127)*1000000/$O$12/BK127^2</f>
        <v>#N/A</v>
      </c>
      <c r="BM127" s="175" t="e">
        <f>BL127/$AJ$14</f>
        <v>#N/A</v>
      </c>
      <c r="BN127" s="21" t="e">
        <f>IF(BM127&lt;0.167,0.5+SQRT(0.25-(BM127/1.134)),0.82)</f>
        <v>#N/A</v>
      </c>
      <c r="BO127" s="15" t="e">
        <f>ABS(N127)/(0.87*$AJ$16*BN127*BK127)*10^6</f>
        <v>#N/A</v>
      </c>
      <c r="BP127" s="22">
        <v>1071.3912277538811</v>
      </c>
      <c r="BQ127" s="175" t="e">
        <f>IF(Q127=0,2*ABS(P127*10^6)/$O$12/BP127/(BK127-BP127/3),Q127*BP127*1000/($O$12/2*BP127^2-(BE127-BP127)*AJ127*$AJ$18-(BF127-BP127)*AL127*$AJ$18-(BG127-BP127)*AN127*$AJ$18-(BH127-BP127)*AP127*$AJ$18-(BI127-BP127)*AR127*$AJ$18-(BJ127-BP127)*AT127*$AJ$18))</f>
        <v>#N/A</v>
      </c>
      <c r="BR127" s="3" t="e">
        <f>0.5*$O$12*BP127*BQ127 /1000</f>
        <v>#N/A</v>
      </c>
      <c r="BS127" s="3" t="e">
        <f>($BQ127/$BP127)*(BE127-$BP127)*$AJ$18*AJ127/1000</f>
        <v>#N/A</v>
      </c>
      <c r="BT127" s="3" t="e">
        <f>($BQ127/$BP127)*(BF127-$BP127)*$AJ$18*AL127/1000</f>
        <v>#N/A</v>
      </c>
      <c r="BU127" s="3" t="e">
        <f>($BQ127/$BP127)*(BG127-$BP127)*$AJ$18*AN127/1000</f>
        <v>#N/A</v>
      </c>
      <c r="BV127" s="3" t="e">
        <f>($BQ127/$BP127)*(BH127-$BP127)*$AJ$18*AP127/1000</f>
        <v>#N/A</v>
      </c>
      <c r="BW127" s="3" t="e">
        <f>($BQ127/$BP127)*(BI127-$BP127)*$AJ$18*AR127/1000</f>
        <v>#N/A</v>
      </c>
      <c r="BX127" s="3" t="e">
        <f>($BQ127/$BP127)*(BJ127-$BP127)*$AJ$18*AT127/1000</f>
        <v>#N/A</v>
      </c>
      <c r="BY127" s="175" t="e">
        <f>IF(Q127=0,0,(0.5*$O$12*BP127*BQ127/1000*(R127/2-$BP127/3)+BS127*(BE127-R127/2)+BT127*(BF127-R127/2)+BU127*(BG127-R127/2)+BV127*(BH127-R127/2)+BW127*(BI127-R127/2)+BX127*(BJ127-R127/2))/1000-ABS(P127))</f>
        <v>#N/A</v>
      </c>
      <c r="BZ127" s="10"/>
      <c r="CA127" s="176" t="e">
        <f>ABS(P127)/(BK127-BP127/3)/AV127*10^6-Q127*(R127/2-BP127/3)/(BK127-BP127/3)/AV127*1000</f>
        <v>#N/A</v>
      </c>
      <c r="CB127" s="177">
        <f>(AV127/($O$12*MIN(2.5*(R127-BK127),(R127-BP127)/3,R127/2)-AV127))</f>
        <v>-5.599976585440849E-3</v>
      </c>
      <c r="CC127" s="177">
        <f>3.4*($O$16+$AX$14)+0.425*0.8*0.5*(T127^2+W127^2+Z127^2+AC127^2+AF127^2+AI127^2)/(T127+W127+Z127+AC127+AF127+AI127)/CB127</f>
        <v>-112.44450721913535</v>
      </c>
      <c r="CD127" s="177" t="e">
        <f>MAX(0.6*CA127/$AJ$17,(CA127-0.4*0.3*$AJ$14^(2/3)/CB127*(1+$AJ$17/$AJ$15*CB127))/$AJ$17)</f>
        <v>#N/A</v>
      </c>
      <c r="CE127" s="178" t="e">
        <f>CC127*CD127/1000</f>
        <v>#N/A</v>
      </c>
      <c r="CF127" s="23" t="e">
        <f>IF(AND(AV127&gt;=BD127,AV127&gt;=BO127,CE127&lt;=(+IF(CO127="External",0.25,0.3))),"O.K", "Not O.K")</f>
        <v>#N/A</v>
      </c>
      <c r="CG127" s="28"/>
      <c r="CH127" s="179" t="e">
        <f>IF(O127&lt;0.2*$AJ$14*R127*$O$12/1000,"N &lt; 0.2fckAc - OK!","TBA")</f>
        <v>#N/A</v>
      </c>
      <c r="CI127" s="24">
        <v>120</v>
      </c>
      <c r="CJ127" s="25"/>
      <c r="CK127" s="6" t="e">
        <f>CU127</f>
        <v>#N/A</v>
      </c>
      <c r="CL127" s="8" t="s">
        <v>72</v>
      </c>
      <c r="CM127" s="6" t="e">
        <f>CV127</f>
        <v>#N/A</v>
      </c>
      <c r="CN127" s="26" t="s">
        <v>148</v>
      </c>
      <c r="CO127" s="15" t="e">
        <f>IF(VLOOKUP(CI127,'Summary-input'!A:C,3,0)="Outward",
IF(CP127&lt;0,"External","Internal"),
IF(CP127&lt;0,"Internal","External")
)</f>
        <v>#N/A</v>
      </c>
      <c r="CP127" t="e">
        <f>VLOOKUP(CI127&amp;CN127,'Summary-output-ULS'!A:G,6,0)</f>
        <v>#N/A</v>
      </c>
      <c r="CQ127" t="e">
        <f>VLOOKUP(CI127&amp;CN127,'Summary-output-ULS'!A:G,7,0)</f>
        <v>#N/A</v>
      </c>
      <c r="CR127" s="3" t="e">
        <f>VLOOKUP(CI127&amp;CN127,'Summary-output-SLS'!A:G,6,0)</f>
        <v>#N/A</v>
      </c>
      <c r="CS127" s="3" t="e">
        <f>VLOOKUP(CI127&amp;CN127,'Summary-output-SLS'!A:G,7,0)</f>
        <v>#N/A</v>
      </c>
      <c r="CT127" s="20">
        <v>600</v>
      </c>
      <c r="CU127" s="2" t="e">
        <f>VLOOKUP(CI127&amp;CN127,'Summary-output-ULS'!A:G,5,0)</f>
        <v>#N/A</v>
      </c>
      <c r="CV127" s="15" t="e">
        <f>VLOOKUP(CI127&amp;CN127,'Summary-output-SLS'!A:G,5,0)</f>
        <v>#N/A</v>
      </c>
      <c r="CW127" s="6"/>
      <c r="CX127" s="278"/>
      <c r="CY127" s="6"/>
      <c r="CZ127" s="6"/>
      <c r="DA127" s="6"/>
      <c r="DB127" s="6"/>
      <c r="DC127" s="6"/>
      <c r="DD127" s="6"/>
      <c r="DE127" s="6"/>
      <c r="DF127" s="6"/>
      <c r="DG127" s="6"/>
      <c r="DH127" s="6"/>
      <c r="DI127" s="6"/>
      <c r="DJ127" s="212"/>
      <c r="DK127" s="13"/>
      <c r="DL127" s="13"/>
      <c r="DM127" s="202"/>
      <c r="DN127" s="206" t="e">
        <f>IF(CO127="external",T127,0)</f>
        <v>#N/A</v>
      </c>
      <c r="DO127" s="206" t="e">
        <f>IF(CO127="external",W127,0)</f>
        <v>#N/A</v>
      </c>
      <c r="DP127" s="206" t="e">
        <f>IF(CO127="external",Z127,0)</f>
        <v>#N/A</v>
      </c>
      <c r="DQ127" s="206" t="e">
        <f>IF(CO127="external",AC127,0)</f>
        <v>#N/A</v>
      </c>
      <c r="DR127" s="206" t="e">
        <f>IF(CO127="external",AF127,0)</f>
        <v>#N/A</v>
      </c>
      <c r="DS127" s="207" t="e">
        <f>IF(CO127="external",AI127,0)</f>
        <v>#N/A</v>
      </c>
      <c r="DT127" s="208"/>
      <c r="DU127" s="207" t="e">
        <f>IF(CO127="internal",T127,0)</f>
        <v>#N/A</v>
      </c>
      <c r="DV127" s="207" t="e">
        <f>IF(CO127="internal",W127,0)</f>
        <v>#N/A</v>
      </c>
      <c r="DW127" s="207" t="e">
        <f>IF(CO127="internal",Z127,0)</f>
        <v>#N/A</v>
      </c>
      <c r="DX127" s="207" t="e">
        <f>IF(CO127="internal",AC127,0)</f>
        <v>#N/A</v>
      </c>
      <c r="DY127" s="207" t="e">
        <f>IF(CO127="internal",AF127,0)</f>
        <v>#N/A</v>
      </c>
      <c r="DZ127" s="207" t="e">
        <f>IF(CO127="internal",AI127,0)</f>
        <v>#N/A</v>
      </c>
    </row>
    <row r="128" spans="1:130" s="7" customFormat="1" x14ac:dyDescent="0.3">
      <c r="B128" s="19">
        <f>+CI128</f>
        <v>120</v>
      </c>
      <c r="C128" s="6">
        <f t="shared" si="210"/>
        <v>0</v>
      </c>
      <c r="D128" s="6" t="e">
        <f t="shared" si="210"/>
        <v>#N/A</v>
      </c>
      <c r="E128" s="6" t="str">
        <f t="shared" si="210"/>
        <v>--</v>
      </c>
      <c r="F128" s="6" t="e">
        <f>+CM128</f>
        <v>#N/A</v>
      </c>
      <c r="G128" s="174" t="str">
        <f t="shared" si="211"/>
        <v>Max Fx</v>
      </c>
      <c r="H128" s="6" t="e">
        <f t="shared" si="211"/>
        <v>#N/A</v>
      </c>
      <c r="I128" s="156">
        <v>0</v>
      </c>
      <c r="J128" s="10" t="e">
        <f t="shared" si="212"/>
        <v>#N/A</v>
      </c>
      <c r="K128" s="10" t="e">
        <f t="shared" si="212"/>
        <v>#N/A</v>
      </c>
      <c r="L128" s="10" t="e">
        <f t="shared" si="212"/>
        <v>#N/A</v>
      </c>
      <c r="M128" s="10" t="e">
        <f t="shared" si="212"/>
        <v>#N/A</v>
      </c>
      <c r="N128" s="10" t="e">
        <f>IF(I128*J128&gt;=0,J128*$J$19+I128*$J$18,J128)</f>
        <v>#N/A</v>
      </c>
      <c r="O128" s="10" t="e">
        <f>(K128)*$J$19</f>
        <v>#N/A</v>
      </c>
      <c r="P128" s="14" t="e">
        <f>IF(I128*L128&gt;=0,(L128)+I128,L128)</f>
        <v>#N/A</v>
      </c>
      <c r="Q128" s="3" t="e">
        <f>(M128)</f>
        <v>#N/A</v>
      </c>
      <c r="R128" s="20">
        <f t="shared" si="177"/>
        <v>600</v>
      </c>
      <c r="S128" s="23"/>
      <c r="T128" s="12">
        <v>13</v>
      </c>
      <c r="U128" s="28"/>
      <c r="V128" s="28"/>
      <c r="W128" s="12"/>
      <c r="X128" s="28"/>
      <c r="Y128" s="28"/>
      <c r="Z128" s="12"/>
      <c r="AA128" s="28"/>
      <c r="AB128" s="28"/>
      <c r="AC128" s="158"/>
      <c r="AD128" s="28"/>
      <c r="AE128" s="28"/>
      <c r="AF128" s="158"/>
      <c r="AG128" s="28"/>
      <c r="AH128" s="28"/>
      <c r="AI128" s="29"/>
      <c r="AJ128" s="6">
        <f>PI()/4*T128^2*$O$12/$AX$16</f>
        <v>884.88193076112498</v>
      </c>
      <c r="AK128" s="28" t="str">
        <f>IF(W128=0,"","+")</f>
        <v/>
      </c>
      <c r="AL128" s="6">
        <f>PI()/4*W128^2*$O$12/$AX$16</f>
        <v>0</v>
      </c>
      <c r="AM128" s="28" t="str">
        <f>IF(Z128=0,"","+")</f>
        <v/>
      </c>
      <c r="AN128" s="6">
        <f>PI()/4*Z128^2*$O$12/$AX$16</f>
        <v>0</v>
      </c>
      <c r="AO128" s="28" t="str">
        <f>IF(AC128=0,"","+")</f>
        <v/>
      </c>
      <c r="AP128" s="6">
        <f>PI()/4*AC128^2*$O$12/$AX$16</f>
        <v>0</v>
      </c>
      <c r="AQ128" s="28" t="str">
        <f>IF(AF128=0,"","+")</f>
        <v/>
      </c>
      <c r="AR128" s="6">
        <f>PI()/4*AF128^2*$O$12/$AX$16</f>
        <v>0</v>
      </c>
      <c r="AS128" s="28" t="str">
        <f>IF(AI128=0,"","+")</f>
        <v/>
      </c>
      <c r="AT128" s="6">
        <f>PI()/4*AI128^2*$O$12/$AX$16</f>
        <v>0</v>
      </c>
      <c r="AU128" s="28" t="s">
        <v>24</v>
      </c>
      <c r="AV128" s="15">
        <f>VALUE(AJ128)+VALUE(AL128)+VALUE(AN128)+VALUE(AP128)+VALUE(AR128)+VALUE(AT128)</f>
        <v>884.88193076112498</v>
      </c>
      <c r="AW128" s="228">
        <f>MAX(0.3*$AJ$14^(2/3)/$AJ$16*0.26*100,0.13)</f>
        <v>0.15723814702688016</v>
      </c>
      <c r="AX128" s="6">
        <f>AW128/100*$O$12*BK128</f>
        <v>802.70074057222325</v>
      </c>
      <c r="AY128" s="6"/>
      <c r="AZ128" s="6"/>
      <c r="BA128" s="24" t="str">
        <f>IF(BB128=0,"","+")</f>
        <v/>
      </c>
      <c r="BB128" s="24"/>
      <c r="BC128" s="28" t="s">
        <v>24</v>
      </c>
      <c r="BD128" s="15">
        <f>AX128+AZ128+BB128</f>
        <v>802.70074057222325</v>
      </c>
      <c r="BE128" s="2">
        <f>(R128-($AX$14+$O$16+T128/2))</f>
        <v>510.5</v>
      </c>
      <c r="BF128" s="3">
        <f>IF(W128=0,0,(R128-($AX$14+T128/2+$O$16+$BI$16)))</f>
        <v>0</v>
      </c>
      <c r="BG128" s="3">
        <f>IF(Z128=0,0,(R128-($AX$14+T128/2+$BI$16+$O$16+$BI$17)))</f>
        <v>0</v>
      </c>
      <c r="BH128" s="3">
        <f>IF(AC128=0,0,(R128-($AX$14+T128/2+$O$16+$BI$16+$BI$17+$BI$18)))</f>
        <v>0</v>
      </c>
      <c r="BI128" s="3">
        <f>IF(AF128=0,0,(R128-($AX$14+T128/2+$O$16+$BI$16+$BI$17+$BI$18+$BL$16)))</f>
        <v>0</v>
      </c>
      <c r="BJ128" s="3">
        <f>IF(AI128=0,0,(R128-($AX$14+T128/2+$O$16+$BI$16+$BI$17+$BI$18+$BL$16+$BL$17)))</f>
        <v>0</v>
      </c>
      <c r="BK128" s="6">
        <f>(BE128*AJ128+BF128*AL128+BG128*AN128+BH128*AP128+BI128*AR128+BJ128*AT128)/AV128</f>
        <v>510.5</v>
      </c>
      <c r="BL128" s="175" t="e">
        <f>ABS(N128)*1000000/$O$12/BK128^2</f>
        <v>#N/A</v>
      </c>
      <c r="BM128" s="175" t="e">
        <f>BL128/$AJ$14</f>
        <v>#N/A</v>
      </c>
      <c r="BN128" s="21" t="e">
        <f>IF(BM128&lt;0.167,0.5+SQRT(0.25-(BM128/1.134)),0.82)</f>
        <v>#N/A</v>
      </c>
      <c r="BO128" s="15" t="e">
        <f>ABS(N128)/(0.87*$AJ$16*BN128*BK128)*10^6</f>
        <v>#N/A</v>
      </c>
      <c r="BP128" s="22">
        <v>1042.2967833286161</v>
      </c>
      <c r="BQ128" s="175" t="e">
        <f>IF(Q128=0,2*ABS(P128*10^6)/$O$12/BP128/(BK128-BP128/3),Q128*BP128*1000/($O$12/2*BP128^2-(BE128-BP128)*AJ128*$AJ$18-(BF128-BP128)*AL128*$AJ$18-(BG128-BP128)*AN128*$AJ$18-(BH128-BP128)*AP128*$AJ$18-(BI128-BP128)*AR128*$AJ$18-(BJ128-BP128)*AT128*$AJ$18))</f>
        <v>#N/A</v>
      </c>
      <c r="BR128" s="3" t="e">
        <f>0.5*$O$12*BP128*BQ128 /1000</f>
        <v>#N/A</v>
      </c>
      <c r="BS128" s="3" t="e">
        <f>($BQ128/$BP128)*(BE128-$BP128)*$AJ$18*AJ128/1000</f>
        <v>#N/A</v>
      </c>
      <c r="BT128" s="3" t="e">
        <f>($BQ128/$BP128)*(BF128-$BP128)*$AJ$18*AL128/1000</f>
        <v>#N/A</v>
      </c>
      <c r="BU128" s="3" t="e">
        <f>($BQ128/$BP128)*(BG128-$BP128)*$AJ$18*AN128/1000</f>
        <v>#N/A</v>
      </c>
      <c r="BV128" s="3" t="e">
        <f>($BQ128/$BP128)*(BH128-$BP128)*$AJ$18*AP128/1000</f>
        <v>#N/A</v>
      </c>
      <c r="BW128" s="3" t="e">
        <f>($BQ128/$BP128)*(BI128-$BP128)*$AJ$18*AR128/1000</f>
        <v>#N/A</v>
      </c>
      <c r="BX128" s="3" t="e">
        <f>($BQ128/$BP128)*(BJ128-$BP128)*$AJ$18*AT128/1000</f>
        <v>#N/A</v>
      </c>
      <c r="BY128" s="175" t="e">
        <f>IF(Q128=0,0,(0.5*$O$12*BP128*BQ128/1000*(R128/2-$BP128/3)+BS128*(BE128-R128/2)+BT128*(BF128-R128/2)+BU128*(BG128-R128/2)+BV128*(BH128-R128/2)+BW128*(BI128-R128/2)+BX128*(BJ128-R128/2))/1000-ABS(P128))</f>
        <v>#N/A</v>
      </c>
      <c r="BZ128" s="10"/>
      <c r="CA128" s="176" t="e">
        <f>ABS(P128)/(BK128-BP128/3)/AV128*10^6-Q128*(R128/2-BP128/3)/(BK128-BP128/3)/AV128*1000</f>
        <v>#N/A</v>
      </c>
      <c r="CB128" s="177">
        <f>(AV128/($O$12*MIN(2.5*(R128-BK128),(R128-BP128)/3,R128/2)-AV128))</f>
        <v>-5.9661473557422176E-3</v>
      </c>
      <c r="CC128" s="177">
        <f>3.4*($O$16+$AX$14)+0.425*0.8*0.5*(T128^2+W128^2+Z128^2+AC128^2+AF128^2+AI128^2)/(T128+W128+Z128+AC128+AF128+AI128)/CB128</f>
        <v>-88.22330137437001</v>
      </c>
      <c r="CD128" s="177" t="e">
        <f>MAX(0.6*CA128/$AJ$17,(CA128-0.4*0.3*$AJ$14^(2/3)/CB128*(1+$AJ$17/$AJ$15*CB128))/$AJ$17)</f>
        <v>#N/A</v>
      </c>
      <c r="CE128" s="178" t="e">
        <f>CC128*CD128/1000</f>
        <v>#N/A</v>
      </c>
      <c r="CF128" s="23" t="e">
        <f>IF(AND(AV128&gt;=BD128,AV128&gt;=BO128,CE128&lt;=(+IF(CO128="External",0.25,0.3))),"O.K", "Not O.K")</f>
        <v>#N/A</v>
      </c>
      <c r="CG128" s="28"/>
      <c r="CH128" s="179" t="e">
        <f>IF(O128&lt;0.2*$AJ$14*R128*$O$12/1000,"N &lt; 0.2fckAc - OK!","TBA")</f>
        <v>#N/A</v>
      </c>
      <c r="CI128" s="24">
        <v>120</v>
      </c>
      <c r="CJ128" s="25"/>
      <c r="CK128" s="6" t="e">
        <f>CU128</f>
        <v>#N/A</v>
      </c>
      <c r="CL128" s="8" t="s">
        <v>72</v>
      </c>
      <c r="CM128" s="6" t="e">
        <f>CV128</f>
        <v>#N/A</v>
      </c>
      <c r="CN128" s="26" t="s">
        <v>145</v>
      </c>
      <c r="CO128" s="15" t="e">
        <f>IF(VLOOKUP(CI128,'Summary-input'!A:C,3,0)="Outward",
IF(CP128&lt;0,"External","Internal"),
IF(CP128&lt;0,"Internal","External")
)</f>
        <v>#N/A</v>
      </c>
      <c r="CP128" t="e">
        <f>VLOOKUP(CI128&amp;CN128,'Summary-output-ULS'!A:G,6,0)</f>
        <v>#N/A</v>
      </c>
      <c r="CQ128" t="e">
        <f>VLOOKUP(CI128&amp;CN128,'Summary-output-ULS'!A:G,7,0)</f>
        <v>#N/A</v>
      </c>
      <c r="CR128" s="3" t="e">
        <f>VLOOKUP(CI128&amp;CN128,'Summary-output-SLS'!A:G,6,0)</f>
        <v>#N/A</v>
      </c>
      <c r="CS128" s="3" t="e">
        <f>VLOOKUP(CI128&amp;CN128,'Summary-output-SLS'!A:G,7,0)</f>
        <v>#N/A</v>
      </c>
      <c r="CT128" s="20">
        <v>600</v>
      </c>
      <c r="CU128" s="2" t="e">
        <f>VLOOKUP(CI128&amp;CN128,'Summary-output-ULS'!A:G,5,0)</f>
        <v>#N/A</v>
      </c>
      <c r="CV128" s="15" t="e">
        <f>VLOOKUP(CI128&amp;CN128,'Summary-output-SLS'!A:G,5,0)</f>
        <v>#N/A</v>
      </c>
      <c r="CW128" s="6"/>
      <c r="CX128" s="278"/>
      <c r="CY128" s="6"/>
      <c r="CZ128" s="6"/>
      <c r="DA128" s="6"/>
      <c r="DB128" s="6"/>
      <c r="DC128" s="6"/>
      <c r="DD128" s="6"/>
      <c r="DE128" s="6"/>
      <c r="DF128" s="6"/>
      <c r="DG128" s="6"/>
      <c r="DH128" s="6"/>
      <c r="DI128" s="6"/>
      <c r="DJ128" s="212"/>
      <c r="DK128" s="13"/>
      <c r="DL128" s="13"/>
      <c r="DM128" s="202"/>
      <c r="DN128" s="206" t="e">
        <f>IF(CO128="external",T128,0)</f>
        <v>#N/A</v>
      </c>
      <c r="DO128" s="206" t="e">
        <f>IF(CO128="external",W128,0)</f>
        <v>#N/A</v>
      </c>
      <c r="DP128" s="206" t="e">
        <f>IF(CO128="external",Z128,0)</f>
        <v>#N/A</v>
      </c>
      <c r="DQ128" s="206" t="e">
        <f>IF(CO128="external",AC128,0)</f>
        <v>#N/A</v>
      </c>
      <c r="DR128" s="206" t="e">
        <f>IF(CO128="external",AF128,0)</f>
        <v>#N/A</v>
      </c>
      <c r="DS128" s="207" t="e">
        <f>IF(CO128="external",AI128,0)</f>
        <v>#N/A</v>
      </c>
      <c r="DT128" s="208"/>
      <c r="DU128" s="207" t="e">
        <f>IF(CO128="internal",T128,0)</f>
        <v>#N/A</v>
      </c>
      <c r="DV128" s="207" t="e">
        <f>IF(CO128="internal",W128,0)</f>
        <v>#N/A</v>
      </c>
      <c r="DW128" s="207" t="e">
        <f>IF(CO128="internal",Z128,0)</f>
        <v>#N/A</v>
      </c>
      <c r="DX128" s="207" t="e">
        <f>IF(CO128="internal",AC128,0)</f>
        <v>#N/A</v>
      </c>
      <c r="DY128" s="207" t="e">
        <f>IF(CO128="internal",AF128,0)</f>
        <v>#N/A</v>
      </c>
      <c r="DZ128" s="207" t="e">
        <f>IF(CO128="internal",AI128,0)</f>
        <v>#N/A</v>
      </c>
    </row>
    <row r="129" spans="1:130" s="7" customFormat="1" ht="15" thickBot="1" x14ac:dyDescent="0.35">
      <c r="B129" s="244">
        <f>+CI129</f>
        <v>120</v>
      </c>
      <c r="C129" s="245">
        <f t="shared" si="210"/>
        <v>0</v>
      </c>
      <c r="D129" s="245" t="e">
        <f t="shared" si="210"/>
        <v>#N/A</v>
      </c>
      <c r="E129" s="245" t="str">
        <f t="shared" si="210"/>
        <v>--</v>
      </c>
      <c r="F129" s="245" t="e">
        <f>+CM129</f>
        <v>#N/A</v>
      </c>
      <c r="G129" s="246" t="str">
        <f t="shared" si="211"/>
        <v>Min Fx</v>
      </c>
      <c r="H129" s="245" t="e">
        <f t="shared" si="211"/>
        <v>#N/A</v>
      </c>
      <c r="I129" s="247">
        <v>0</v>
      </c>
      <c r="J129" s="248" t="e">
        <f t="shared" si="212"/>
        <v>#N/A</v>
      </c>
      <c r="K129" s="248" t="e">
        <f t="shared" si="212"/>
        <v>#N/A</v>
      </c>
      <c r="L129" s="248" t="e">
        <f t="shared" si="212"/>
        <v>#N/A</v>
      </c>
      <c r="M129" s="248" t="e">
        <f t="shared" si="212"/>
        <v>#N/A</v>
      </c>
      <c r="N129" s="248" t="e">
        <f>IF(I129*J129&gt;=0,J129*$J$19+I129*$J$18,J129)</f>
        <v>#N/A</v>
      </c>
      <c r="O129" s="248" t="e">
        <f>(K129)*$J$19</f>
        <v>#N/A</v>
      </c>
      <c r="P129" s="249" t="e">
        <f>IF(I129*L129&gt;=0,(L129)+I129,L129)</f>
        <v>#N/A</v>
      </c>
      <c r="Q129" s="250" t="e">
        <f>(M129)</f>
        <v>#N/A</v>
      </c>
      <c r="R129" s="251">
        <f t="shared" si="177"/>
        <v>600</v>
      </c>
      <c r="S129" s="252"/>
      <c r="T129" s="253">
        <v>13</v>
      </c>
      <c r="U129" s="254"/>
      <c r="V129" s="254"/>
      <c r="W129" s="253"/>
      <c r="X129" s="254"/>
      <c r="Y129" s="254"/>
      <c r="Z129" s="253"/>
      <c r="AA129" s="254"/>
      <c r="AB129" s="254"/>
      <c r="AC129" s="255"/>
      <c r="AD129" s="254"/>
      <c r="AE129" s="254"/>
      <c r="AF129" s="255"/>
      <c r="AG129" s="254"/>
      <c r="AH129" s="254"/>
      <c r="AI129" s="256"/>
      <c r="AJ129" s="245">
        <f>PI()/4*T129^2*$O$12/$AX$16</f>
        <v>884.88193076112498</v>
      </c>
      <c r="AK129" s="254" t="str">
        <f>IF(W129=0,"","+")</f>
        <v/>
      </c>
      <c r="AL129" s="245">
        <f>PI()/4*W129^2*$O$12/$AX$16</f>
        <v>0</v>
      </c>
      <c r="AM129" s="254" t="str">
        <f>IF(Z129=0,"","+")</f>
        <v/>
      </c>
      <c r="AN129" s="245">
        <f>PI()/4*Z129^2*$O$12/$AX$16</f>
        <v>0</v>
      </c>
      <c r="AO129" s="254" t="str">
        <f>IF(AC129=0,"","+")</f>
        <v/>
      </c>
      <c r="AP129" s="245">
        <f>PI()/4*AC129^2*$O$12/$AX$16</f>
        <v>0</v>
      </c>
      <c r="AQ129" s="254" t="str">
        <f>IF(AF129=0,"","+")</f>
        <v/>
      </c>
      <c r="AR129" s="245">
        <f>PI()/4*AF129^2*$O$12/$AX$16</f>
        <v>0</v>
      </c>
      <c r="AS129" s="254" t="str">
        <f>IF(AI129=0,"","+")</f>
        <v/>
      </c>
      <c r="AT129" s="245">
        <f>PI()/4*AI129^2*$O$12/$AX$16</f>
        <v>0</v>
      </c>
      <c r="AU129" s="254" t="s">
        <v>24</v>
      </c>
      <c r="AV129" s="257">
        <f>VALUE(AJ129)+VALUE(AL129)+VALUE(AN129)+VALUE(AP129)+VALUE(AR129)+VALUE(AT129)</f>
        <v>884.88193076112498</v>
      </c>
      <c r="AW129" s="258">
        <f>MAX(0.3*$AJ$14^(2/3)/$AJ$16*0.26*100,0.13)</f>
        <v>0.15723814702688016</v>
      </c>
      <c r="AX129" s="245">
        <f>AW129/100*$O$12*BK129</f>
        <v>802.70074057222325</v>
      </c>
      <c r="AY129" s="245"/>
      <c r="AZ129" s="245"/>
      <c r="BA129" s="259" t="str">
        <f>IF(BB129=0,"","+")</f>
        <v/>
      </c>
      <c r="BB129" s="259"/>
      <c r="BC129" s="254" t="s">
        <v>24</v>
      </c>
      <c r="BD129" s="257">
        <f>AX129+AZ129+BB129</f>
        <v>802.70074057222325</v>
      </c>
      <c r="BE129" s="260">
        <f>(R129-($AX$14+$O$16+T129/2))</f>
        <v>510.5</v>
      </c>
      <c r="BF129" s="250">
        <f>IF(W129=0,0,(R129-($AX$14+T129/2+$O$16+$BI$16)))</f>
        <v>0</v>
      </c>
      <c r="BG129" s="250">
        <f>IF(Z129=0,0,(R129-($AX$14+T129/2+$BI$16+$O$16+$BI$17)))</f>
        <v>0</v>
      </c>
      <c r="BH129" s="250">
        <f>IF(AC129=0,0,(R129-($AX$14+T129/2+$O$16+$BI$16+$BI$17+$BI$18)))</f>
        <v>0</v>
      </c>
      <c r="BI129" s="250">
        <f>IF(AF129=0,0,(R129-($AX$14+T129/2+$O$16+$BI$16+$BI$17+$BI$18+$BL$16)))</f>
        <v>0</v>
      </c>
      <c r="BJ129" s="250">
        <f>IF(AI129=0,0,(R129-($AX$14+T129/2+$O$16+$BI$16+$BI$17+$BI$18+$BL$16+$BL$17)))</f>
        <v>0</v>
      </c>
      <c r="BK129" s="245">
        <f>(BE129*AJ129+BF129*AL129+BG129*AN129+BH129*AP129+BI129*AR129+BJ129*AT129)/AV129</f>
        <v>510.5</v>
      </c>
      <c r="BL129" s="261" t="e">
        <f>ABS(N129)*1000000/$O$12/BK129^2</f>
        <v>#N/A</v>
      </c>
      <c r="BM129" s="261" t="e">
        <f>BL129/$AJ$14</f>
        <v>#N/A</v>
      </c>
      <c r="BN129" s="262" t="e">
        <f>IF(BM129&lt;0.167,0.5+SQRT(0.25-(BM129/1.134)),0.82)</f>
        <v>#N/A</v>
      </c>
      <c r="BO129" s="257" t="e">
        <f>ABS(N129)/(0.87*$AJ$16*BN129*BK129)*10^6</f>
        <v>#N/A</v>
      </c>
      <c r="BP129" s="263">
        <v>1089.9763167243666</v>
      </c>
      <c r="BQ129" s="261" t="e">
        <f>IF(Q129=0,2*ABS(P129*10^6)/$O$12/BP129/(BK129-BP129/3),Q129*BP129*1000/($O$12/2*BP129^2-(BE129-BP129)*AJ129*$AJ$18-(BF129-BP129)*AL129*$AJ$18-(BG129-BP129)*AN129*$AJ$18-(BH129-BP129)*AP129*$AJ$18-(BI129-BP129)*AR129*$AJ$18-(BJ129-BP129)*AT129*$AJ$18))</f>
        <v>#N/A</v>
      </c>
      <c r="BR129" s="250" t="e">
        <f>0.5*$O$12*BP129*BQ129 /1000</f>
        <v>#N/A</v>
      </c>
      <c r="BS129" s="250" t="e">
        <f>($BQ129/$BP129)*(BE129-$BP129)*$AJ$18*AJ129/1000</f>
        <v>#N/A</v>
      </c>
      <c r="BT129" s="250" t="e">
        <f>($BQ129/$BP129)*(BF129-$BP129)*$AJ$18*AL129/1000</f>
        <v>#N/A</v>
      </c>
      <c r="BU129" s="250" t="e">
        <f>($BQ129/$BP129)*(BG129-$BP129)*$AJ$18*AN129/1000</f>
        <v>#N/A</v>
      </c>
      <c r="BV129" s="250" t="e">
        <f>($BQ129/$BP129)*(BH129-$BP129)*$AJ$18*AP129/1000</f>
        <v>#N/A</v>
      </c>
      <c r="BW129" s="250" t="e">
        <f>($BQ129/$BP129)*(BI129-$BP129)*$AJ$18*AR129/1000</f>
        <v>#N/A</v>
      </c>
      <c r="BX129" s="250" t="e">
        <f>($BQ129/$BP129)*(BJ129-$BP129)*$AJ$18*AT129/1000</f>
        <v>#N/A</v>
      </c>
      <c r="BY129" s="261" t="e">
        <f>IF(Q129=0,0,(0.5*$O$12*BP129*BQ129/1000*(R129/2-$BP129/3)+BS129*(BE129-R129/2)+BT129*(BF129-R129/2)+BU129*(BG129-R129/2)+BV129*(BH129-R129/2)+BW129*(BI129-R129/2)+BX129*(BJ129-R129/2))/1000-ABS(P129))</f>
        <v>#N/A</v>
      </c>
      <c r="BZ129" s="248"/>
      <c r="CA129" s="264" t="e">
        <f>ABS(P129)/(BK129-BP129/3)/AV129*10^6-Q129*(R129/2-BP129/3)/(BK129-BP129/3)/AV129*1000</f>
        <v>#N/A</v>
      </c>
      <c r="CB129" s="265">
        <f>(AV129/($O$12*MIN(2.5*(R129-BK129),(R129-BP129)/3,R129/2)-AV129))</f>
        <v>-5.3887108084353357E-3</v>
      </c>
      <c r="CC129" s="265">
        <f>3.4*($O$16+$AX$14)+0.425*0.8*0.5*(T129^2+W129^2+Z129^2+AC129^2+AF129^2+AI129^2)/(T129+W129+Z129+AC129+AF129+AI129)/CB129</f>
        <v>-127.91664543967147</v>
      </c>
      <c r="CD129" s="265" t="e">
        <f>MAX(0.6*CA129/$AJ$17,(CA129-0.4*0.3*$AJ$14^(2/3)/CB129*(1+$AJ$17/$AJ$15*CB129))/$AJ$17)</f>
        <v>#N/A</v>
      </c>
      <c r="CE129" s="266" t="e">
        <f>CC129*CD129/1000</f>
        <v>#N/A</v>
      </c>
      <c r="CF129" s="252" t="e">
        <f>IF(AND(AV129&gt;=BD129,AV129&gt;=BO129,CE129&lt;=(+IF(CO129="External",0.25,0.3))),"O.K", "Not O.K")</f>
        <v>#N/A</v>
      </c>
      <c r="CG129" s="254"/>
      <c r="CH129" s="267" t="e">
        <f>IF(O129&lt;0.2*$AJ$14*R129*$O$12/1000,"N &lt; 0.2fckAc - OK!","TBA")</f>
        <v>#N/A</v>
      </c>
      <c r="CI129" s="24">
        <v>120</v>
      </c>
      <c r="CJ129" s="25"/>
      <c r="CK129" s="6" t="e">
        <f>CU129</f>
        <v>#N/A</v>
      </c>
      <c r="CL129" s="8" t="s">
        <v>72</v>
      </c>
      <c r="CM129" s="6" t="e">
        <f>CV129</f>
        <v>#N/A</v>
      </c>
      <c r="CN129" s="26" t="s">
        <v>146</v>
      </c>
      <c r="CO129" s="15" t="e">
        <f>IF(VLOOKUP(CI129,'Summary-input'!A:C,3,0)="Outward",
IF(CP129&lt;0,"External","Internal"),
IF(CP129&lt;0,"Internal","External")
)</f>
        <v>#N/A</v>
      </c>
      <c r="CP129" t="e">
        <f>VLOOKUP(CI129&amp;CN129,'Summary-output-ULS'!A:G,6,0)</f>
        <v>#N/A</v>
      </c>
      <c r="CQ129" t="e">
        <f>VLOOKUP(CI129&amp;CN129,'Summary-output-ULS'!A:G,7,0)</f>
        <v>#N/A</v>
      </c>
      <c r="CR129" s="3" t="e">
        <f>VLOOKUP(CI129&amp;CN129,'Summary-output-SLS'!A:G,6,0)</f>
        <v>#N/A</v>
      </c>
      <c r="CS129" s="3" t="e">
        <f>VLOOKUP(CI129&amp;CN129,'Summary-output-SLS'!A:G,7,0)</f>
        <v>#N/A</v>
      </c>
      <c r="CT129" s="20">
        <v>600</v>
      </c>
      <c r="CU129" s="2" t="e">
        <f>VLOOKUP(CI129&amp;CN129,'Summary-output-ULS'!A:G,5,0)</f>
        <v>#N/A</v>
      </c>
      <c r="CV129" s="15" t="e">
        <f>VLOOKUP(CI129&amp;CN129,'Summary-output-SLS'!A:G,5,0)</f>
        <v>#N/A</v>
      </c>
      <c r="CW129" s="6"/>
      <c r="CX129" s="278"/>
      <c r="CY129" s="6"/>
      <c r="CZ129" s="6"/>
      <c r="DA129" s="6"/>
      <c r="DB129" s="6"/>
      <c r="DC129" s="6"/>
      <c r="DD129" s="6"/>
      <c r="DE129" s="6"/>
      <c r="DF129" s="6"/>
      <c r="DG129" s="6"/>
      <c r="DH129" s="6"/>
      <c r="DI129" s="6"/>
      <c r="DJ129" s="212"/>
      <c r="DK129" s="13"/>
      <c r="DL129" s="13"/>
      <c r="DM129" s="202"/>
      <c r="DN129" s="206" t="e">
        <f>IF(CO129="external",T129,0)</f>
        <v>#N/A</v>
      </c>
      <c r="DO129" s="206" t="e">
        <f>IF(CO129="external",W129,0)</f>
        <v>#N/A</v>
      </c>
      <c r="DP129" s="206" t="e">
        <f>IF(CO129="external",Z129,0)</f>
        <v>#N/A</v>
      </c>
      <c r="DQ129" s="206" t="e">
        <f>IF(CO129="external",AC129,0)</f>
        <v>#N/A</v>
      </c>
      <c r="DR129" s="206" t="e">
        <f>IF(CO129="external",AF129,0)</f>
        <v>#N/A</v>
      </c>
      <c r="DS129" s="207" t="e">
        <f>IF(CO129="external",AI129,0)</f>
        <v>#N/A</v>
      </c>
      <c r="DT129" s="208"/>
      <c r="DU129" s="207" t="e">
        <f>IF(CO129="internal",T129,0)</f>
        <v>#N/A</v>
      </c>
      <c r="DV129" s="207" t="e">
        <f>IF(CO129="internal",W129,0)</f>
        <v>#N/A</v>
      </c>
      <c r="DW129" s="207" t="e">
        <f>IF(CO129="internal",Z129,0)</f>
        <v>#N/A</v>
      </c>
      <c r="DX129" s="207" t="e">
        <f>IF(CO129="internal",AC129,0)</f>
        <v>#N/A</v>
      </c>
      <c r="DY129" s="207" t="e">
        <f>IF(CO129="internal",AF129,0)</f>
        <v>#N/A</v>
      </c>
      <c r="DZ129" s="207" t="e">
        <f>IF(CO129="internal",AI129,0)</f>
        <v>#N/A</v>
      </c>
    </row>
    <row r="130" spans="1:130" x14ac:dyDescent="0.3">
      <c r="CO130" s="15" t="e">
        <f>IF(VLOOKUP(CI130,'Summary-input'!A:C,3,0)="Outward",
IF(CP130&lt;0,"External","Internal"),
IF(CP130&lt;0,"Internal","External")
)</f>
        <v>#N/A</v>
      </c>
      <c r="CP130" t="e">
        <f>VLOOKUP(CI130&amp;CN130,'Summary-output-ULS'!A:G,6,0)</f>
        <v>#N/A</v>
      </c>
      <c r="CQ130" t="e">
        <f>VLOOKUP(CI130&amp;CN130,'Summary-output-ULS'!A:G,7,0)</f>
        <v>#N/A</v>
      </c>
      <c r="CR130" s="3" t="e">
        <f>VLOOKUP(CI130&amp;CN130,'Summary-output-SLS'!A:G,6,0)</f>
        <v>#N/A</v>
      </c>
      <c r="CS130" s="3" t="e">
        <f>VLOOKUP(CI130&amp;CN130,'Summary-output-SLS'!A:G,7,0)</f>
        <v>#N/A</v>
      </c>
      <c r="CU130" s="2" t="e">
        <f>VLOOKUP(CI130&amp;CN130,'Summary-output-ULS'!A:G,5,0)</f>
        <v>#N/A</v>
      </c>
      <c r="CV130" s="15" t="e">
        <f>VLOOKUP(CI130&amp;CN130,'Summary-output-SLS'!A:G,5,0)</f>
        <v>#N/A</v>
      </c>
    </row>
    <row r="131" spans="1:130" s="7" customFormat="1" ht="13.8" x14ac:dyDescent="0.25">
      <c r="A131" s="7" t="s">
        <v>141</v>
      </c>
      <c r="B131" s="19">
        <f>+CI131</f>
        <v>124</v>
      </c>
      <c r="C131" s="6">
        <f t="shared" ref="C131:C134" si="215">CJ131</f>
        <v>0</v>
      </c>
      <c r="D131" s="6" t="e">
        <f t="shared" ref="D131:D134" si="216">CK131</f>
        <v>#N/A</v>
      </c>
      <c r="E131" s="6" t="str">
        <f t="shared" ref="E131:E134" si="217">CL131</f>
        <v>--</v>
      </c>
      <c r="F131" s="6" t="e">
        <f>+CM131</f>
        <v>#N/A</v>
      </c>
      <c r="G131" s="174" t="str">
        <f t="shared" ref="G131:G134" si="218">CN131</f>
        <v>Max Mz</v>
      </c>
      <c r="H131" s="6" t="e">
        <f t="shared" ref="H131:H134" si="219">CO131</f>
        <v>#N/A</v>
      </c>
      <c r="I131" s="156">
        <v>0</v>
      </c>
      <c r="J131" s="10" t="e">
        <f t="shared" ref="J131:J134" si="220">(CP131)</f>
        <v>#N/A</v>
      </c>
      <c r="K131" s="10" t="e">
        <f t="shared" ref="K131:K134" si="221">(CQ131)</f>
        <v>#N/A</v>
      </c>
      <c r="L131" s="10" t="e">
        <f t="shared" ref="L131:L134" si="222">(CR131)</f>
        <v>#N/A</v>
      </c>
      <c r="M131" s="10" t="e">
        <f t="shared" ref="M131:M134" si="223">(CS131)</f>
        <v>#N/A</v>
      </c>
      <c r="N131" s="10" t="e">
        <f>IF(I131*J131&gt;=0,J131*$J$19+I131*$J$18,J131)</f>
        <v>#N/A</v>
      </c>
      <c r="O131" s="10" t="e">
        <f>(K131)*$J$19</f>
        <v>#N/A</v>
      </c>
      <c r="P131" s="14" t="e">
        <f>IF(I131*L131&gt;=0,(L131)+I131,L131)</f>
        <v>#N/A</v>
      </c>
      <c r="Q131" s="3" t="e">
        <f>(M131)</f>
        <v>#N/A</v>
      </c>
      <c r="R131" s="20">
        <f t="shared" ref="R131:R134" si="224">CT131</f>
        <v>600</v>
      </c>
      <c r="S131" s="23"/>
      <c r="T131" s="12">
        <v>16</v>
      </c>
      <c r="U131" s="28"/>
      <c r="V131" s="28"/>
      <c r="W131" s="12"/>
      <c r="X131" s="28"/>
      <c r="Y131" s="28"/>
      <c r="Z131" s="12"/>
      <c r="AA131" s="28"/>
      <c r="AB131" s="28"/>
      <c r="AC131" s="158"/>
      <c r="AD131" s="28"/>
      <c r="AE131" s="28"/>
      <c r="AF131" s="158"/>
      <c r="AG131" s="28"/>
      <c r="AH131" s="28"/>
      <c r="AI131" s="29"/>
      <c r="AJ131" s="6">
        <f>PI()/4*T131^2*$O$12/$AX$16</f>
        <v>1340.4128655316449</v>
      </c>
      <c r="AK131" s="28" t="str">
        <f>IF(W131=0,"","+")</f>
        <v/>
      </c>
      <c r="AL131" s="6">
        <f>PI()/4*W131^2*$O$12/$AX$16</f>
        <v>0</v>
      </c>
      <c r="AM131" s="28" t="str">
        <f>IF(Z131=0,"","+")</f>
        <v/>
      </c>
      <c r="AN131" s="6">
        <f>PI()/4*Z131^2*$O$12/$AX$16</f>
        <v>0</v>
      </c>
      <c r="AO131" s="28" t="str">
        <f>IF(AC131=0,"","+")</f>
        <v/>
      </c>
      <c r="AP131" s="6">
        <f>PI()/4*AC131^2*$O$12/$AX$16</f>
        <v>0</v>
      </c>
      <c r="AQ131" s="28" t="str">
        <f>IF(AF131=0,"","+")</f>
        <v/>
      </c>
      <c r="AR131" s="6">
        <f>PI()/4*AF131^2*$O$12/$AX$16</f>
        <v>0</v>
      </c>
      <c r="AS131" s="28" t="str">
        <f>IF(AI131=0,"","+")</f>
        <v/>
      </c>
      <c r="AT131" s="6">
        <f>PI()/4*AI131^2*$O$12/$AX$16</f>
        <v>0</v>
      </c>
      <c r="AU131" s="28" t="s">
        <v>24</v>
      </c>
      <c r="AV131" s="15">
        <f>VALUE(AJ131)+VALUE(AL131)+VALUE(AN131)+VALUE(AP131)+VALUE(AR131)+VALUE(AT131)</f>
        <v>1340.4128655316449</v>
      </c>
      <c r="AW131" s="228">
        <f>MAX(0.3*$AJ$14^(2/3)/$AJ$16*0.26*100,0.13)</f>
        <v>0.15723814702688016</v>
      </c>
      <c r="AX131" s="6">
        <f>AW131/100*$O$12*BK131</f>
        <v>800.34216836682015</v>
      </c>
      <c r="AY131" s="6"/>
      <c r="AZ131" s="6"/>
      <c r="BA131" s="24" t="str">
        <f>IF(BB131=0,"","+")</f>
        <v/>
      </c>
      <c r="BB131" s="24"/>
      <c r="BC131" s="28" t="s">
        <v>24</v>
      </c>
      <c r="BD131" s="15">
        <f>AX131+AZ131+BB131</f>
        <v>800.34216836682015</v>
      </c>
      <c r="BE131" s="2">
        <f>(R131-($AX$14+$O$16+T131/2))</f>
        <v>509</v>
      </c>
      <c r="BF131" s="3">
        <f>IF(W131=0,0,(R131-($AX$14+T131/2+$O$16+$BI$16)))</f>
        <v>0</v>
      </c>
      <c r="BG131" s="3">
        <f>IF(Z131=0,0,(R131-($AX$14+T131/2+$BI$16+$O$16+$BI$17)))</f>
        <v>0</v>
      </c>
      <c r="BH131" s="3">
        <f>IF(AC131=0,0,(R131-($AX$14+T131/2+$O$16+$BI$16+$BI$17+$BI$18)))</f>
        <v>0</v>
      </c>
      <c r="BI131" s="3">
        <f>IF(AF131=0,0,(R131-($AX$14+T131/2+$O$16+$BI$16+$BI$17+$BI$18+$BL$16)))</f>
        <v>0</v>
      </c>
      <c r="BJ131" s="3">
        <f>IF(AI131=0,0,(R131-($AX$14+T131/2+$O$16+$BI$16+$BI$17+$BI$18+$BL$16+$BL$17)))</f>
        <v>0</v>
      </c>
      <c r="BK131" s="6">
        <f>(BE131*AJ131+BF131*AL131+BG131*AN131+BH131*AP131+BI131*AR131+BJ131*AT131)/AV131</f>
        <v>509.00000000000006</v>
      </c>
      <c r="BL131" s="175" t="e">
        <f>ABS(N131)*1000000/$O$12/BK131^2</f>
        <v>#N/A</v>
      </c>
      <c r="BM131" s="175" t="e">
        <f>BL131/$AJ$14</f>
        <v>#N/A</v>
      </c>
      <c r="BN131" s="21" t="e">
        <f>IF(BM131&lt;0.167,0.5+SQRT(0.25-(BM131/1.134)),0.82)</f>
        <v>#N/A</v>
      </c>
      <c r="BO131" s="15" t="e">
        <f>ABS(N131)/(0.87*$AJ$16*BN131*BK131)*10^6</f>
        <v>#N/A</v>
      </c>
      <c r="BP131" s="22">
        <v>1187.8210883728493</v>
      </c>
      <c r="BQ131" s="175" t="e">
        <f>IF(Q131=0,2*ABS(P131*10^6)/$O$12/BP131/(BK131-BP131/3),Q131*BP131*1000/($O$12/2*BP131^2-(BE131-BP131)*AJ131*$AJ$18-(BF131-BP131)*AL131*$AJ$18-(BG131-BP131)*AN131*$AJ$18-(BH131-BP131)*AP131*$AJ$18-(BI131-BP131)*AR131*$AJ$18-(BJ131-BP131)*AT131*$AJ$18))</f>
        <v>#N/A</v>
      </c>
      <c r="BR131" s="3" t="e">
        <f>0.5*$O$12*BP131*BQ131 /1000</f>
        <v>#N/A</v>
      </c>
      <c r="BS131" s="3" t="e">
        <f>($BQ131/$BP131)*(BE131-$BP131)*$AJ$18*AJ131/1000</f>
        <v>#N/A</v>
      </c>
      <c r="BT131" s="3" t="e">
        <f>($BQ131/$BP131)*(BF131-$BP131)*$AJ$18*AL131/1000</f>
        <v>#N/A</v>
      </c>
      <c r="BU131" s="3" t="e">
        <f>($BQ131/$BP131)*(BG131-$BP131)*$AJ$18*AN131/1000</f>
        <v>#N/A</v>
      </c>
      <c r="BV131" s="3" t="e">
        <f>($BQ131/$BP131)*(BH131-$BP131)*$AJ$18*AP131/1000</f>
        <v>#N/A</v>
      </c>
      <c r="BW131" s="3" t="e">
        <f>($BQ131/$BP131)*(BI131-$BP131)*$AJ$18*AR131/1000</f>
        <v>#N/A</v>
      </c>
      <c r="BX131" s="3" t="e">
        <f>($BQ131/$BP131)*(BJ131-$BP131)*$AJ$18*AT131/1000</f>
        <v>#N/A</v>
      </c>
      <c r="BY131" s="175" t="e">
        <f>IF(Q131=0,0,(0.5*$O$12*BP131*BQ131/1000*(R131/2-$BP131/3)+BS131*(BE131-R131/2)+BT131*(BF131-R131/2)+BU131*(BG131-R131/2)+BV131*(BH131-R131/2)+BW131*(BI131-R131/2)+BX131*(BJ131-R131/2))/1000-ABS(P131))</f>
        <v>#N/A</v>
      </c>
      <c r="BZ131" s="10"/>
      <c r="CA131" s="176" t="e">
        <f>ABS(P131)/(BK131-BP131/3)/AV131*10^6-Q131*(R131/2-BP131/3)/(BK131-BP131/3)/AV131*1000</f>
        <v>#N/A</v>
      </c>
      <c r="CB131" s="177">
        <f>(AV131/($O$12*MIN(2.5*(R131-BK131),(R131-BP131)/3,R131/2)-AV131))</f>
        <v>-6.7944423934426451E-3</v>
      </c>
      <c r="CC131" s="177">
        <f>3.4*($O$16+$AX$14)+0.425*0.8*0.5*(T131^2+W131^2+Z131^2+AC131^2+AF131^2+AI131^2)/(T131+W131+Z131+AC131+AF131+AI131)/CB131</f>
        <v>-118.12718543983647</v>
      </c>
      <c r="CD131" s="177" t="e">
        <f>MAX(0.6*CA131/$AJ$17,(CA131-0.4*0.3*$AJ$14^(2/3)/CB131*(1+$AJ$17/$AJ$15*CB131))/$AJ$17)</f>
        <v>#N/A</v>
      </c>
      <c r="CE131" s="178" t="e">
        <f>CC131*CD131/1000</f>
        <v>#N/A</v>
      </c>
      <c r="CF131" s="23" t="e">
        <f>IF(AND(AV131&gt;=BD131,AV131&gt;=BO131,CE131&lt;=(+IF(CO131="External",0.25,0.3))),"O.K", "Not O.K")</f>
        <v>#N/A</v>
      </c>
      <c r="CG131" s="28"/>
      <c r="CH131" s="179" t="e">
        <f>IF(O131&lt;0.2*$AJ$14*R131*$O$12/1000,"N &lt; 0.2fckAc - OK!","TBA")</f>
        <v>#N/A</v>
      </c>
      <c r="CI131" s="24">
        <v>124</v>
      </c>
      <c r="CJ131" s="25"/>
      <c r="CK131" s="6" t="e">
        <f>CU131</f>
        <v>#N/A</v>
      </c>
      <c r="CL131" s="8" t="s">
        <v>72</v>
      </c>
      <c r="CM131" s="6" t="e">
        <f>CV131</f>
        <v>#N/A</v>
      </c>
      <c r="CN131" s="26" t="s">
        <v>147</v>
      </c>
      <c r="CO131" s="15" t="e">
        <f>IF(VLOOKUP(CI131,'Summary-input'!A:C,3,0)="Outward",
IF(CP131&lt;0,"External","Internal"),
IF(CP131&lt;0,"Internal","External")
)</f>
        <v>#N/A</v>
      </c>
      <c r="CP131" t="e">
        <f>VLOOKUP(CI131&amp;CN131,'Summary-output-ULS'!A:G,6,0)</f>
        <v>#N/A</v>
      </c>
      <c r="CQ131" t="e">
        <f>VLOOKUP(CI131&amp;CN131,'Summary-output-ULS'!A:G,7,0)</f>
        <v>#N/A</v>
      </c>
      <c r="CR131" s="3" t="e">
        <f>VLOOKUP(CI131&amp;CN131,'Summary-output-SLS'!A:G,6,0)</f>
        <v>#N/A</v>
      </c>
      <c r="CS131" s="3" t="e">
        <f>VLOOKUP(CI131&amp;CN131,'Summary-output-SLS'!A:G,7,0)</f>
        <v>#N/A</v>
      </c>
      <c r="CT131" s="20">
        <v>600</v>
      </c>
      <c r="CU131" s="2" t="e">
        <f>VLOOKUP(CI131&amp;CN131,'Summary-output-ULS'!A:G,5,0)</f>
        <v>#N/A</v>
      </c>
      <c r="CV131" s="15" t="e">
        <f>VLOOKUP(CI131&amp;CN131,'Summary-output-SLS'!A:G,5,0)</f>
        <v>#N/A</v>
      </c>
      <c r="CW131" s="6"/>
      <c r="CX131" s="278">
        <f>CI131</f>
        <v>124</v>
      </c>
      <c r="CY131" s="6" t="e">
        <f t="shared" ref="CY131" si="225">MAX(DN131:DN134)</f>
        <v>#N/A</v>
      </c>
      <c r="CZ131" s="6" t="e">
        <f t="shared" ref="CZ131" si="226">MAX(DO131:DO134)</f>
        <v>#N/A</v>
      </c>
      <c r="DA131" s="6" t="e">
        <f t="shared" ref="DA131" si="227">MAX(DP131:DP134)</f>
        <v>#N/A</v>
      </c>
      <c r="DB131" s="6" t="e">
        <f t="shared" ref="DB131" si="228">MAX(DQ131:DQ134)</f>
        <v>#N/A</v>
      </c>
      <c r="DC131" s="6" t="e">
        <f t="shared" ref="DC131" si="229">MAX(DR131:DR134)</f>
        <v>#N/A</v>
      </c>
      <c r="DD131" s="6" t="e">
        <f t="shared" ref="DD131" si="230">MAX(DS131:DS134)</f>
        <v>#N/A</v>
      </c>
      <c r="DE131" s="6"/>
      <c r="DF131" s="6" t="e">
        <f t="shared" ref="DF131" si="231">MAX(DU131:DU134)</f>
        <v>#N/A</v>
      </c>
      <c r="DG131" s="6" t="e">
        <f t="shared" ref="DG131" si="232">MAX(DV131:DV134)</f>
        <v>#N/A</v>
      </c>
      <c r="DH131" s="6" t="e">
        <f t="shared" ref="DH131" si="233">MAX(DW131:DW134)</f>
        <v>#N/A</v>
      </c>
      <c r="DI131" s="6" t="e">
        <f t="shared" ref="DI131" si="234">MAX(DX131:DX134)</f>
        <v>#N/A</v>
      </c>
      <c r="DJ131" s="6" t="e">
        <f t="shared" ref="DJ131" si="235">MAX(DY131:DY134)</f>
        <v>#N/A</v>
      </c>
      <c r="DK131" s="6" t="e">
        <f t="shared" ref="DK131" si="236">MAX(DZ131:DZ134)</f>
        <v>#N/A</v>
      </c>
      <c r="DL131" s="13"/>
      <c r="DM131" s="202">
        <f>CI131</f>
        <v>124</v>
      </c>
      <c r="DN131" s="206" t="e">
        <f>IF(CO131="external",T131,0)</f>
        <v>#N/A</v>
      </c>
      <c r="DO131" s="206" t="e">
        <f>IF(CO131="external",W131,0)</f>
        <v>#N/A</v>
      </c>
      <c r="DP131" s="206" t="e">
        <f>IF(CO131="external",Z131,0)</f>
        <v>#N/A</v>
      </c>
      <c r="DQ131" s="206" t="e">
        <f>IF(CO131="external",AC131,0)</f>
        <v>#N/A</v>
      </c>
      <c r="DR131" s="206" t="e">
        <f>IF(CO131="external",AF131,0)</f>
        <v>#N/A</v>
      </c>
      <c r="DS131" s="207" t="e">
        <f>IF(CO131="external",AI131,0)</f>
        <v>#N/A</v>
      </c>
      <c r="DT131" s="208"/>
      <c r="DU131" s="207" t="e">
        <f>IF(CO131="internal",T131,0)</f>
        <v>#N/A</v>
      </c>
      <c r="DV131" s="207" t="e">
        <f>IF(CO131="internal",W131,0)</f>
        <v>#N/A</v>
      </c>
      <c r="DW131" s="207" t="e">
        <f>IF(CO131="internal",Z131,0)</f>
        <v>#N/A</v>
      </c>
      <c r="DX131" s="207" t="e">
        <f>IF(CO131="internal",AC131,0)</f>
        <v>#N/A</v>
      </c>
      <c r="DY131" s="207" t="e">
        <f>IF(CO131="internal",AF131,0)</f>
        <v>#N/A</v>
      </c>
      <c r="DZ131" s="207" t="e">
        <f>IF(CO131="internal",AI131,0)</f>
        <v>#N/A</v>
      </c>
    </row>
    <row r="132" spans="1:130" s="7" customFormat="1" x14ac:dyDescent="0.3">
      <c r="B132" s="19">
        <f>+CI132</f>
        <v>124</v>
      </c>
      <c r="C132" s="6">
        <f t="shared" si="215"/>
        <v>0</v>
      </c>
      <c r="D132" s="6" t="e">
        <f t="shared" si="216"/>
        <v>#N/A</v>
      </c>
      <c r="E132" s="6" t="str">
        <f t="shared" si="217"/>
        <v>--</v>
      </c>
      <c r="F132" s="6" t="e">
        <f>+CM132</f>
        <v>#N/A</v>
      </c>
      <c r="G132" s="174" t="str">
        <f t="shared" si="218"/>
        <v>Min Mz</v>
      </c>
      <c r="H132" s="6" t="e">
        <f t="shared" si="219"/>
        <v>#N/A</v>
      </c>
      <c r="I132" s="156">
        <v>0</v>
      </c>
      <c r="J132" s="10" t="e">
        <f t="shared" si="220"/>
        <v>#N/A</v>
      </c>
      <c r="K132" s="10" t="e">
        <f t="shared" si="221"/>
        <v>#N/A</v>
      </c>
      <c r="L132" s="10" t="e">
        <f t="shared" si="222"/>
        <v>#N/A</v>
      </c>
      <c r="M132" s="10" t="e">
        <f t="shared" si="223"/>
        <v>#N/A</v>
      </c>
      <c r="N132" s="10" t="e">
        <f>IF(I132*J132&gt;=0,J132*$J$19+I132*$J$18,J132)</f>
        <v>#N/A</v>
      </c>
      <c r="O132" s="10" t="e">
        <f>(K132)*$J$19</f>
        <v>#N/A</v>
      </c>
      <c r="P132" s="14" t="e">
        <f>IF(I132*L132&gt;=0,(L132)+I132,L132)</f>
        <v>#N/A</v>
      </c>
      <c r="Q132" s="3" t="e">
        <f>(M132)</f>
        <v>#N/A</v>
      </c>
      <c r="R132" s="20">
        <f t="shared" si="224"/>
        <v>600</v>
      </c>
      <c r="S132" s="23"/>
      <c r="T132" s="12">
        <v>13</v>
      </c>
      <c r="U132" s="28"/>
      <c r="V132" s="28"/>
      <c r="W132" s="12"/>
      <c r="X132" s="28"/>
      <c r="Y132" s="28"/>
      <c r="Z132" s="12"/>
      <c r="AA132" s="28"/>
      <c r="AB132" s="28"/>
      <c r="AC132" s="158"/>
      <c r="AD132" s="28"/>
      <c r="AE132" s="28"/>
      <c r="AF132" s="158"/>
      <c r="AG132" s="28"/>
      <c r="AH132" s="28"/>
      <c r="AI132" s="29"/>
      <c r="AJ132" s="6">
        <f>PI()/4*T132^2*$O$12/$AX$16</f>
        <v>884.88193076112498</v>
      </c>
      <c r="AK132" s="28" t="str">
        <f>IF(W132=0,"","+")</f>
        <v/>
      </c>
      <c r="AL132" s="6">
        <f>PI()/4*W132^2*$O$12/$AX$16</f>
        <v>0</v>
      </c>
      <c r="AM132" s="28" t="str">
        <f>IF(Z132=0,"","+")</f>
        <v/>
      </c>
      <c r="AN132" s="6">
        <f>PI()/4*Z132^2*$O$12/$AX$16</f>
        <v>0</v>
      </c>
      <c r="AO132" s="28" t="str">
        <f>IF(AC132=0,"","+")</f>
        <v/>
      </c>
      <c r="AP132" s="6">
        <f>PI()/4*AC132^2*$O$12/$AX$16</f>
        <v>0</v>
      </c>
      <c r="AQ132" s="28" t="str">
        <f>IF(AF132=0,"","+")</f>
        <v/>
      </c>
      <c r="AR132" s="6">
        <f>PI()/4*AF132^2*$O$12/$AX$16</f>
        <v>0</v>
      </c>
      <c r="AS132" s="28" t="str">
        <f>IF(AI132=0,"","+")</f>
        <v/>
      </c>
      <c r="AT132" s="6">
        <f>PI()/4*AI132^2*$O$12/$AX$16</f>
        <v>0</v>
      </c>
      <c r="AU132" s="28" t="s">
        <v>24</v>
      </c>
      <c r="AV132" s="15">
        <f>VALUE(AJ132)+VALUE(AL132)+VALUE(AN132)+VALUE(AP132)+VALUE(AR132)+VALUE(AT132)</f>
        <v>884.88193076112498</v>
      </c>
      <c r="AW132" s="228">
        <f>MAX(0.3*$AJ$14^(2/3)/$AJ$16*0.26*100,0.13)</f>
        <v>0.15723814702688016</v>
      </c>
      <c r="AX132" s="6">
        <f>AW132/100*$O$12*BK132</f>
        <v>802.70074057222325</v>
      </c>
      <c r="AY132" s="6"/>
      <c r="AZ132" s="6"/>
      <c r="BA132" s="24" t="str">
        <f>IF(BB132=0,"","+")</f>
        <v/>
      </c>
      <c r="BB132" s="24"/>
      <c r="BC132" s="28" t="s">
        <v>24</v>
      </c>
      <c r="BD132" s="15">
        <f>AX132+AZ132+BB132</f>
        <v>802.70074057222325</v>
      </c>
      <c r="BE132" s="2">
        <f>(R132-($AX$14+$O$16+T132/2))</f>
        <v>510.5</v>
      </c>
      <c r="BF132" s="3">
        <f>IF(W132=0,0,(R132-($AX$14+T132/2+$O$16+$BI$16)))</f>
        <v>0</v>
      </c>
      <c r="BG132" s="3">
        <f>IF(Z132=0,0,(R132-($AX$14+T132/2+$BI$16+$O$16+$BI$17)))</f>
        <v>0</v>
      </c>
      <c r="BH132" s="3">
        <f>IF(AC132=0,0,(R132-($AX$14+T132/2+$O$16+$BI$16+$BI$17+$BI$18)))</f>
        <v>0</v>
      </c>
      <c r="BI132" s="3">
        <f>IF(AF132=0,0,(R132-($AX$14+T132/2+$O$16+$BI$16+$BI$17+$BI$18+$BL$16)))</f>
        <v>0</v>
      </c>
      <c r="BJ132" s="3">
        <f>IF(AI132=0,0,(R132-($AX$14+T132/2+$O$16+$BI$16+$BI$17+$BI$18+$BL$16+$BL$17)))</f>
        <v>0</v>
      </c>
      <c r="BK132" s="6">
        <f>(BE132*AJ132+BF132*AL132+BG132*AN132+BH132*AP132+BI132*AR132+BJ132*AT132)/AV132</f>
        <v>510.5</v>
      </c>
      <c r="BL132" s="175" t="e">
        <f>ABS(N132)*1000000/$O$12/BK132^2</f>
        <v>#N/A</v>
      </c>
      <c r="BM132" s="175" t="e">
        <f>BL132/$AJ$14</f>
        <v>#N/A</v>
      </c>
      <c r="BN132" s="21" t="e">
        <f>IF(BM132&lt;0.167,0.5+SQRT(0.25-(BM132/1.134)),0.82)</f>
        <v>#N/A</v>
      </c>
      <c r="BO132" s="15" t="e">
        <f>ABS(N132)/(0.87*$AJ$16*BN132*BK132)*10^6</f>
        <v>#N/A</v>
      </c>
      <c r="BP132" s="22">
        <v>998.46035601986341</v>
      </c>
      <c r="BQ132" s="175" t="e">
        <f>IF(Q132=0,2*ABS(P132*10^6)/$O$12/BP132/(BK132-BP132/3),Q132*BP132*1000/($O$12/2*BP132^2-(BE132-BP132)*AJ132*$AJ$18-(BF132-BP132)*AL132*$AJ$18-(BG132-BP132)*AN132*$AJ$18-(BH132-BP132)*AP132*$AJ$18-(BI132-BP132)*AR132*$AJ$18-(BJ132-BP132)*AT132*$AJ$18))</f>
        <v>#N/A</v>
      </c>
      <c r="BR132" s="3" t="e">
        <f>0.5*$O$12*BP132*BQ132 /1000</f>
        <v>#N/A</v>
      </c>
      <c r="BS132" s="3" t="e">
        <f>($BQ132/$BP132)*(BE132-$BP132)*$AJ$18*AJ132/1000</f>
        <v>#N/A</v>
      </c>
      <c r="BT132" s="3" t="e">
        <f>($BQ132/$BP132)*(BF132-$BP132)*$AJ$18*AL132/1000</f>
        <v>#N/A</v>
      </c>
      <c r="BU132" s="3" t="e">
        <f>($BQ132/$BP132)*(BG132-$BP132)*$AJ$18*AN132/1000</f>
        <v>#N/A</v>
      </c>
      <c r="BV132" s="3" t="e">
        <f>($BQ132/$BP132)*(BH132-$BP132)*$AJ$18*AP132/1000</f>
        <v>#N/A</v>
      </c>
      <c r="BW132" s="3" t="e">
        <f>($BQ132/$BP132)*(BI132-$BP132)*$AJ$18*AR132/1000</f>
        <v>#N/A</v>
      </c>
      <c r="BX132" s="3" t="e">
        <f>($BQ132/$BP132)*(BJ132-$BP132)*$AJ$18*AT132/1000</f>
        <v>#N/A</v>
      </c>
      <c r="BY132" s="175" t="e">
        <f>IF(Q132=0,0,(0.5*$O$12*BP132*BQ132/1000*(R132/2-$BP132/3)+BS132*(BE132-R132/2)+BT132*(BF132-R132/2)+BU132*(BG132-R132/2)+BV132*(BH132-R132/2)+BW132*(BI132-R132/2)+BX132*(BJ132-R132/2))/1000-ABS(P132))</f>
        <v>#N/A</v>
      </c>
      <c r="BZ132" s="10"/>
      <c r="CA132" s="176" t="e">
        <f>ABS(P132)/(BK132-BP132/3)/AV132*10^6-Q132*(R132/2-BP132/3)/(BK132-BP132/3)/AV132*1000</f>
        <v>#N/A</v>
      </c>
      <c r="CB132" s="177">
        <f>(AV132/($O$12*MIN(2.5*(R132-BK132),(R132-BP132)/3,R132/2)-AV132))</f>
        <v>-6.6181663121306512E-3</v>
      </c>
      <c r="CC132" s="177">
        <f>3.4*($O$16+$AX$14)+0.425*0.8*0.5*(T132^2+W132^2+Z132^2+AC132^2+AF132^2+AI132^2)/(T132+W132+Z132+AC132+AF132+AI132)/CB132</f>
        <v>-51.729353807446557</v>
      </c>
      <c r="CD132" s="177" t="e">
        <f>MAX(0.6*CA132/$AJ$17,(CA132-0.4*0.3*$AJ$14^(2/3)/CB132*(1+$AJ$17/$AJ$15*CB132))/$AJ$17)</f>
        <v>#N/A</v>
      </c>
      <c r="CE132" s="178" t="e">
        <f>CC132*CD132/1000</f>
        <v>#N/A</v>
      </c>
      <c r="CF132" s="23" t="e">
        <f>IF(AND(AV132&gt;=BD132,AV132&gt;=BO132,CE132&lt;=(+IF(CO132="External",0.25,0.3))),"O.K", "Not O.K")</f>
        <v>#N/A</v>
      </c>
      <c r="CG132" s="28"/>
      <c r="CH132" s="179" t="e">
        <f>IF(O132&lt;0.2*$AJ$14*R132*$O$12/1000,"N &lt; 0.2fckAc - OK!","TBA")</f>
        <v>#N/A</v>
      </c>
      <c r="CI132" s="24">
        <v>124</v>
      </c>
      <c r="CJ132" s="25"/>
      <c r="CK132" s="6" t="e">
        <f>CU132</f>
        <v>#N/A</v>
      </c>
      <c r="CL132" s="8" t="s">
        <v>72</v>
      </c>
      <c r="CM132" s="6" t="e">
        <f>CV132</f>
        <v>#N/A</v>
      </c>
      <c r="CN132" s="26" t="s">
        <v>148</v>
      </c>
      <c r="CO132" s="15" t="e">
        <f>IF(VLOOKUP(CI132,'Summary-input'!A:C,3,0)="Outward",
IF(CP132&lt;0,"External","Internal"),
IF(CP132&lt;0,"Internal","External")
)</f>
        <v>#N/A</v>
      </c>
      <c r="CP132" t="e">
        <f>VLOOKUP(CI132&amp;CN132,'Summary-output-ULS'!A:G,6,0)</f>
        <v>#N/A</v>
      </c>
      <c r="CQ132" t="e">
        <f>VLOOKUP(CI132&amp;CN132,'Summary-output-ULS'!A:G,7,0)</f>
        <v>#N/A</v>
      </c>
      <c r="CR132" s="3" t="e">
        <f>VLOOKUP(CI132&amp;CN132,'Summary-output-SLS'!A:G,6,0)</f>
        <v>#N/A</v>
      </c>
      <c r="CS132" s="3" t="e">
        <f>VLOOKUP(CI132&amp;CN132,'Summary-output-SLS'!A:G,7,0)</f>
        <v>#N/A</v>
      </c>
      <c r="CT132" s="20">
        <v>600</v>
      </c>
      <c r="CU132" s="2" t="e">
        <f>VLOOKUP(CI132&amp;CN132,'Summary-output-ULS'!A:G,5,0)</f>
        <v>#N/A</v>
      </c>
      <c r="CV132" s="15" t="e">
        <f>VLOOKUP(CI132&amp;CN132,'Summary-output-SLS'!A:G,5,0)</f>
        <v>#N/A</v>
      </c>
      <c r="CW132" s="6"/>
      <c r="CX132" s="278"/>
      <c r="CY132" s="6"/>
      <c r="CZ132" s="6"/>
      <c r="DA132" s="6"/>
      <c r="DB132" s="6"/>
      <c r="DC132" s="6"/>
      <c r="DD132" s="6"/>
      <c r="DE132" s="6"/>
      <c r="DF132" s="6"/>
      <c r="DG132" s="6"/>
      <c r="DH132" s="6"/>
      <c r="DI132" s="6"/>
      <c r="DJ132" s="212"/>
      <c r="DK132" s="13"/>
      <c r="DL132" s="13"/>
      <c r="DM132" s="202"/>
      <c r="DN132" s="206" t="e">
        <f>IF(CO132="external",T132,0)</f>
        <v>#N/A</v>
      </c>
      <c r="DO132" s="206" t="e">
        <f>IF(CO132="external",W132,0)</f>
        <v>#N/A</v>
      </c>
      <c r="DP132" s="206" t="e">
        <f>IF(CO132="external",Z132,0)</f>
        <v>#N/A</v>
      </c>
      <c r="DQ132" s="206" t="e">
        <f>IF(CO132="external",AC132,0)</f>
        <v>#N/A</v>
      </c>
      <c r="DR132" s="206" t="e">
        <f>IF(CO132="external",AF132,0)</f>
        <v>#N/A</v>
      </c>
      <c r="DS132" s="207" t="e">
        <f>IF(CO132="external",AI132,0)</f>
        <v>#N/A</v>
      </c>
      <c r="DT132" s="208"/>
      <c r="DU132" s="207" t="e">
        <f>IF(CO132="internal",T132,0)</f>
        <v>#N/A</v>
      </c>
      <c r="DV132" s="207" t="e">
        <f>IF(CO132="internal",W132,0)</f>
        <v>#N/A</v>
      </c>
      <c r="DW132" s="207" t="e">
        <f>IF(CO132="internal",Z132,0)</f>
        <v>#N/A</v>
      </c>
      <c r="DX132" s="207" t="e">
        <f>IF(CO132="internal",AC132,0)</f>
        <v>#N/A</v>
      </c>
      <c r="DY132" s="207" t="e">
        <f>IF(CO132="internal",AF132,0)</f>
        <v>#N/A</v>
      </c>
      <c r="DZ132" s="207" t="e">
        <f>IF(CO132="internal",AI132,0)</f>
        <v>#N/A</v>
      </c>
    </row>
    <row r="133" spans="1:130" s="7" customFormat="1" x14ac:dyDescent="0.3">
      <c r="B133" s="19">
        <f>+CI133</f>
        <v>124</v>
      </c>
      <c r="C133" s="6">
        <f t="shared" si="215"/>
        <v>0</v>
      </c>
      <c r="D133" s="6" t="e">
        <f t="shared" si="216"/>
        <v>#N/A</v>
      </c>
      <c r="E133" s="6" t="str">
        <f t="shared" si="217"/>
        <v>--</v>
      </c>
      <c r="F133" s="6" t="e">
        <f>+CM133</f>
        <v>#N/A</v>
      </c>
      <c r="G133" s="174" t="str">
        <f t="shared" si="218"/>
        <v>Max Fx</v>
      </c>
      <c r="H133" s="6" t="e">
        <f t="shared" si="219"/>
        <v>#N/A</v>
      </c>
      <c r="I133" s="156">
        <v>0</v>
      </c>
      <c r="J133" s="10" t="e">
        <f t="shared" si="220"/>
        <v>#N/A</v>
      </c>
      <c r="K133" s="10" t="e">
        <f t="shared" si="221"/>
        <v>#N/A</v>
      </c>
      <c r="L133" s="10" t="e">
        <f t="shared" si="222"/>
        <v>#N/A</v>
      </c>
      <c r="M133" s="10" t="e">
        <f t="shared" si="223"/>
        <v>#N/A</v>
      </c>
      <c r="N133" s="10" t="e">
        <f>IF(I133*J133&gt;=0,J133*$J$19+I133*$J$18,J133)</f>
        <v>#N/A</v>
      </c>
      <c r="O133" s="10" t="e">
        <f>(K133)*$J$19</f>
        <v>#N/A</v>
      </c>
      <c r="P133" s="14" t="e">
        <f>IF(I133*L133&gt;=0,(L133)+I133,L133)</f>
        <v>#N/A</v>
      </c>
      <c r="Q133" s="3" t="e">
        <f>(M133)</f>
        <v>#N/A</v>
      </c>
      <c r="R133" s="20">
        <f t="shared" si="224"/>
        <v>600</v>
      </c>
      <c r="S133" s="23"/>
      <c r="T133" s="12">
        <v>13</v>
      </c>
      <c r="U133" s="28"/>
      <c r="V133" s="28"/>
      <c r="W133" s="12"/>
      <c r="X133" s="28"/>
      <c r="Y133" s="28"/>
      <c r="Z133" s="12"/>
      <c r="AA133" s="28"/>
      <c r="AB133" s="28"/>
      <c r="AC133" s="158"/>
      <c r="AD133" s="28"/>
      <c r="AE133" s="28"/>
      <c r="AF133" s="158"/>
      <c r="AG133" s="28"/>
      <c r="AH133" s="28"/>
      <c r="AI133" s="29"/>
      <c r="AJ133" s="6">
        <f>PI()/4*T133^2*$O$12/$AX$16</f>
        <v>884.88193076112498</v>
      </c>
      <c r="AK133" s="28" t="str">
        <f>IF(W133=0,"","+")</f>
        <v/>
      </c>
      <c r="AL133" s="6">
        <f>PI()/4*W133^2*$O$12/$AX$16</f>
        <v>0</v>
      </c>
      <c r="AM133" s="28" t="str">
        <f>IF(Z133=0,"","+")</f>
        <v/>
      </c>
      <c r="AN133" s="6">
        <f>PI()/4*Z133^2*$O$12/$AX$16</f>
        <v>0</v>
      </c>
      <c r="AO133" s="28" t="str">
        <f>IF(AC133=0,"","+")</f>
        <v/>
      </c>
      <c r="AP133" s="6">
        <f>PI()/4*AC133^2*$O$12/$AX$16</f>
        <v>0</v>
      </c>
      <c r="AQ133" s="28" t="str">
        <f>IF(AF133=0,"","+")</f>
        <v/>
      </c>
      <c r="AR133" s="6">
        <f>PI()/4*AF133^2*$O$12/$AX$16</f>
        <v>0</v>
      </c>
      <c r="AS133" s="28" t="str">
        <f>IF(AI133=0,"","+")</f>
        <v/>
      </c>
      <c r="AT133" s="6">
        <f>PI()/4*AI133^2*$O$12/$AX$16</f>
        <v>0</v>
      </c>
      <c r="AU133" s="28" t="s">
        <v>24</v>
      </c>
      <c r="AV133" s="15">
        <f>VALUE(AJ133)+VALUE(AL133)+VALUE(AN133)+VALUE(AP133)+VALUE(AR133)+VALUE(AT133)</f>
        <v>884.88193076112498</v>
      </c>
      <c r="AW133" s="228">
        <f>MAX(0.3*$AJ$14^(2/3)/$AJ$16*0.26*100,0.13)</f>
        <v>0.15723814702688016</v>
      </c>
      <c r="AX133" s="6">
        <f>AW133/100*$O$12*BK133</f>
        <v>802.70074057222325</v>
      </c>
      <c r="AY133" s="6"/>
      <c r="AZ133" s="6"/>
      <c r="BA133" s="24" t="str">
        <f>IF(BB133=0,"","+")</f>
        <v/>
      </c>
      <c r="BB133" s="24"/>
      <c r="BC133" s="28" t="s">
        <v>24</v>
      </c>
      <c r="BD133" s="15">
        <f>AX133+AZ133+BB133</f>
        <v>802.70074057222325</v>
      </c>
      <c r="BE133" s="2">
        <f>(R133-($AX$14+$O$16+T133/2))</f>
        <v>510.5</v>
      </c>
      <c r="BF133" s="3">
        <f>IF(W133=0,0,(R133-($AX$14+T133/2+$O$16+$BI$16)))</f>
        <v>0</v>
      </c>
      <c r="BG133" s="3">
        <f>IF(Z133=0,0,(R133-($AX$14+T133/2+$BI$16+$O$16+$BI$17)))</f>
        <v>0</v>
      </c>
      <c r="BH133" s="3">
        <f>IF(AC133=0,0,(R133-($AX$14+T133/2+$O$16+$BI$16+$BI$17+$BI$18)))</f>
        <v>0</v>
      </c>
      <c r="BI133" s="3">
        <f>IF(AF133=0,0,(R133-($AX$14+T133/2+$O$16+$BI$16+$BI$17+$BI$18+$BL$16)))</f>
        <v>0</v>
      </c>
      <c r="BJ133" s="3">
        <f>IF(AI133=0,0,(R133-($AX$14+T133/2+$O$16+$BI$16+$BI$17+$BI$18+$BL$16+$BL$17)))</f>
        <v>0</v>
      </c>
      <c r="BK133" s="6">
        <f>(BE133*AJ133+BF133*AL133+BG133*AN133+BH133*AP133+BI133*AR133+BJ133*AT133)/AV133</f>
        <v>510.5</v>
      </c>
      <c r="BL133" s="175" t="e">
        <f>ABS(N133)*1000000/$O$12/BK133^2</f>
        <v>#N/A</v>
      </c>
      <c r="BM133" s="175" t="e">
        <f>BL133/$AJ$14</f>
        <v>#N/A</v>
      </c>
      <c r="BN133" s="21" t="e">
        <f>IF(BM133&lt;0.167,0.5+SQRT(0.25-(BM133/1.134)),0.82)</f>
        <v>#N/A</v>
      </c>
      <c r="BO133" s="15" t="e">
        <f>ABS(N133)/(0.87*$AJ$16*BN133*BK133)*10^6</f>
        <v>#N/A</v>
      </c>
      <c r="BP133" s="22">
        <v>1007.5931583766306</v>
      </c>
      <c r="BQ133" s="175" t="e">
        <f>IF(Q133=0,2*ABS(P133*10^6)/$O$12/BP133/(BK133-BP133/3),Q133*BP133*1000/($O$12/2*BP133^2-(BE133-BP133)*AJ133*$AJ$18-(BF133-BP133)*AL133*$AJ$18-(BG133-BP133)*AN133*$AJ$18-(BH133-BP133)*AP133*$AJ$18-(BI133-BP133)*AR133*$AJ$18-(BJ133-BP133)*AT133*$AJ$18))</f>
        <v>#N/A</v>
      </c>
      <c r="BR133" s="3" t="e">
        <f>0.5*$O$12*BP133*BQ133 /1000</f>
        <v>#N/A</v>
      </c>
      <c r="BS133" s="3" t="e">
        <f>($BQ133/$BP133)*(BE133-$BP133)*$AJ$18*AJ133/1000</f>
        <v>#N/A</v>
      </c>
      <c r="BT133" s="3" t="e">
        <f>($BQ133/$BP133)*(BF133-$BP133)*$AJ$18*AL133/1000</f>
        <v>#N/A</v>
      </c>
      <c r="BU133" s="3" t="e">
        <f>($BQ133/$BP133)*(BG133-$BP133)*$AJ$18*AN133/1000</f>
        <v>#N/A</v>
      </c>
      <c r="BV133" s="3" t="e">
        <f>($BQ133/$BP133)*(BH133-$BP133)*$AJ$18*AP133/1000</f>
        <v>#N/A</v>
      </c>
      <c r="BW133" s="3" t="e">
        <f>($BQ133/$BP133)*(BI133-$BP133)*$AJ$18*AR133/1000</f>
        <v>#N/A</v>
      </c>
      <c r="BX133" s="3" t="e">
        <f>($BQ133/$BP133)*(BJ133-$BP133)*$AJ$18*AT133/1000</f>
        <v>#N/A</v>
      </c>
      <c r="BY133" s="175" t="e">
        <f>IF(Q133=0,0,(0.5*$O$12*BP133*BQ133/1000*(R133/2-$BP133/3)+BS133*(BE133-R133/2)+BT133*(BF133-R133/2)+BU133*(BG133-R133/2)+BV133*(BH133-R133/2)+BW133*(BI133-R133/2)+BX133*(BJ133-R133/2))/1000-ABS(P133))</f>
        <v>#N/A</v>
      </c>
      <c r="BZ133" s="10"/>
      <c r="CA133" s="176" t="e">
        <f>ABS(P133)/(BK133-BP133/3)/AV133*10^6-Q133*(R133/2-BP133/3)/(BK133-BP133/3)/AV133*1000</f>
        <v>#N/A</v>
      </c>
      <c r="CB133" s="177">
        <f>(AV133/($O$12*MIN(2.5*(R133-BK133),(R133-BP133)/3,R133/2)-AV133))</f>
        <v>-6.4708348595824789E-3</v>
      </c>
      <c r="CC133" s="177">
        <f>3.4*($O$16+$AX$14)+0.425*0.8*0.5*(T133^2+W133^2+Z133^2+AC133^2+AF133^2+AI133^2)/(T133+W133+Z133+AC133+AF133+AI133)/CB133</f>
        <v>-59.332437151795432</v>
      </c>
      <c r="CD133" s="177" t="e">
        <f>MAX(0.6*CA133/$AJ$17,(CA133-0.4*0.3*$AJ$14^(2/3)/CB133*(1+$AJ$17/$AJ$15*CB133))/$AJ$17)</f>
        <v>#N/A</v>
      </c>
      <c r="CE133" s="178" t="e">
        <f>CC133*CD133/1000</f>
        <v>#N/A</v>
      </c>
      <c r="CF133" s="23" t="e">
        <f>IF(AND(AV133&gt;=BD133,AV133&gt;=BO133,CE133&lt;=(+IF(CO133="External",0.25,0.3))),"O.K", "Not O.K")</f>
        <v>#N/A</v>
      </c>
      <c r="CG133" s="28"/>
      <c r="CH133" s="179" t="e">
        <f>IF(O133&lt;0.2*$AJ$14*R133*$O$12/1000,"N &lt; 0.2fckAc - OK!","TBA")</f>
        <v>#N/A</v>
      </c>
      <c r="CI133" s="24">
        <v>124</v>
      </c>
      <c r="CJ133" s="25"/>
      <c r="CK133" s="6" t="e">
        <f>CU133</f>
        <v>#N/A</v>
      </c>
      <c r="CL133" s="8" t="s">
        <v>72</v>
      </c>
      <c r="CM133" s="6" t="e">
        <f>CV133</f>
        <v>#N/A</v>
      </c>
      <c r="CN133" s="26" t="s">
        <v>145</v>
      </c>
      <c r="CO133" s="15" t="e">
        <f>IF(VLOOKUP(CI133,'Summary-input'!A:C,3,0)="Outward",
IF(CP133&lt;0,"External","Internal"),
IF(CP133&lt;0,"Internal","External")
)</f>
        <v>#N/A</v>
      </c>
      <c r="CP133" t="e">
        <f>VLOOKUP(CI133&amp;CN133,'Summary-output-ULS'!A:G,6,0)</f>
        <v>#N/A</v>
      </c>
      <c r="CQ133" t="e">
        <f>VLOOKUP(CI133&amp;CN133,'Summary-output-ULS'!A:G,7,0)</f>
        <v>#N/A</v>
      </c>
      <c r="CR133" s="3" t="e">
        <f>VLOOKUP(CI133&amp;CN133,'Summary-output-SLS'!A:G,6,0)</f>
        <v>#N/A</v>
      </c>
      <c r="CS133" s="3" t="e">
        <f>VLOOKUP(CI133&amp;CN133,'Summary-output-SLS'!A:G,7,0)</f>
        <v>#N/A</v>
      </c>
      <c r="CT133" s="20">
        <v>600</v>
      </c>
      <c r="CU133" s="2" t="e">
        <f>VLOOKUP(CI133&amp;CN133,'Summary-output-ULS'!A:G,5,0)</f>
        <v>#N/A</v>
      </c>
      <c r="CV133" s="15" t="e">
        <f>VLOOKUP(CI133&amp;CN133,'Summary-output-SLS'!A:G,5,0)</f>
        <v>#N/A</v>
      </c>
      <c r="CW133" s="6"/>
      <c r="CX133" s="278"/>
      <c r="CY133" s="6"/>
      <c r="CZ133" s="6"/>
      <c r="DA133" s="6"/>
      <c r="DB133" s="6"/>
      <c r="DC133" s="6"/>
      <c r="DD133" s="6"/>
      <c r="DE133" s="6"/>
      <c r="DF133" s="6"/>
      <c r="DG133" s="6"/>
      <c r="DH133" s="6"/>
      <c r="DI133" s="6"/>
      <c r="DJ133" s="212"/>
      <c r="DK133" s="13"/>
      <c r="DL133" s="13"/>
      <c r="DM133" s="202"/>
      <c r="DN133" s="206" t="e">
        <f>IF(CO133="external",T133,0)</f>
        <v>#N/A</v>
      </c>
      <c r="DO133" s="206" t="e">
        <f>IF(CO133="external",W133,0)</f>
        <v>#N/A</v>
      </c>
      <c r="DP133" s="206" t="e">
        <f>IF(CO133="external",Z133,0)</f>
        <v>#N/A</v>
      </c>
      <c r="DQ133" s="206" t="e">
        <f>IF(CO133="external",AC133,0)</f>
        <v>#N/A</v>
      </c>
      <c r="DR133" s="206" t="e">
        <f>IF(CO133="external",AF133,0)</f>
        <v>#N/A</v>
      </c>
      <c r="DS133" s="207" t="e">
        <f>IF(CO133="external",AI133,0)</f>
        <v>#N/A</v>
      </c>
      <c r="DT133" s="208"/>
      <c r="DU133" s="207" t="e">
        <f>IF(CO133="internal",T133,0)</f>
        <v>#N/A</v>
      </c>
      <c r="DV133" s="207" t="e">
        <f>IF(CO133="internal",W133,0)</f>
        <v>#N/A</v>
      </c>
      <c r="DW133" s="207" t="e">
        <f>IF(CO133="internal",Z133,0)</f>
        <v>#N/A</v>
      </c>
      <c r="DX133" s="207" t="e">
        <f>IF(CO133="internal",AC133,0)</f>
        <v>#N/A</v>
      </c>
      <c r="DY133" s="207" t="e">
        <f>IF(CO133="internal",AF133,0)</f>
        <v>#N/A</v>
      </c>
      <c r="DZ133" s="207" t="e">
        <f>IF(CO133="internal",AI133,0)</f>
        <v>#N/A</v>
      </c>
    </row>
    <row r="134" spans="1:130" s="7" customFormat="1" ht="15" thickBot="1" x14ac:dyDescent="0.35">
      <c r="B134" s="244">
        <f>+CI134</f>
        <v>124</v>
      </c>
      <c r="C134" s="245">
        <f t="shared" si="215"/>
        <v>0</v>
      </c>
      <c r="D134" s="245" t="e">
        <f t="shared" si="216"/>
        <v>#N/A</v>
      </c>
      <c r="E134" s="245" t="str">
        <f t="shared" si="217"/>
        <v>--</v>
      </c>
      <c r="F134" s="245" t="e">
        <f>+CM134</f>
        <v>#N/A</v>
      </c>
      <c r="G134" s="246" t="str">
        <f t="shared" si="218"/>
        <v>Min Fx</v>
      </c>
      <c r="H134" s="245" t="e">
        <f t="shared" si="219"/>
        <v>#N/A</v>
      </c>
      <c r="I134" s="247">
        <v>0</v>
      </c>
      <c r="J134" s="248" t="e">
        <f t="shared" si="220"/>
        <v>#N/A</v>
      </c>
      <c r="K134" s="248" t="e">
        <f t="shared" si="221"/>
        <v>#N/A</v>
      </c>
      <c r="L134" s="248" t="e">
        <f t="shared" si="222"/>
        <v>#N/A</v>
      </c>
      <c r="M134" s="248" t="e">
        <f t="shared" si="223"/>
        <v>#N/A</v>
      </c>
      <c r="N134" s="248" t="e">
        <f>IF(I134*J134&gt;=0,J134*$J$19+I134*$J$18,J134)</f>
        <v>#N/A</v>
      </c>
      <c r="O134" s="248" t="e">
        <f>(K134)*$J$19</f>
        <v>#N/A</v>
      </c>
      <c r="P134" s="249" t="e">
        <f>IF(I134*L134&gt;=0,(L134)+I134,L134)</f>
        <v>#N/A</v>
      </c>
      <c r="Q134" s="250" t="e">
        <f>(M134)</f>
        <v>#N/A</v>
      </c>
      <c r="R134" s="251">
        <f t="shared" si="224"/>
        <v>600</v>
      </c>
      <c r="S134" s="252"/>
      <c r="T134" s="253">
        <v>13</v>
      </c>
      <c r="U134" s="254"/>
      <c r="V134" s="254"/>
      <c r="W134" s="253"/>
      <c r="X134" s="254"/>
      <c r="Y134" s="254"/>
      <c r="Z134" s="253"/>
      <c r="AA134" s="254"/>
      <c r="AB134" s="254"/>
      <c r="AC134" s="255"/>
      <c r="AD134" s="254"/>
      <c r="AE134" s="254"/>
      <c r="AF134" s="255"/>
      <c r="AG134" s="254"/>
      <c r="AH134" s="254"/>
      <c r="AI134" s="256"/>
      <c r="AJ134" s="245">
        <f>PI()/4*T134^2*$O$12/$AX$16</f>
        <v>884.88193076112498</v>
      </c>
      <c r="AK134" s="254" t="str">
        <f>IF(W134=0,"","+")</f>
        <v/>
      </c>
      <c r="AL134" s="245">
        <f>PI()/4*W134^2*$O$12/$AX$16</f>
        <v>0</v>
      </c>
      <c r="AM134" s="254" t="str">
        <f>IF(Z134=0,"","+")</f>
        <v/>
      </c>
      <c r="AN134" s="245">
        <f>PI()/4*Z134^2*$O$12/$AX$16</f>
        <v>0</v>
      </c>
      <c r="AO134" s="254" t="str">
        <f>IF(AC134=0,"","+")</f>
        <v/>
      </c>
      <c r="AP134" s="245">
        <f>PI()/4*AC134^2*$O$12/$AX$16</f>
        <v>0</v>
      </c>
      <c r="AQ134" s="254" t="str">
        <f>IF(AF134=0,"","+")</f>
        <v/>
      </c>
      <c r="AR134" s="245">
        <f>PI()/4*AF134^2*$O$12/$AX$16</f>
        <v>0</v>
      </c>
      <c r="AS134" s="254" t="str">
        <f>IF(AI134=0,"","+")</f>
        <v/>
      </c>
      <c r="AT134" s="245">
        <f>PI()/4*AI134^2*$O$12/$AX$16</f>
        <v>0</v>
      </c>
      <c r="AU134" s="254" t="s">
        <v>24</v>
      </c>
      <c r="AV134" s="257">
        <f>VALUE(AJ134)+VALUE(AL134)+VALUE(AN134)+VALUE(AP134)+VALUE(AR134)+VALUE(AT134)</f>
        <v>884.88193076112498</v>
      </c>
      <c r="AW134" s="258">
        <f>MAX(0.3*$AJ$14^(2/3)/$AJ$16*0.26*100,0.13)</f>
        <v>0.15723814702688016</v>
      </c>
      <c r="AX134" s="245">
        <f>AW134/100*$O$12*BK134</f>
        <v>802.70074057222325</v>
      </c>
      <c r="AY134" s="245"/>
      <c r="AZ134" s="245"/>
      <c r="BA134" s="259" t="str">
        <f>IF(BB134=0,"","+")</f>
        <v/>
      </c>
      <c r="BB134" s="259"/>
      <c r="BC134" s="254" t="s">
        <v>24</v>
      </c>
      <c r="BD134" s="257">
        <f>AX134+AZ134+BB134</f>
        <v>802.70074057222325</v>
      </c>
      <c r="BE134" s="260">
        <f>(R134-($AX$14+$O$16+T134/2))</f>
        <v>510.5</v>
      </c>
      <c r="BF134" s="250">
        <f>IF(W134=0,0,(R134-($AX$14+T134/2+$O$16+$BI$16)))</f>
        <v>0</v>
      </c>
      <c r="BG134" s="250">
        <f>IF(Z134=0,0,(R134-($AX$14+T134/2+$BI$16+$O$16+$BI$17)))</f>
        <v>0</v>
      </c>
      <c r="BH134" s="250">
        <f>IF(AC134=0,0,(R134-($AX$14+T134/2+$O$16+$BI$16+$BI$17+$BI$18)))</f>
        <v>0</v>
      </c>
      <c r="BI134" s="250">
        <f>IF(AF134=0,0,(R134-($AX$14+T134/2+$O$16+$BI$16+$BI$17+$BI$18+$BL$16)))</f>
        <v>0</v>
      </c>
      <c r="BJ134" s="250">
        <f>IF(AI134=0,0,(R134-($AX$14+T134/2+$O$16+$BI$16+$BI$17+$BI$18+$BL$16+$BL$17)))</f>
        <v>0</v>
      </c>
      <c r="BK134" s="245">
        <f>(BE134*AJ134+BF134*AL134+BG134*AN134+BH134*AP134+BI134*AR134+BJ134*AT134)/AV134</f>
        <v>510.5</v>
      </c>
      <c r="BL134" s="261" t="e">
        <f>ABS(N134)*1000000/$O$12/BK134^2</f>
        <v>#N/A</v>
      </c>
      <c r="BM134" s="261" t="e">
        <f>BL134/$AJ$14</f>
        <v>#N/A</v>
      </c>
      <c r="BN134" s="262" t="e">
        <f>IF(BM134&lt;0.167,0.5+SQRT(0.25-(BM134/1.134)),0.82)</f>
        <v>#N/A</v>
      </c>
      <c r="BO134" s="257" t="e">
        <f>ABS(N134)/(0.87*$AJ$16*BN134*BK134)*10^6</f>
        <v>#N/A</v>
      </c>
      <c r="BP134" s="263">
        <v>1016.4476997790709</v>
      </c>
      <c r="BQ134" s="261" t="e">
        <f>IF(Q134=0,2*ABS(P134*10^6)/$O$12/BP134/(BK134-BP134/3),Q134*BP134*1000/($O$12/2*BP134^2-(BE134-BP134)*AJ134*$AJ$18-(BF134-BP134)*AL134*$AJ$18-(BG134-BP134)*AN134*$AJ$18-(BH134-BP134)*AP134*$AJ$18-(BI134-BP134)*AR134*$AJ$18-(BJ134-BP134)*AT134*$AJ$18))</f>
        <v>#N/A</v>
      </c>
      <c r="BR134" s="250" t="e">
        <f>0.5*$O$12*BP134*BQ134 /1000</f>
        <v>#N/A</v>
      </c>
      <c r="BS134" s="250" t="e">
        <f>($BQ134/$BP134)*(BE134-$BP134)*$AJ$18*AJ134/1000</f>
        <v>#N/A</v>
      </c>
      <c r="BT134" s="250" t="e">
        <f>($BQ134/$BP134)*(BF134-$BP134)*$AJ$18*AL134/1000</f>
        <v>#N/A</v>
      </c>
      <c r="BU134" s="250" t="e">
        <f>($BQ134/$BP134)*(BG134-$BP134)*$AJ$18*AN134/1000</f>
        <v>#N/A</v>
      </c>
      <c r="BV134" s="250" t="e">
        <f>($BQ134/$BP134)*(BH134-$BP134)*$AJ$18*AP134/1000</f>
        <v>#N/A</v>
      </c>
      <c r="BW134" s="250" t="e">
        <f>($BQ134/$BP134)*(BI134-$BP134)*$AJ$18*AR134/1000</f>
        <v>#N/A</v>
      </c>
      <c r="BX134" s="250" t="e">
        <f>($BQ134/$BP134)*(BJ134-$BP134)*$AJ$18*AT134/1000</f>
        <v>#N/A</v>
      </c>
      <c r="BY134" s="261" t="e">
        <f>IF(Q134=0,0,(0.5*$O$12*BP134*BQ134/1000*(R134/2-$BP134/3)+BS134*(BE134-R134/2)+BT134*(BF134-R134/2)+BU134*(BG134-R134/2)+BV134*(BH134-R134/2)+BW134*(BI134-R134/2)+BX134*(BJ134-R134/2))/1000-ABS(P134))</f>
        <v>#N/A</v>
      </c>
      <c r="BZ134" s="248"/>
      <c r="CA134" s="264" t="e">
        <f>ABS(P134)/(BK134-BP134/3)/AV134*10^6-Q134*(R134/2-BP134/3)/(BK134-BP134/3)/AV134*1000</f>
        <v>#N/A</v>
      </c>
      <c r="CB134" s="265">
        <f>(AV134/($O$12*MIN(2.5*(R134-BK134),(R134-BP134)/3,R134/2)-AV134))</f>
        <v>-6.3341229662276077E-3</v>
      </c>
      <c r="CC134" s="265">
        <f>3.4*($O$16+$AX$14)+0.425*0.8*0.5*(T134^2+W134^2+Z134^2+AC134^2+AF134^2+AI134^2)/(T134+W134+Z134+AC134+AF134+AI134)/CB134</f>
        <v>-66.703867478310485</v>
      </c>
      <c r="CD134" s="265" t="e">
        <f>MAX(0.6*CA134/$AJ$17,(CA134-0.4*0.3*$AJ$14^(2/3)/CB134*(1+$AJ$17/$AJ$15*CB134))/$AJ$17)</f>
        <v>#N/A</v>
      </c>
      <c r="CE134" s="266" t="e">
        <f>CC134*CD134/1000</f>
        <v>#N/A</v>
      </c>
      <c r="CF134" s="252" t="e">
        <f>IF(AND(AV134&gt;=BD134,AV134&gt;=BO134,CE134&lt;=(+IF(CO134="External",0.25,0.3))),"O.K", "Not O.K")</f>
        <v>#N/A</v>
      </c>
      <c r="CG134" s="254"/>
      <c r="CH134" s="267" t="e">
        <f>IF(O134&lt;0.2*$AJ$14*R134*$O$12/1000,"N &lt; 0.2fckAc - OK!","TBA")</f>
        <v>#N/A</v>
      </c>
      <c r="CI134" s="24">
        <v>124</v>
      </c>
      <c r="CJ134" s="25"/>
      <c r="CK134" s="6" t="e">
        <f>CU134</f>
        <v>#N/A</v>
      </c>
      <c r="CL134" s="8" t="s">
        <v>72</v>
      </c>
      <c r="CM134" s="6" t="e">
        <f>CV134</f>
        <v>#N/A</v>
      </c>
      <c r="CN134" s="26" t="s">
        <v>146</v>
      </c>
      <c r="CO134" s="15" t="e">
        <f>IF(VLOOKUP(CI134,'Summary-input'!A:C,3,0)="Outward",
IF(CP134&lt;0,"External","Internal"),
IF(CP134&lt;0,"Internal","External")
)</f>
        <v>#N/A</v>
      </c>
      <c r="CP134" t="e">
        <f>VLOOKUP(CI134&amp;CN134,'Summary-output-ULS'!A:G,6,0)</f>
        <v>#N/A</v>
      </c>
      <c r="CQ134" t="e">
        <f>VLOOKUP(CI134&amp;CN134,'Summary-output-ULS'!A:G,7,0)</f>
        <v>#N/A</v>
      </c>
      <c r="CR134" s="3" t="e">
        <f>VLOOKUP(CI134&amp;CN134,'Summary-output-SLS'!A:G,6,0)</f>
        <v>#N/A</v>
      </c>
      <c r="CS134" s="3" t="e">
        <f>VLOOKUP(CI134&amp;CN134,'Summary-output-SLS'!A:G,7,0)</f>
        <v>#N/A</v>
      </c>
      <c r="CT134" s="20">
        <v>600</v>
      </c>
      <c r="CU134" s="2" t="e">
        <f>VLOOKUP(CI134&amp;CN134,'Summary-output-ULS'!A:G,5,0)</f>
        <v>#N/A</v>
      </c>
      <c r="CV134" s="15" t="e">
        <f>VLOOKUP(CI134&amp;CN134,'Summary-output-SLS'!A:G,5,0)</f>
        <v>#N/A</v>
      </c>
      <c r="CW134" s="6"/>
      <c r="CX134" s="278"/>
      <c r="CY134" s="6"/>
      <c r="CZ134" s="6"/>
      <c r="DA134" s="6"/>
      <c r="DB134" s="6"/>
      <c r="DC134" s="6"/>
      <c r="DD134" s="6"/>
      <c r="DE134" s="6"/>
      <c r="DF134" s="6"/>
      <c r="DG134" s="6"/>
      <c r="DH134" s="6"/>
      <c r="DI134" s="6"/>
      <c r="DJ134" s="212"/>
      <c r="DK134" s="13"/>
      <c r="DL134" s="13"/>
      <c r="DM134" s="202"/>
      <c r="DN134" s="206" t="e">
        <f>IF(CO134="external",T134,0)</f>
        <v>#N/A</v>
      </c>
      <c r="DO134" s="206" t="e">
        <f>IF(CO134="external",W134,0)</f>
        <v>#N/A</v>
      </c>
      <c r="DP134" s="206" t="e">
        <f>IF(CO134="external",Z134,0)</f>
        <v>#N/A</v>
      </c>
      <c r="DQ134" s="206" t="e">
        <f>IF(CO134="external",AC134,0)</f>
        <v>#N/A</v>
      </c>
      <c r="DR134" s="206" t="e">
        <f>IF(CO134="external",AF134,0)</f>
        <v>#N/A</v>
      </c>
      <c r="DS134" s="207" t="e">
        <f>IF(CO134="external",AI134,0)</f>
        <v>#N/A</v>
      </c>
      <c r="DT134" s="208"/>
      <c r="DU134" s="207" t="e">
        <f>IF(CO134="internal",T134,0)</f>
        <v>#N/A</v>
      </c>
      <c r="DV134" s="207" t="e">
        <f>IF(CO134="internal",W134,0)</f>
        <v>#N/A</v>
      </c>
      <c r="DW134" s="207" t="e">
        <f>IF(CO134="internal",Z134,0)</f>
        <v>#N/A</v>
      </c>
      <c r="DX134" s="207" t="e">
        <f>IF(CO134="internal",AC134,0)</f>
        <v>#N/A</v>
      </c>
      <c r="DY134" s="207" t="e">
        <f>IF(CO134="internal",AF134,0)</f>
        <v>#N/A</v>
      </c>
      <c r="DZ134" s="207" t="e">
        <f>IF(CO134="internal",AI134,0)</f>
        <v>#N/A</v>
      </c>
    </row>
    <row r="135" spans="1:130" x14ac:dyDescent="0.3">
      <c r="CO135" s="15" t="e">
        <f>IF(VLOOKUP(CI135,'Summary-input'!A:C,3,0)="Outward",
IF(CP135&lt;0,"External","Internal"),
IF(CP135&lt;0,"Internal","External")
)</f>
        <v>#N/A</v>
      </c>
      <c r="CP135" t="e">
        <f>VLOOKUP(CI135&amp;CN135,'Summary-output-ULS'!A:G,6,0)</f>
        <v>#N/A</v>
      </c>
      <c r="CQ135" t="e">
        <f>VLOOKUP(CI135&amp;CN135,'Summary-output-ULS'!A:G,7,0)</f>
        <v>#N/A</v>
      </c>
      <c r="CR135" s="3" t="e">
        <f>VLOOKUP(CI135&amp;CN135,'Summary-output-SLS'!A:G,6,0)</f>
        <v>#N/A</v>
      </c>
      <c r="CS135" s="3" t="e">
        <f>VLOOKUP(CI135&amp;CN135,'Summary-output-SLS'!A:G,7,0)</f>
        <v>#N/A</v>
      </c>
      <c r="CU135" s="2" t="e">
        <f>VLOOKUP(CI135&amp;CN135,'Summary-output-ULS'!A:G,5,0)</f>
        <v>#N/A</v>
      </c>
      <c r="CV135" s="15" t="e">
        <f>VLOOKUP(CI135&amp;CN135,'Summary-output-SLS'!A:G,5,0)</f>
        <v>#N/A</v>
      </c>
    </row>
    <row r="136" spans="1:130" s="7" customFormat="1" ht="13.8" x14ac:dyDescent="0.25">
      <c r="A136" s="7" t="s">
        <v>141</v>
      </c>
      <c r="B136" s="19">
        <f>+CI136</f>
        <v>129</v>
      </c>
      <c r="C136" s="6">
        <f t="shared" ref="C136:C139" si="237">CJ136</f>
        <v>0</v>
      </c>
      <c r="D136" s="6" t="e">
        <f t="shared" ref="D136:D139" si="238">CK136</f>
        <v>#N/A</v>
      </c>
      <c r="E136" s="6" t="str">
        <f t="shared" ref="E136:E139" si="239">CL136</f>
        <v>--</v>
      </c>
      <c r="F136" s="6" t="e">
        <f>+CM136</f>
        <v>#N/A</v>
      </c>
      <c r="G136" s="174" t="str">
        <f t="shared" ref="G136:G139" si="240">CN136</f>
        <v>Max Mz</v>
      </c>
      <c r="H136" s="6" t="e">
        <f t="shared" ref="H136:H139" si="241">CO136</f>
        <v>#N/A</v>
      </c>
      <c r="I136" s="156">
        <v>0</v>
      </c>
      <c r="J136" s="10" t="e">
        <f t="shared" ref="J136:J139" si="242">(CP136)</f>
        <v>#N/A</v>
      </c>
      <c r="K136" s="10" t="e">
        <f t="shared" ref="K136:K139" si="243">(CQ136)</f>
        <v>#N/A</v>
      </c>
      <c r="L136" s="10" t="e">
        <f t="shared" ref="L136:L139" si="244">(CR136)</f>
        <v>#N/A</v>
      </c>
      <c r="M136" s="10" t="e">
        <f t="shared" ref="M136:M139" si="245">(CS136)</f>
        <v>#N/A</v>
      </c>
      <c r="N136" s="10" t="e">
        <f>IF(I136*J136&gt;=0,J136*$J$19+I136*$J$18,J136)</f>
        <v>#N/A</v>
      </c>
      <c r="O136" s="10" t="e">
        <f>(K136)*$J$19</f>
        <v>#N/A</v>
      </c>
      <c r="P136" s="14" t="e">
        <f>IF(I136*L136&gt;=0,(L136)+I136,L136)</f>
        <v>#N/A</v>
      </c>
      <c r="Q136" s="3" t="e">
        <f>(M136)</f>
        <v>#N/A</v>
      </c>
      <c r="R136" s="20">
        <f t="shared" ref="R136:R139" si="246">CT136</f>
        <v>600</v>
      </c>
      <c r="S136" s="23"/>
      <c r="T136" s="12">
        <v>13</v>
      </c>
      <c r="U136" s="28"/>
      <c r="V136" s="28"/>
      <c r="W136" s="12"/>
      <c r="X136" s="28"/>
      <c r="Y136" s="28"/>
      <c r="Z136" s="12"/>
      <c r="AA136" s="28"/>
      <c r="AB136" s="28"/>
      <c r="AC136" s="158"/>
      <c r="AD136" s="28"/>
      <c r="AE136" s="28"/>
      <c r="AF136" s="158"/>
      <c r="AG136" s="28"/>
      <c r="AH136" s="28"/>
      <c r="AI136" s="29"/>
      <c r="AJ136" s="6">
        <f>PI()/4*T136^2*$O$12/$AX$16</f>
        <v>884.88193076112498</v>
      </c>
      <c r="AK136" s="28" t="str">
        <f>IF(W136=0,"","+")</f>
        <v/>
      </c>
      <c r="AL136" s="6">
        <f>PI()/4*W136^2*$O$12/$AX$16</f>
        <v>0</v>
      </c>
      <c r="AM136" s="28" t="str">
        <f>IF(Z136=0,"","+")</f>
        <v/>
      </c>
      <c r="AN136" s="6">
        <f>PI()/4*Z136^2*$O$12/$AX$16</f>
        <v>0</v>
      </c>
      <c r="AO136" s="28" t="str">
        <f>IF(AC136=0,"","+")</f>
        <v/>
      </c>
      <c r="AP136" s="6">
        <f>PI()/4*AC136^2*$O$12/$AX$16</f>
        <v>0</v>
      </c>
      <c r="AQ136" s="28" t="str">
        <f>IF(AF136=0,"","+")</f>
        <v/>
      </c>
      <c r="AR136" s="6">
        <f>PI()/4*AF136^2*$O$12/$AX$16</f>
        <v>0</v>
      </c>
      <c r="AS136" s="28" t="str">
        <f>IF(AI136=0,"","+")</f>
        <v/>
      </c>
      <c r="AT136" s="6">
        <f>PI()/4*AI136^2*$O$12/$AX$16</f>
        <v>0</v>
      </c>
      <c r="AU136" s="28" t="s">
        <v>24</v>
      </c>
      <c r="AV136" s="15">
        <f>VALUE(AJ136)+VALUE(AL136)+VALUE(AN136)+VALUE(AP136)+VALUE(AR136)+VALUE(AT136)</f>
        <v>884.88193076112498</v>
      </c>
      <c r="AW136" s="228">
        <f>MAX(0.3*$AJ$14^(2/3)/$AJ$16*0.26*100,0.13)</f>
        <v>0.15723814702688016</v>
      </c>
      <c r="AX136" s="6">
        <f>AW136/100*$O$12*BK136</f>
        <v>802.70074057222325</v>
      </c>
      <c r="AY136" s="6"/>
      <c r="AZ136" s="6"/>
      <c r="BA136" s="24" t="str">
        <f>IF(BB136=0,"","+")</f>
        <v/>
      </c>
      <c r="BB136" s="24"/>
      <c r="BC136" s="28" t="s">
        <v>24</v>
      </c>
      <c r="BD136" s="15">
        <f>AX136+AZ136+BB136</f>
        <v>802.70074057222325</v>
      </c>
      <c r="BE136" s="2">
        <f>(R136-($AX$14+$O$16+T136/2))</f>
        <v>510.5</v>
      </c>
      <c r="BF136" s="3">
        <f>IF(W136=0,0,(R136-($AX$14+T136/2+$O$16+$BI$16)))</f>
        <v>0</v>
      </c>
      <c r="BG136" s="3">
        <f>IF(Z136=0,0,(R136-($AX$14+T136/2+$BI$16+$O$16+$BI$17)))</f>
        <v>0</v>
      </c>
      <c r="BH136" s="3">
        <f>IF(AC136=0,0,(R136-($AX$14+T136/2+$O$16+$BI$16+$BI$17+$BI$18)))</f>
        <v>0</v>
      </c>
      <c r="BI136" s="3">
        <f>IF(AF136=0,0,(R136-($AX$14+T136/2+$O$16+$BI$16+$BI$17+$BI$18+$BL$16)))</f>
        <v>0</v>
      </c>
      <c r="BJ136" s="3">
        <f>IF(AI136=0,0,(R136-($AX$14+T136/2+$O$16+$BI$16+$BI$17+$BI$18+$BL$16+$BL$17)))</f>
        <v>0</v>
      </c>
      <c r="BK136" s="6">
        <f>(BE136*AJ136+BF136*AL136+BG136*AN136+BH136*AP136+BI136*AR136+BJ136*AT136)/AV136</f>
        <v>510.5</v>
      </c>
      <c r="BL136" s="175" t="e">
        <f>ABS(N136)*1000000/$O$12/BK136^2</f>
        <v>#N/A</v>
      </c>
      <c r="BM136" s="175" t="e">
        <f>BL136/$AJ$14</f>
        <v>#N/A</v>
      </c>
      <c r="BN136" s="21" t="e">
        <f>IF(BM136&lt;0.167,0.5+SQRT(0.25-(BM136/1.134)),0.82)</f>
        <v>#N/A</v>
      </c>
      <c r="BO136" s="15" t="e">
        <f>ABS(N136)/(0.87*$AJ$16*BN136*BK136)*10^6</f>
        <v>#N/A</v>
      </c>
      <c r="BP136" s="22">
        <v>1132.204452885594</v>
      </c>
      <c r="BQ136" s="175" t="e">
        <f>IF(Q136=0,2*ABS(P136*10^6)/$O$12/BP136/(BK136-BP136/3),Q136*BP136*1000/($O$12/2*BP136^2-(BE136-BP136)*AJ136*$AJ$18-(BF136-BP136)*AL136*$AJ$18-(BG136-BP136)*AN136*$AJ$18-(BH136-BP136)*AP136*$AJ$18-(BI136-BP136)*AR136*$AJ$18-(BJ136-BP136)*AT136*$AJ$18))</f>
        <v>#N/A</v>
      </c>
      <c r="BR136" s="3" t="e">
        <f>0.5*$O$12*BP136*BQ136 /1000</f>
        <v>#N/A</v>
      </c>
      <c r="BS136" s="3" t="e">
        <f>($BQ136/$BP136)*(BE136-$BP136)*$AJ$18*AJ136/1000</f>
        <v>#N/A</v>
      </c>
      <c r="BT136" s="3" t="e">
        <f>($BQ136/$BP136)*(BF136-$BP136)*$AJ$18*AL136/1000</f>
        <v>#N/A</v>
      </c>
      <c r="BU136" s="3" t="e">
        <f>($BQ136/$BP136)*(BG136-$BP136)*$AJ$18*AN136/1000</f>
        <v>#N/A</v>
      </c>
      <c r="BV136" s="3" t="e">
        <f>($BQ136/$BP136)*(BH136-$BP136)*$AJ$18*AP136/1000</f>
        <v>#N/A</v>
      </c>
      <c r="BW136" s="3" t="e">
        <f>($BQ136/$BP136)*(BI136-$BP136)*$AJ$18*AR136/1000</f>
        <v>#N/A</v>
      </c>
      <c r="BX136" s="3" t="e">
        <f>($BQ136/$BP136)*(BJ136-$BP136)*$AJ$18*AT136/1000</f>
        <v>#N/A</v>
      </c>
      <c r="BY136" s="175" t="e">
        <f>IF(Q136=0,0,(0.5*$O$12*BP136*BQ136/1000*(R136/2-$BP136/3)+BS136*(BE136-R136/2)+BT136*(BF136-R136/2)+BU136*(BG136-R136/2)+BV136*(BH136-R136/2)+BW136*(BI136-R136/2)+BX136*(BJ136-R136/2))/1000-ABS(P136))</f>
        <v>#N/A</v>
      </c>
      <c r="BZ136" s="10"/>
      <c r="CA136" s="176" t="e">
        <f>ABS(P136)/(BK136-BP136/3)/AV136*10^6-Q136*(R136/2-BP136/3)/(BK136-BP136/3)/AV136*1000</f>
        <v>#N/A</v>
      </c>
      <c r="CB136" s="177">
        <f>(AV136/($O$12*MIN(2.5*(R136-BK136),(R136-BP136)/3,R136/2)-AV136))</f>
        <v>-4.9632619111190518E-3</v>
      </c>
      <c r="CC136" s="177">
        <f>3.4*($O$16+$AX$14)+0.425*0.8*0.5*(T136^2+W136^2+Z136^2+AC136^2+AF136^2+AI136^2)/(T136+W136+Z136+AC136+AF136+AI136)/CB136</f>
        <v>-163.07168615643695</v>
      </c>
      <c r="CD136" s="177" t="e">
        <f>MAX(0.6*CA136/$AJ$17,(CA136-0.4*0.3*$AJ$14^(2/3)/CB136*(1+$AJ$17/$AJ$15*CB136))/$AJ$17)</f>
        <v>#N/A</v>
      </c>
      <c r="CE136" s="178" t="e">
        <f>CC136*CD136/1000</f>
        <v>#N/A</v>
      </c>
      <c r="CF136" s="23" t="e">
        <f>IF(AND(AV136&gt;=BD136,AV136&gt;=BO136,CE136&lt;=(+IF(CO136="External",0.25,0.3))),"O.K", "Not O.K")</f>
        <v>#N/A</v>
      </c>
      <c r="CG136" s="28"/>
      <c r="CH136" s="179" t="e">
        <f>IF(O136&lt;0.2*$AJ$14*R136*$O$12/1000,"N &lt; 0.2fckAc - OK!","TBA")</f>
        <v>#N/A</v>
      </c>
      <c r="CI136" s="24">
        <v>129</v>
      </c>
      <c r="CJ136" s="25"/>
      <c r="CK136" s="6" t="e">
        <f>CU136</f>
        <v>#N/A</v>
      </c>
      <c r="CL136" s="8" t="s">
        <v>72</v>
      </c>
      <c r="CM136" s="6" t="e">
        <f>CV136</f>
        <v>#N/A</v>
      </c>
      <c r="CN136" s="26" t="s">
        <v>147</v>
      </c>
      <c r="CO136" s="15" t="e">
        <f>IF(VLOOKUP(CI136,'Summary-input'!A:C,3,0)="Outward",
IF(CP136&lt;0,"External","Internal"),
IF(CP136&lt;0,"Internal","External")
)</f>
        <v>#N/A</v>
      </c>
      <c r="CP136" t="e">
        <f>VLOOKUP(CI136&amp;CN136,'Summary-output-ULS'!A:G,6,0)</f>
        <v>#N/A</v>
      </c>
      <c r="CQ136" t="e">
        <f>VLOOKUP(CI136&amp;CN136,'Summary-output-ULS'!A:G,7,0)</f>
        <v>#N/A</v>
      </c>
      <c r="CR136" s="3" t="e">
        <f>VLOOKUP(CI136&amp;CN136,'Summary-output-SLS'!A:G,6,0)</f>
        <v>#N/A</v>
      </c>
      <c r="CS136" s="3" t="e">
        <f>VLOOKUP(CI136&amp;CN136,'Summary-output-SLS'!A:G,7,0)</f>
        <v>#N/A</v>
      </c>
      <c r="CT136" s="20">
        <v>600</v>
      </c>
      <c r="CU136" s="2" t="e">
        <f>VLOOKUP(CI136&amp;CN136,'Summary-output-ULS'!A:G,5,0)</f>
        <v>#N/A</v>
      </c>
      <c r="CV136" s="15" t="e">
        <f>VLOOKUP(CI136&amp;CN136,'Summary-output-SLS'!A:G,5,0)</f>
        <v>#N/A</v>
      </c>
      <c r="CW136" s="6"/>
      <c r="CX136" s="278">
        <f>CI136</f>
        <v>129</v>
      </c>
      <c r="CY136" s="6" t="e">
        <f t="shared" ref="CY136" si="247">MAX(DN136:DN139)</f>
        <v>#N/A</v>
      </c>
      <c r="CZ136" s="6" t="e">
        <f t="shared" ref="CZ136" si="248">MAX(DO136:DO139)</f>
        <v>#N/A</v>
      </c>
      <c r="DA136" s="6" t="e">
        <f t="shared" ref="DA136" si="249">MAX(DP136:DP139)</f>
        <v>#N/A</v>
      </c>
      <c r="DB136" s="6" t="e">
        <f t="shared" ref="DB136" si="250">MAX(DQ136:DQ139)</f>
        <v>#N/A</v>
      </c>
      <c r="DC136" s="6" t="e">
        <f t="shared" ref="DC136" si="251">MAX(DR136:DR139)</f>
        <v>#N/A</v>
      </c>
      <c r="DD136" s="6" t="e">
        <f t="shared" ref="DD136" si="252">MAX(DS136:DS139)</f>
        <v>#N/A</v>
      </c>
      <c r="DE136" s="6"/>
      <c r="DF136" s="6" t="e">
        <f t="shared" ref="DF136" si="253">MAX(DU136:DU139)</f>
        <v>#N/A</v>
      </c>
      <c r="DG136" s="6" t="e">
        <f t="shared" ref="DG136" si="254">MAX(DV136:DV139)</f>
        <v>#N/A</v>
      </c>
      <c r="DH136" s="6" t="e">
        <f t="shared" ref="DH136" si="255">MAX(DW136:DW139)</f>
        <v>#N/A</v>
      </c>
      <c r="DI136" s="6" t="e">
        <f t="shared" ref="DI136" si="256">MAX(DX136:DX139)</f>
        <v>#N/A</v>
      </c>
      <c r="DJ136" s="6" t="e">
        <f t="shared" ref="DJ136" si="257">MAX(DY136:DY139)</f>
        <v>#N/A</v>
      </c>
      <c r="DK136" s="6" t="e">
        <f t="shared" ref="DK136" si="258">MAX(DZ136:DZ139)</f>
        <v>#N/A</v>
      </c>
      <c r="DL136" s="13"/>
      <c r="DM136" s="202">
        <f>CI136</f>
        <v>129</v>
      </c>
      <c r="DN136" s="206" t="e">
        <f>IF(CO136="external",T136,0)</f>
        <v>#N/A</v>
      </c>
      <c r="DO136" s="206" t="e">
        <f>IF(CO136="external",W136,0)</f>
        <v>#N/A</v>
      </c>
      <c r="DP136" s="206" t="e">
        <f>IF(CO136="external",Z136,0)</f>
        <v>#N/A</v>
      </c>
      <c r="DQ136" s="206" t="e">
        <f>IF(CO136="external",AC136,0)</f>
        <v>#N/A</v>
      </c>
      <c r="DR136" s="206" t="e">
        <f>IF(CO136="external",AF136,0)</f>
        <v>#N/A</v>
      </c>
      <c r="DS136" s="207" t="e">
        <f>IF(CO136="external",AI136,0)</f>
        <v>#N/A</v>
      </c>
      <c r="DT136" s="208"/>
      <c r="DU136" s="207" t="e">
        <f>IF(CO136="internal",T136,0)</f>
        <v>#N/A</v>
      </c>
      <c r="DV136" s="207" t="e">
        <f>IF(CO136="internal",W136,0)</f>
        <v>#N/A</v>
      </c>
      <c r="DW136" s="207" t="e">
        <f>IF(CO136="internal",Z136,0)</f>
        <v>#N/A</v>
      </c>
      <c r="DX136" s="207" t="e">
        <f>IF(CO136="internal",AC136,0)</f>
        <v>#N/A</v>
      </c>
      <c r="DY136" s="207" t="e">
        <f>IF(CO136="internal",AF136,0)</f>
        <v>#N/A</v>
      </c>
      <c r="DZ136" s="207" t="e">
        <f>IF(CO136="internal",AI136,0)</f>
        <v>#N/A</v>
      </c>
    </row>
    <row r="137" spans="1:130" s="7" customFormat="1" x14ac:dyDescent="0.3">
      <c r="B137" s="19">
        <f>+CI137</f>
        <v>129</v>
      </c>
      <c r="C137" s="6">
        <f t="shared" si="237"/>
        <v>0</v>
      </c>
      <c r="D137" s="6" t="e">
        <f t="shared" si="238"/>
        <v>#N/A</v>
      </c>
      <c r="E137" s="6" t="str">
        <f t="shared" si="239"/>
        <v>--</v>
      </c>
      <c r="F137" s="6" t="e">
        <f>+CM137</f>
        <v>#N/A</v>
      </c>
      <c r="G137" s="174" t="str">
        <f t="shared" si="240"/>
        <v>Min Mz</v>
      </c>
      <c r="H137" s="6" t="e">
        <f t="shared" si="241"/>
        <v>#N/A</v>
      </c>
      <c r="I137" s="156">
        <v>0</v>
      </c>
      <c r="J137" s="10" t="e">
        <f t="shared" si="242"/>
        <v>#N/A</v>
      </c>
      <c r="K137" s="10" t="e">
        <f t="shared" si="243"/>
        <v>#N/A</v>
      </c>
      <c r="L137" s="10" t="e">
        <f t="shared" si="244"/>
        <v>#N/A</v>
      </c>
      <c r="M137" s="10" t="e">
        <f t="shared" si="245"/>
        <v>#N/A</v>
      </c>
      <c r="N137" s="10" t="e">
        <f>IF(I137*J137&gt;=0,J137*$J$19+I137*$J$18,J137)</f>
        <v>#N/A</v>
      </c>
      <c r="O137" s="10" t="e">
        <f>(K137)*$J$19</f>
        <v>#N/A</v>
      </c>
      <c r="P137" s="14" t="e">
        <f>IF(I137*L137&gt;=0,(L137)+I137,L137)</f>
        <v>#N/A</v>
      </c>
      <c r="Q137" s="3" t="e">
        <f>(M137)</f>
        <v>#N/A</v>
      </c>
      <c r="R137" s="20">
        <f t="shared" si="246"/>
        <v>600</v>
      </c>
      <c r="S137" s="23"/>
      <c r="T137" s="12">
        <v>13</v>
      </c>
      <c r="U137" s="28"/>
      <c r="V137" s="28"/>
      <c r="W137" s="12"/>
      <c r="X137" s="28"/>
      <c r="Y137" s="28"/>
      <c r="Z137" s="12"/>
      <c r="AA137" s="28"/>
      <c r="AB137" s="28"/>
      <c r="AC137" s="158"/>
      <c r="AD137" s="28"/>
      <c r="AE137" s="28"/>
      <c r="AF137" s="158"/>
      <c r="AG137" s="28"/>
      <c r="AH137" s="28"/>
      <c r="AI137" s="29"/>
      <c r="AJ137" s="6">
        <f>PI()/4*T137^2*$O$12/$AX$16</f>
        <v>884.88193076112498</v>
      </c>
      <c r="AK137" s="28" t="str">
        <f>IF(W137=0,"","+")</f>
        <v/>
      </c>
      <c r="AL137" s="6">
        <f>PI()/4*W137^2*$O$12/$AX$16</f>
        <v>0</v>
      </c>
      <c r="AM137" s="28" t="str">
        <f>IF(Z137=0,"","+")</f>
        <v/>
      </c>
      <c r="AN137" s="6">
        <f>PI()/4*Z137^2*$O$12/$AX$16</f>
        <v>0</v>
      </c>
      <c r="AO137" s="28" t="str">
        <f>IF(AC137=0,"","+")</f>
        <v/>
      </c>
      <c r="AP137" s="6">
        <f>PI()/4*AC137^2*$O$12/$AX$16</f>
        <v>0</v>
      </c>
      <c r="AQ137" s="28" t="str">
        <f>IF(AF137=0,"","+")</f>
        <v/>
      </c>
      <c r="AR137" s="6">
        <f>PI()/4*AF137^2*$O$12/$AX$16</f>
        <v>0</v>
      </c>
      <c r="AS137" s="28" t="str">
        <f>IF(AI137=0,"","+")</f>
        <v/>
      </c>
      <c r="AT137" s="6">
        <f>PI()/4*AI137^2*$O$12/$AX$16</f>
        <v>0</v>
      </c>
      <c r="AU137" s="28" t="s">
        <v>24</v>
      </c>
      <c r="AV137" s="15">
        <f>VALUE(AJ137)+VALUE(AL137)+VALUE(AN137)+VALUE(AP137)+VALUE(AR137)+VALUE(AT137)</f>
        <v>884.88193076112498</v>
      </c>
      <c r="AW137" s="228">
        <f>MAX(0.3*$AJ$14^(2/3)/$AJ$16*0.26*100,0.13)</f>
        <v>0.15723814702688016</v>
      </c>
      <c r="AX137" s="6">
        <f>AW137/100*$O$12*BK137</f>
        <v>802.70074057222325</v>
      </c>
      <c r="AY137" s="6"/>
      <c r="AZ137" s="6"/>
      <c r="BA137" s="24" t="str">
        <f>IF(BB137=0,"","+")</f>
        <v/>
      </c>
      <c r="BB137" s="24"/>
      <c r="BC137" s="28" t="s">
        <v>24</v>
      </c>
      <c r="BD137" s="15">
        <f>AX137+AZ137+BB137</f>
        <v>802.70074057222325</v>
      </c>
      <c r="BE137" s="2">
        <f>(R137-($AX$14+$O$16+T137/2))</f>
        <v>510.5</v>
      </c>
      <c r="BF137" s="3">
        <f>IF(W137=0,0,(R137-($AX$14+T137/2+$O$16+$BI$16)))</f>
        <v>0</v>
      </c>
      <c r="BG137" s="3">
        <f>IF(Z137=0,0,(R137-($AX$14+T137/2+$BI$16+$O$16+$BI$17)))</f>
        <v>0</v>
      </c>
      <c r="BH137" s="3">
        <f>IF(AC137=0,0,(R137-($AX$14+T137/2+$O$16+$BI$16+$BI$17+$BI$18)))</f>
        <v>0</v>
      </c>
      <c r="BI137" s="3">
        <f>IF(AF137=0,0,(R137-($AX$14+T137/2+$O$16+$BI$16+$BI$17+$BI$18+$BL$16)))</f>
        <v>0</v>
      </c>
      <c r="BJ137" s="3">
        <f>IF(AI137=0,0,(R137-($AX$14+T137/2+$O$16+$BI$16+$BI$17+$BI$18+$BL$16+$BL$17)))</f>
        <v>0</v>
      </c>
      <c r="BK137" s="6">
        <f>(BE137*AJ137+BF137*AL137+BG137*AN137+BH137*AP137+BI137*AR137+BJ137*AT137)/AV137</f>
        <v>510.5</v>
      </c>
      <c r="BL137" s="175" t="e">
        <f>ABS(N137)*1000000/$O$12/BK137^2</f>
        <v>#N/A</v>
      </c>
      <c r="BM137" s="175" t="e">
        <f>BL137/$AJ$14</f>
        <v>#N/A</v>
      </c>
      <c r="BN137" s="21" t="e">
        <f>IF(BM137&lt;0.167,0.5+SQRT(0.25-(BM137/1.134)),0.82)</f>
        <v>#N/A</v>
      </c>
      <c r="BO137" s="15" t="e">
        <f>ABS(N137)/(0.87*$AJ$16*BN137*BK137)*10^6</f>
        <v>#N/A</v>
      </c>
      <c r="BP137" s="22">
        <v>911.79141780863165</v>
      </c>
      <c r="BQ137" s="175" t="e">
        <f>IF(Q137=0,2*ABS(P137*10^6)/$O$12/BP137/(BK137-BP137/3),Q137*BP137*1000/($O$12/2*BP137^2-(BE137-BP137)*AJ137*$AJ$18-(BF137-BP137)*AL137*$AJ$18-(BG137-BP137)*AN137*$AJ$18-(BH137-BP137)*AP137*$AJ$18-(BI137-BP137)*AR137*$AJ$18-(BJ137-BP137)*AT137*$AJ$18))</f>
        <v>#N/A</v>
      </c>
      <c r="BR137" s="3" t="e">
        <f>0.5*$O$12*BP137*BQ137 /1000</f>
        <v>#N/A</v>
      </c>
      <c r="BS137" s="3" t="e">
        <f>($BQ137/$BP137)*(BE137-$BP137)*$AJ$18*AJ137/1000</f>
        <v>#N/A</v>
      </c>
      <c r="BT137" s="3" t="e">
        <f>($BQ137/$BP137)*(BF137-$BP137)*$AJ$18*AL137/1000</f>
        <v>#N/A</v>
      </c>
      <c r="BU137" s="3" t="e">
        <f>($BQ137/$BP137)*(BG137-$BP137)*$AJ$18*AN137/1000</f>
        <v>#N/A</v>
      </c>
      <c r="BV137" s="3" t="e">
        <f>($BQ137/$BP137)*(BH137-$BP137)*$AJ$18*AP137/1000</f>
        <v>#N/A</v>
      </c>
      <c r="BW137" s="3" t="e">
        <f>($BQ137/$BP137)*(BI137-$BP137)*$AJ$18*AR137/1000</f>
        <v>#N/A</v>
      </c>
      <c r="BX137" s="3" t="e">
        <f>($BQ137/$BP137)*(BJ137-$BP137)*$AJ$18*AT137/1000</f>
        <v>#N/A</v>
      </c>
      <c r="BY137" s="175" t="e">
        <f>IF(Q137=0,0,(0.5*$O$12*BP137*BQ137/1000*(R137/2-$BP137/3)+BS137*(BE137-R137/2)+BT137*(BF137-R137/2)+BU137*(BG137-R137/2)+BV137*(BH137-R137/2)+BW137*(BI137-R137/2)+BX137*(BJ137-R137/2))/1000-ABS(P137))</f>
        <v>#N/A</v>
      </c>
      <c r="BZ137" s="10"/>
      <c r="CA137" s="176" t="e">
        <f>ABS(P137)/(BK137-BP137/3)/AV137*10^6-Q137*(R137/2-BP137/3)/(BK137-BP137/3)/AV137*1000</f>
        <v>#N/A</v>
      </c>
      <c r="CB137" s="177">
        <f>(AV137/($O$12*MIN(2.5*(R137-BK137),(R137-BP137)/3,R137/2)-AV137))</f>
        <v>-8.4422929703218269E-3</v>
      </c>
      <c r="CC137" s="177">
        <f>3.4*($O$16+$AX$14)+0.425*0.8*0.5*(T137^2+W137^2+Z137^2+AC137^2+AF137^2+AI137^2)/(T137+W137+Z137+AC137+AF137+AI137)/CB137</f>
        <v>20.422778128042978</v>
      </c>
      <c r="CD137" s="177" t="e">
        <f>MAX(0.6*CA137/$AJ$17,(CA137-0.4*0.3*$AJ$14^(2/3)/CB137*(1+$AJ$17/$AJ$15*CB137))/$AJ$17)</f>
        <v>#N/A</v>
      </c>
      <c r="CE137" s="178" t="e">
        <f>CC137*CD137/1000</f>
        <v>#N/A</v>
      </c>
      <c r="CF137" s="23" t="e">
        <f>IF(AND(AV137&gt;=BD137,AV137&gt;=BO137,CE137&lt;=(+IF(CO137="External",0.25,0.3))),"O.K", "Not O.K")</f>
        <v>#N/A</v>
      </c>
      <c r="CG137" s="28"/>
      <c r="CH137" s="179" t="e">
        <f>IF(O137&lt;0.2*$AJ$14*R137*$O$12/1000,"N &lt; 0.2fckAc - OK!","TBA")</f>
        <v>#N/A</v>
      </c>
      <c r="CI137" s="24">
        <v>129</v>
      </c>
      <c r="CJ137" s="25"/>
      <c r="CK137" s="6" t="e">
        <f>CU137</f>
        <v>#N/A</v>
      </c>
      <c r="CL137" s="8" t="s">
        <v>72</v>
      </c>
      <c r="CM137" s="6" t="e">
        <f>CV137</f>
        <v>#N/A</v>
      </c>
      <c r="CN137" s="26" t="s">
        <v>148</v>
      </c>
      <c r="CO137" s="15" t="e">
        <f>IF(VLOOKUP(CI137,'Summary-input'!A:C,3,0)="Outward",
IF(CP137&lt;0,"External","Internal"),
IF(CP137&lt;0,"Internal","External")
)</f>
        <v>#N/A</v>
      </c>
      <c r="CP137" t="e">
        <f>VLOOKUP(CI137&amp;CN137,'Summary-output-ULS'!A:G,6,0)</f>
        <v>#N/A</v>
      </c>
      <c r="CQ137" t="e">
        <f>VLOOKUP(CI137&amp;CN137,'Summary-output-ULS'!A:G,7,0)</f>
        <v>#N/A</v>
      </c>
      <c r="CR137" s="3" t="e">
        <f>VLOOKUP(CI137&amp;CN137,'Summary-output-SLS'!A:G,6,0)</f>
        <v>#N/A</v>
      </c>
      <c r="CS137" s="3" t="e">
        <f>VLOOKUP(CI137&amp;CN137,'Summary-output-SLS'!A:G,7,0)</f>
        <v>#N/A</v>
      </c>
      <c r="CT137" s="20">
        <v>600</v>
      </c>
      <c r="CU137" s="2" t="e">
        <f>VLOOKUP(CI137&amp;CN137,'Summary-output-ULS'!A:G,5,0)</f>
        <v>#N/A</v>
      </c>
      <c r="CV137" s="15" t="e">
        <f>VLOOKUP(CI137&amp;CN137,'Summary-output-SLS'!A:G,5,0)</f>
        <v>#N/A</v>
      </c>
      <c r="CW137" s="6"/>
      <c r="CX137" s="278"/>
      <c r="CY137" s="6"/>
      <c r="CZ137" s="6"/>
      <c r="DA137" s="6"/>
      <c r="DB137" s="6"/>
      <c r="DC137" s="6"/>
      <c r="DD137" s="6"/>
      <c r="DE137" s="6"/>
      <c r="DF137" s="6"/>
      <c r="DG137" s="6"/>
      <c r="DH137" s="6"/>
      <c r="DI137" s="6"/>
      <c r="DJ137" s="212"/>
      <c r="DK137" s="13"/>
      <c r="DL137" s="13"/>
      <c r="DM137" s="202"/>
      <c r="DN137" s="206" t="e">
        <f>IF(CO137="external",T137,0)</f>
        <v>#N/A</v>
      </c>
      <c r="DO137" s="206" t="e">
        <f>IF(CO137="external",W137,0)</f>
        <v>#N/A</v>
      </c>
      <c r="DP137" s="206" t="e">
        <f>IF(CO137="external",Z137,0)</f>
        <v>#N/A</v>
      </c>
      <c r="DQ137" s="206" t="e">
        <f>IF(CO137="external",AC137,0)</f>
        <v>#N/A</v>
      </c>
      <c r="DR137" s="206" t="e">
        <f>IF(CO137="external",AF137,0)</f>
        <v>#N/A</v>
      </c>
      <c r="DS137" s="207" t="e">
        <f>IF(CO137="external",AI137,0)</f>
        <v>#N/A</v>
      </c>
      <c r="DT137" s="208"/>
      <c r="DU137" s="207" t="e">
        <f>IF(CO137="internal",T137,0)</f>
        <v>#N/A</v>
      </c>
      <c r="DV137" s="207" t="e">
        <f>IF(CO137="internal",W137,0)</f>
        <v>#N/A</v>
      </c>
      <c r="DW137" s="207" t="e">
        <f>IF(CO137="internal",Z137,0)</f>
        <v>#N/A</v>
      </c>
      <c r="DX137" s="207" t="e">
        <f>IF(CO137="internal",AC137,0)</f>
        <v>#N/A</v>
      </c>
      <c r="DY137" s="207" t="e">
        <f>IF(CO137="internal",AF137,0)</f>
        <v>#N/A</v>
      </c>
      <c r="DZ137" s="207" t="e">
        <f>IF(CO137="internal",AI137,0)</f>
        <v>#N/A</v>
      </c>
    </row>
    <row r="138" spans="1:130" s="7" customFormat="1" x14ac:dyDescent="0.3">
      <c r="B138" s="19">
        <f>+CI138</f>
        <v>129</v>
      </c>
      <c r="C138" s="6">
        <f t="shared" si="237"/>
        <v>0</v>
      </c>
      <c r="D138" s="6" t="e">
        <f t="shared" si="238"/>
        <v>#N/A</v>
      </c>
      <c r="E138" s="6" t="str">
        <f t="shared" si="239"/>
        <v>--</v>
      </c>
      <c r="F138" s="6" t="e">
        <f>+CM138</f>
        <v>#N/A</v>
      </c>
      <c r="G138" s="174" t="str">
        <f t="shared" si="240"/>
        <v>Max Fx</v>
      </c>
      <c r="H138" s="6" t="e">
        <f t="shared" si="241"/>
        <v>#N/A</v>
      </c>
      <c r="I138" s="156">
        <v>0</v>
      </c>
      <c r="J138" s="10" t="e">
        <f t="shared" si="242"/>
        <v>#N/A</v>
      </c>
      <c r="K138" s="10" t="e">
        <f t="shared" si="243"/>
        <v>#N/A</v>
      </c>
      <c r="L138" s="10" t="e">
        <f t="shared" si="244"/>
        <v>#N/A</v>
      </c>
      <c r="M138" s="10" t="e">
        <f t="shared" si="245"/>
        <v>#N/A</v>
      </c>
      <c r="N138" s="10" t="e">
        <f>IF(I138*J138&gt;=0,J138*$J$19+I138*$J$18,J138)</f>
        <v>#N/A</v>
      </c>
      <c r="O138" s="10" t="e">
        <f>(K138)*$J$19</f>
        <v>#N/A</v>
      </c>
      <c r="P138" s="14" t="e">
        <f>IF(I138*L138&gt;=0,(L138)+I138,L138)</f>
        <v>#N/A</v>
      </c>
      <c r="Q138" s="3" t="e">
        <f>(M138)</f>
        <v>#N/A</v>
      </c>
      <c r="R138" s="20">
        <f t="shared" si="246"/>
        <v>600</v>
      </c>
      <c r="S138" s="23"/>
      <c r="T138" s="12">
        <v>13</v>
      </c>
      <c r="U138" s="28"/>
      <c r="V138" s="28"/>
      <c r="W138" s="12"/>
      <c r="X138" s="28"/>
      <c r="Y138" s="28"/>
      <c r="Z138" s="12"/>
      <c r="AA138" s="28"/>
      <c r="AB138" s="28"/>
      <c r="AC138" s="158"/>
      <c r="AD138" s="28"/>
      <c r="AE138" s="28"/>
      <c r="AF138" s="158"/>
      <c r="AG138" s="28"/>
      <c r="AH138" s="28"/>
      <c r="AI138" s="29"/>
      <c r="AJ138" s="6">
        <f>PI()/4*T138^2*$O$12/$AX$16</f>
        <v>884.88193076112498</v>
      </c>
      <c r="AK138" s="28" t="str">
        <f>IF(W138=0,"","+")</f>
        <v/>
      </c>
      <c r="AL138" s="6">
        <f>PI()/4*W138^2*$O$12/$AX$16</f>
        <v>0</v>
      </c>
      <c r="AM138" s="28" t="str">
        <f>IF(Z138=0,"","+")</f>
        <v/>
      </c>
      <c r="AN138" s="6">
        <f>PI()/4*Z138^2*$O$12/$AX$16</f>
        <v>0</v>
      </c>
      <c r="AO138" s="28" t="str">
        <f>IF(AC138=0,"","+")</f>
        <v/>
      </c>
      <c r="AP138" s="6">
        <f>PI()/4*AC138^2*$O$12/$AX$16</f>
        <v>0</v>
      </c>
      <c r="AQ138" s="28" t="str">
        <f>IF(AF138=0,"","+")</f>
        <v/>
      </c>
      <c r="AR138" s="6">
        <f>PI()/4*AF138^2*$O$12/$AX$16</f>
        <v>0</v>
      </c>
      <c r="AS138" s="28" t="str">
        <f>IF(AI138=0,"","+")</f>
        <v/>
      </c>
      <c r="AT138" s="6">
        <f>PI()/4*AI138^2*$O$12/$AX$16</f>
        <v>0</v>
      </c>
      <c r="AU138" s="28" t="s">
        <v>24</v>
      </c>
      <c r="AV138" s="15">
        <f>VALUE(AJ138)+VALUE(AL138)+VALUE(AN138)+VALUE(AP138)+VALUE(AR138)+VALUE(AT138)</f>
        <v>884.88193076112498</v>
      </c>
      <c r="AW138" s="228">
        <f>MAX(0.3*$AJ$14^(2/3)/$AJ$16*0.26*100,0.13)</f>
        <v>0.15723814702688016</v>
      </c>
      <c r="AX138" s="6">
        <f>AW138/100*$O$12*BK138</f>
        <v>802.70074057222325</v>
      </c>
      <c r="AY138" s="6"/>
      <c r="AZ138" s="6"/>
      <c r="BA138" s="24" t="str">
        <f>IF(BB138=0,"","+")</f>
        <v/>
      </c>
      <c r="BB138" s="24"/>
      <c r="BC138" s="28" t="s">
        <v>24</v>
      </c>
      <c r="BD138" s="15">
        <f>AX138+AZ138+BB138</f>
        <v>802.70074057222325</v>
      </c>
      <c r="BE138" s="2">
        <f>(R138-($AX$14+$O$16+T138/2))</f>
        <v>510.5</v>
      </c>
      <c r="BF138" s="3">
        <f>IF(W138=0,0,(R138-($AX$14+T138/2+$O$16+$BI$16)))</f>
        <v>0</v>
      </c>
      <c r="BG138" s="3">
        <f>IF(Z138=0,0,(R138-($AX$14+T138/2+$BI$16+$O$16+$BI$17)))</f>
        <v>0</v>
      </c>
      <c r="BH138" s="3">
        <f>IF(AC138=0,0,(R138-($AX$14+T138/2+$O$16+$BI$16+$BI$17+$BI$18)))</f>
        <v>0</v>
      </c>
      <c r="BI138" s="3">
        <f>IF(AF138=0,0,(R138-($AX$14+T138/2+$O$16+$BI$16+$BI$17+$BI$18+$BL$16)))</f>
        <v>0</v>
      </c>
      <c r="BJ138" s="3">
        <f>IF(AI138=0,0,(R138-($AX$14+T138/2+$O$16+$BI$16+$BI$17+$BI$18+$BL$16+$BL$17)))</f>
        <v>0</v>
      </c>
      <c r="BK138" s="6">
        <f>(BE138*AJ138+BF138*AL138+BG138*AN138+BH138*AP138+BI138*AR138+BJ138*AT138)/AV138</f>
        <v>510.5</v>
      </c>
      <c r="BL138" s="175" t="e">
        <f>ABS(N138)*1000000/$O$12/BK138^2</f>
        <v>#N/A</v>
      </c>
      <c r="BM138" s="175" t="e">
        <f>BL138/$AJ$14</f>
        <v>#N/A</v>
      </c>
      <c r="BN138" s="21" t="e">
        <f>IF(BM138&lt;0.167,0.5+SQRT(0.25-(BM138/1.134)),0.82)</f>
        <v>#N/A</v>
      </c>
      <c r="BO138" s="15" t="e">
        <f>ABS(N138)/(0.87*$AJ$16*BN138*BK138)*10^6</f>
        <v>#N/A</v>
      </c>
      <c r="BP138" s="22">
        <v>960.50349328639845</v>
      </c>
      <c r="BQ138" s="175" t="e">
        <f>IF(Q138=0,2*ABS(P138*10^6)/$O$12/BP138/(BK138-BP138/3),Q138*BP138*1000/($O$12/2*BP138^2-(BE138-BP138)*AJ138*$AJ$18-(BF138-BP138)*AL138*$AJ$18-(BG138-BP138)*AN138*$AJ$18-(BH138-BP138)*AP138*$AJ$18-(BI138-BP138)*AR138*$AJ$18-(BJ138-BP138)*AT138*$AJ$18))</f>
        <v>#N/A</v>
      </c>
      <c r="BR138" s="3" t="e">
        <f>0.5*$O$12*BP138*BQ138 /1000</f>
        <v>#N/A</v>
      </c>
      <c r="BS138" s="3" t="e">
        <f>($BQ138/$BP138)*(BE138-$BP138)*$AJ$18*AJ138/1000</f>
        <v>#N/A</v>
      </c>
      <c r="BT138" s="3" t="e">
        <f>($BQ138/$BP138)*(BF138-$BP138)*$AJ$18*AL138/1000</f>
        <v>#N/A</v>
      </c>
      <c r="BU138" s="3" t="e">
        <f>($BQ138/$BP138)*(BG138-$BP138)*$AJ$18*AN138/1000</f>
        <v>#N/A</v>
      </c>
      <c r="BV138" s="3" t="e">
        <f>($BQ138/$BP138)*(BH138-$BP138)*$AJ$18*AP138/1000</f>
        <v>#N/A</v>
      </c>
      <c r="BW138" s="3" t="e">
        <f>($BQ138/$BP138)*(BI138-$BP138)*$AJ$18*AR138/1000</f>
        <v>#N/A</v>
      </c>
      <c r="BX138" s="3" t="e">
        <f>($BQ138/$BP138)*(BJ138-$BP138)*$AJ$18*AT138/1000</f>
        <v>#N/A</v>
      </c>
      <c r="BY138" s="175" t="e">
        <f>IF(Q138=0,0,(0.5*$O$12*BP138*BQ138/1000*(R138/2-$BP138/3)+BS138*(BE138-R138/2)+BT138*(BF138-R138/2)+BU138*(BG138-R138/2)+BV138*(BH138-R138/2)+BW138*(BI138-R138/2)+BX138*(BJ138-R138/2))/1000-ABS(P138))</f>
        <v>#N/A</v>
      </c>
      <c r="BZ138" s="10"/>
      <c r="CA138" s="176" t="e">
        <f>ABS(P138)/(BK138-BP138/3)/AV138*10^6-Q138*(R138/2-BP138/3)/(BK138-BP138/3)/AV138*1000</f>
        <v>#N/A</v>
      </c>
      <c r="CB138" s="177">
        <f>(AV138/($O$12*MIN(2.5*(R138-BK138),(R138-BP138)/3,R138/2)-AV138))</f>
        <v>-7.3098892923565157E-3</v>
      </c>
      <c r="CC138" s="177">
        <f>3.4*($O$16+$AX$14)+0.425*0.8*0.5*(T138^2+W138^2+Z138^2+AC138^2+AF138^2+AI138^2)/(T138+W138+Z138+AC138+AF138+AI138)/CB138</f>
        <v>-20.130160090229538</v>
      </c>
      <c r="CD138" s="177" t="e">
        <f>MAX(0.6*CA138/$AJ$17,(CA138-0.4*0.3*$AJ$14^(2/3)/CB138*(1+$AJ$17/$AJ$15*CB138))/$AJ$17)</f>
        <v>#N/A</v>
      </c>
      <c r="CE138" s="178" t="e">
        <f>CC138*CD138/1000</f>
        <v>#N/A</v>
      </c>
      <c r="CF138" s="23" t="e">
        <f>IF(AND(AV138&gt;=BD138,AV138&gt;=BO138,CE138&lt;=(+IF(CO138="External",0.25,0.3))),"O.K", "Not O.K")</f>
        <v>#N/A</v>
      </c>
      <c r="CG138" s="28"/>
      <c r="CH138" s="179" t="e">
        <f>IF(O138&lt;0.2*$AJ$14*R138*$O$12/1000,"N &lt; 0.2fckAc - OK!","TBA")</f>
        <v>#N/A</v>
      </c>
      <c r="CI138" s="24">
        <v>129</v>
      </c>
      <c r="CJ138" s="25"/>
      <c r="CK138" s="6" t="e">
        <f>CU138</f>
        <v>#N/A</v>
      </c>
      <c r="CL138" s="8" t="s">
        <v>72</v>
      </c>
      <c r="CM138" s="6" t="e">
        <f>CV138</f>
        <v>#N/A</v>
      </c>
      <c r="CN138" s="26" t="s">
        <v>145</v>
      </c>
      <c r="CO138" s="15" t="e">
        <f>IF(VLOOKUP(CI138,'Summary-input'!A:C,3,0)="Outward",
IF(CP138&lt;0,"External","Internal"),
IF(CP138&lt;0,"Internal","External")
)</f>
        <v>#N/A</v>
      </c>
      <c r="CP138" t="e">
        <f>VLOOKUP(CI138&amp;CN138,'Summary-output-ULS'!A:G,6,0)</f>
        <v>#N/A</v>
      </c>
      <c r="CQ138" t="e">
        <f>VLOOKUP(CI138&amp;CN138,'Summary-output-ULS'!A:G,7,0)</f>
        <v>#N/A</v>
      </c>
      <c r="CR138" s="3" t="e">
        <f>VLOOKUP(CI138&amp;CN138,'Summary-output-SLS'!A:G,6,0)</f>
        <v>#N/A</v>
      </c>
      <c r="CS138" s="3" t="e">
        <f>VLOOKUP(CI138&amp;CN138,'Summary-output-SLS'!A:G,7,0)</f>
        <v>#N/A</v>
      </c>
      <c r="CT138" s="20">
        <v>600</v>
      </c>
      <c r="CU138" s="2" t="e">
        <f>VLOOKUP(CI138&amp;CN138,'Summary-output-ULS'!A:G,5,0)</f>
        <v>#N/A</v>
      </c>
      <c r="CV138" s="15" t="e">
        <f>VLOOKUP(CI138&amp;CN138,'Summary-output-SLS'!A:G,5,0)</f>
        <v>#N/A</v>
      </c>
      <c r="CW138" s="6"/>
      <c r="CX138" s="278"/>
      <c r="CY138" s="6"/>
      <c r="CZ138" s="6"/>
      <c r="DA138" s="6"/>
      <c r="DB138" s="6"/>
      <c r="DC138" s="6"/>
      <c r="DD138" s="6"/>
      <c r="DE138" s="6"/>
      <c r="DF138" s="6"/>
      <c r="DG138" s="6"/>
      <c r="DH138" s="6"/>
      <c r="DI138" s="6"/>
      <c r="DJ138" s="212"/>
      <c r="DK138" s="13"/>
      <c r="DL138" s="13"/>
      <c r="DM138" s="202"/>
      <c r="DN138" s="206" t="e">
        <f>IF(CO138="external",T138,0)</f>
        <v>#N/A</v>
      </c>
      <c r="DO138" s="206" t="e">
        <f>IF(CO138="external",W138,0)</f>
        <v>#N/A</v>
      </c>
      <c r="DP138" s="206" t="e">
        <f>IF(CO138="external",Z138,0)</f>
        <v>#N/A</v>
      </c>
      <c r="DQ138" s="206" t="e">
        <f>IF(CO138="external",AC138,0)</f>
        <v>#N/A</v>
      </c>
      <c r="DR138" s="206" t="e">
        <f>IF(CO138="external",AF138,0)</f>
        <v>#N/A</v>
      </c>
      <c r="DS138" s="207" t="e">
        <f>IF(CO138="external",AI138,0)</f>
        <v>#N/A</v>
      </c>
      <c r="DT138" s="208"/>
      <c r="DU138" s="207" t="e">
        <f>IF(CO138="internal",T138,0)</f>
        <v>#N/A</v>
      </c>
      <c r="DV138" s="207" t="e">
        <f>IF(CO138="internal",W138,0)</f>
        <v>#N/A</v>
      </c>
      <c r="DW138" s="207" t="e">
        <f>IF(CO138="internal",Z138,0)</f>
        <v>#N/A</v>
      </c>
      <c r="DX138" s="207" t="e">
        <f>IF(CO138="internal",AC138,0)</f>
        <v>#N/A</v>
      </c>
      <c r="DY138" s="207" t="e">
        <f>IF(CO138="internal",AF138,0)</f>
        <v>#N/A</v>
      </c>
      <c r="DZ138" s="207" t="e">
        <f>IF(CO138="internal",AI138,0)</f>
        <v>#N/A</v>
      </c>
    </row>
    <row r="139" spans="1:130" s="7" customFormat="1" ht="15" thickBot="1" x14ac:dyDescent="0.35">
      <c r="B139" s="244">
        <f>+CI139</f>
        <v>129</v>
      </c>
      <c r="C139" s="245">
        <f t="shared" si="237"/>
        <v>0</v>
      </c>
      <c r="D139" s="245" t="e">
        <f t="shared" si="238"/>
        <v>#N/A</v>
      </c>
      <c r="E139" s="245" t="str">
        <f t="shared" si="239"/>
        <v>--</v>
      </c>
      <c r="F139" s="245" t="e">
        <f>+CM139</f>
        <v>#N/A</v>
      </c>
      <c r="G139" s="246" t="str">
        <f t="shared" si="240"/>
        <v>Min Fx</v>
      </c>
      <c r="H139" s="245" t="e">
        <f t="shared" si="241"/>
        <v>#N/A</v>
      </c>
      <c r="I139" s="247">
        <v>0</v>
      </c>
      <c r="J139" s="248" t="e">
        <f t="shared" si="242"/>
        <v>#N/A</v>
      </c>
      <c r="K139" s="248" t="e">
        <f t="shared" si="243"/>
        <v>#N/A</v>
      </c>
      <c r="L139" s="248" t="e">
        <f t="shared" si="244"/>
        <v>#N/A</v>
      </c>
      <c r="M139" s="248" t="e">
        <f t="shared" si="245"/>
        <v>#N/A</v>
      </c>
      <c r="N139" s="248" t="e">
        <f>IF(I139*J139&gt;=0,J139*$J$19+I139*$J$18,J139)</f>
        <v>#N/A</v>
      </c>
      <c r="O139" s="248" t="e">
        <f>(K139)*$J$19</f>
        <v>#N/A</v>
      </c>
      <c r="P139" s="249" t="e">
        <f>IF(I139*L139&gt;=0,(L139)+I139,L139)</f>
        <v>#N/A</v>
      </c>
      <c r="Q139" s="250" t="e">
        <f>(M139)</f>
        <v>#N/A</v>
      </c>
      <c r="R139" s="251">
        <f t="shared" si="246"/>
        <v>600</v>
      </c>
      <c r="S139" s="252"/>
      <c r="T139" s="253">
        <v>13</v>
      </c>
      <c r="U139" s="254"/>
      <c r="V139" s="254"/>
      <c r="W139" s="253"/>
      <c r="X139" s="254"/>
      <c r="Y139" s="254"/>
      <c r="Z139" s="253"/>
      <c r="AA139" s="254"/>
      <c r="AB139" s="254"/>
      <c r="AC139" s="255"/>
      <c r="AD139" s="254"/>
      <c r="AE139" s="254"/>
      <c r="AF139" s="255"/>
      <c r="AG139" s="254"/>
      <c r="AH139" s="254"/>
      <c r="AI139" s="256"/>
      <c r="AJ139" s="245">
        <f>PI()/4*T139^2*$O$12/$AX$16</f>
        <v>884.88193076112498</v>
      </c>
      <c r="AK139" s="254" t="str">
        <f>IF(W139=0,"","+")</f>
        <v/>
      </c>
      <c r="AL139" s="245">
        <f>PI()/4*W139^2*$O$12/$AX$16</f>
        <v>0</v>
      </c>
      <c r="AM139" s="254" t="str">
        <f>IF(Z139=0,"","+")</f>
        <v/>
      </c>
      <c r="AN139" s="245">
        <f>PI()/4*Z139^2*$O$12/$AX$16</f>
        <v>0</v>
      </c>
      <c r="AO139" s="254" t="str">
        <f>IF(AC139=0,"","+")</f>
        <v/>
      </c>
      <c r="AP139" s="245">
        <f>PI()/4*AC139^2*$O$12/$AX$16</f>
        <v>0</v>
      </c>
      <c r="AQ139" s="254" t="str">
        <f>IF(AF139=0,"","+")</f>
        <v/>
      </c>
      <c r="AR139" s="245">
        <f>PI()/4*AF139^2*$O$12/$AX$16</f>
        <v>0</v>
      </c>
      <c r="AS139" s="254" t="str">
        <f>IF(AI139=0,"","+")</f>
        <v/>
      </c>
      <c r="AT139" s="245">
        <f>PI()/4*AI139^2*$O$12/$AX$16</f>
        <v>0</v>
      </c>
      <c r="AU139" s="254" t="s">
        <v>24</v>
      </c>
      <c r="AV139" s="257">
        <f>VALUE(AJ139)+VALUE(AL139)+VALUE(AN139)+VALUE(AP139)+VALUE(AR139)+VALUE(AT139)</f>
        <v>884.88193076112498</v>
      </c>
      <c r="AW139" s="258">
        <f>MAX(0.3*$AJ$14^(2/3)/$AJ$16*0.26*100,0.13)</f>
        <v>0.15723814702688016</v>
      </c>
      <c r="AX139" s="245">
        <f>AW139/100*$O$12*BK139</f>
        <v>802.70074057222325</v>
      </c>
      <c r="AY139" s="245"/>
      <c r="AZ139" s="245"/>
      <c r="BA139" s="259" t="str">
        <f>IF(BB139=0,"","+")</f>
        <v/>
      </c>
      <c r="BB139" s="259"/>
      <c r="BC139" s="254" t="s">
        <v>24</v>
      </c>
      <c r="BD139" s="257">
        <f>AX139+AZ139+BB139</f>
        <v>802.70074057222325</v>
      </c>
      <c r="BE139" s="260">
        <f>(R139-($AX$14+$O$16+T139/2))</f>
        <v>510.5</v>
      </c>
      <c r="BF139" s="250">
        <f>IF(W139=0,0,(R139-($AX$14+T139/2+$O$16+$BI$16)))</f>
        <v>0</v>
      </c>
      <c r="BG139" s="250">
        <f>IF(Z139=0,0,(R139-($AX$14+T139/2+$BI$16+$O$16+$BI$17)))</f>
        <v>0</v>
      </c>
      <c r="BH139" s="250">
        <f>IF(AC139=0,0,(R139-($AX$14+T139/2+$O$16+$BI$16+$BI$17+$BI$18)))</f>
        <v>0</v>
      </c>
      <c r="BI139" s="250">
        <f>IF(AF139=0,0,(R139-($AX$14+T139/2+$O$16+$BI$16+$BI$17+$BI$18+$BL$16)))</f>
        <v>0</v>
      </c>
      <c r="BJ139" s="250">
        <f>IF(AI139=0,0,(R139-($AX$14+T139/2+$O$16+$BI$16+$BI$17+$BI$18+$BL$16+$BL$17)))</f>
        <v>0</v>
      </c>
      <c r="BK139" s="245">
        <f>(BE139*AJ139+BF139*AL139+BG139*AN139+BH139*AP139+BI139*AR139+BJ139*AT139)/AV139</f>
        <v>510.5</v>
      </c>
      <c r="BL139" s="261" t="e">
        <f>ABS(N139)*1000000/$O$12/BK139^2</f>
        <v>#N/A</v>
      </c>
      <c r="BM139" s="261" t="e">
        <f>BL139/$AJ$14</f>
        <v>#N/A</v>
      </c>
      <c r="BN139" s="262" t="e">
        <f>IF(BM139&lt;0.167,0.5+SQRT(0.25-(BM139/1.134)),0.82)</f>
        <v>#N/A</v>
      </c>
      <c r="BO139" s="257" t="e">
        <f>ABS(N139)/(0.87*$AJ$16*BN139*BK139)*10^6</f>
        <v>#N/A</v>
      </c>
      <c r="BP139" s="263">
        <v>928.62681981838523</v>
      </c>
      <c r="BQ139" s="261" t="e">
        <f>IF(Q139=0,2*ABS(P139*10^6)/$O$12/BP139/(BK139-BP139/3),Q139*BP139*1000/($O$12/2*BP139^2-(BE139-BP139)*AJ139*$AJ$18-(BF139-BP139)*AL139*$AJ$18-(BG139-BP139)*AN139*$AJ$18-(BH139-BP139)*AP139*$AJ$18-(BI139-BP139)*AR139*$AJ$18-(BJ139-BP139)*AT139*$AJ$18))</f>
        <v>#N/A</v>
      </c>
      <c r="BR139" s="250" t="e">
        <f>0.5*$O$12*BP139*BQ139 /1000</f>
        <v>#N/A</v>
      </c>
      <c r="BS139" s="250" t="e">
        <f>($BQ139/$BP139)*(BE139-$BP139)*$AJ$18*AJ139/1000</f>
        <v>#N/A</v>
      </c>
      <c r="BT139" s="250" t="e">
        <f>($BQ139/$BP139)*(BF139-$BP139)*$AJ$18*AL139/1000</f>
        <v>#N/A</v>
      </c>
      <c r="BU139" s="250" t="e">
        <f>($BQ139/$BP139)*(BG139-$BP139)*$AJ$18*AN139/1000</f>
        <v>#N/A</v>
      </c>
      <c r="BV139" s="250" t="e">
        <f>($BQ139/$BP139)*(BH139-$BP139)*$AJ$18*AP139/1000</f>
        <v>#N/A</v>
      </c>
      <c r="BW139" s="250" t="e">
        <f>($BQ139/$BP139)*(BI139-$BP139)*$AJ$18*AR139/1000</f>
        <v>#N/A</v>
      </c>
      <c r="BX139" s="250" t="e">
        <f>($BQ139/$BP139)*(BJ139-$BP139)*$AJ$18*AT139/1000</f>
        <v>#N/A</v>
      </c>
      <c r="BY139" s="261" t="e">
        <f>IF(Q139=0,0,(0.5*$O$12*BP139*BQ139/1000*(R139/2-$BP139/3)+BS139*(BE139-R139/2)+BT139*(BF139-R139/2)+BU139*(BG139-R139/2)+BV139*(BH139-R139/2)+BW139*(BI139-R139/2)+BX139*(BJ139-R139/2))/1000-ABS(P139))</f>
        <v>#N/A</v>
      </c>
      <c r="BZ139" s="248"/>
      <c r="CA139" s="264" t="e">
        <f>ABS(P139)/(BK139-BP139/3)/AV139*10^6-Q139*(R139/2-BP139/3)/(BK139-BP139/3)/AV139*1000</f>
        <v>#N/A</v>
      </c>
      <c r="CB139" s="265">
        <f>(AV139/($O$12*MIN(2.5*(R139-BK139),(R139-BP139)/3,R139/2)-AV139))</f>
        <v>-8.0132638491861481E-3</v>
      </c>
      <c r="CC139" s="265">
        <f>3.4*($O$16+$AX$14)+0.425*0.8*0.5*(T139^2+W139^2+Z139^2+AC139^2+AF139^2+AI139^2)/(T139+W139+Z139+AC139+AF139+AI139)/CB139</f>
        <v>6.407259165133496</v>
      </c>
      <c r="CD139" s="265" t="e">
        <f>MAX(0.6*CA139/$AJ$17,(CA139-0.4*0.3*$AJ$14^(2/3)/CB139*(1+$AJ$17/$AJ$15*CB139))/$AJ$17)</f>
        <v>#N/A</v>
      </c>
      <c r="CE139" s="266" t="e">
        <f>CC139*CD139/1000</f>
        <v>#N/A</v>
      </c>
      <c r="CF139" s="252" t="e">
        <f>IF(AND(AV139&gt;=BD139,AV139&gt;=BO139,CE139&lt;=(+IF(CO139="External",0.25,0.3))),"O.K", "Not O.K")</f>
        <v>#N/A</v>
      </c>
      <c r="CG139" s="254"/>
      <c r="CH139" s="267" t="e">
        <f>IF(O139&lt;0.2*$AJ$14*R139*$O$12/1000,"N &lt; 0.2fckAc - OK!","TBA")</f>
        <v>#N/A</v>
      </c>
      <c r="CI139" s="24">
        <v>129</v>
      </c>
      <c r="CJ139" s="25"/>
      <c r="CK139" s="6" t="e">
        <f>CU139</f>
        <v>#N/A</v>
      </c>
      <c r="CL139" s="8" t="s">
        <v>72</v>
      </c>
      <c r="CM139" s="6" t="e">
        <f>CV139</f>
        <v>#N/A</v>
      </c>
      <c r="CN139" s="26" t="s">
        <v>146</v>
      </c>
      <c r="CO139" s="15" t="e">
        <f>IF(VLOOKUP(CI139,'Summary-input'!A:C,3,0)="Outward",
IF(CP139&lt;0,"External","Internal"),
IF(CP139&lt;0,"Internal","External")
)</f>
        <v>#N/A</v>
      </c>
      <c r="CP139" t="e">
        <f>VLOOKUP(CI139&amp;CN139,'Summary-output-ULS'!A:G,6,0)</f>
        <v>#N/A</v>
      </c>
      <c r="CQ139" t="e">
        <f>VLOOKUP(CI139&amp;CN139,'Summary-output-ULS'!A:G,7,0)</f>
        <v>#N/A</v>
      </c>
      <c r="CR139" s="3" t="e">
        <f>VLOOKUP(CI139&amp;CN139,'Summary-output-SLS'!A:G,6,0)</f>
        <v>#N/A</v>
      </c>
      <c r="CS139" s="3" t="e">
        <f>VLOOKUP(CI139&amp;CN139,'Summary-output-SLS'!A:G,7,0)</f>
        <v>#N/A</v>
      </c>
      <c r="CT139" s="20">
        <v>600</v>
      </c>
      <c r="CU139" s="2" t="e">
        <f>VLOOKUP(CI139&amp;CN139,'Summary-output-ULS'!A:G,5,0)</f>
        <v>#N/A</v>
      </c>
      <c r="CV139" s="15" t="e">
        <f>VLOOKUP(CI139&amp;CN139,'Summary-output-SLS'!A:G,5,0)</f>
        <v>#N/A</v>
      </c>
      <c r="CW139" s="6"/>
      <c r="CX139" s="278"/>
      <c r="CY139" s="6"/>
      <c r="CZ139" s="6"/>
      <c r="DA139" s="6"/>
      <c r="DB139" s="6"/>
      <c r="DC139" s="6"/>
      <c r="DD139" s="6"/>
      <c r="DE139" s="6"/>
      <c r="DF139" s="6"/>
      <c r="DG139" s="6"/>
      <c r="DH139" s="6"/>
      <c r="DI139" s="6"/>
      <c r="DJ139" s="212"/>
      <c r="DK139" s="13"/>
      <c r="DL139" s="13"/>
      <c r="DM139" s="202"/>
      <c r="DN139" s="206" t="e">
        <f>IF(CO139="external",T139,0)</f>
        <v>#N/A</v>
      </c>
      <c r="DO139" s="206" t="e">
        <f>IF(CO139="external",W139,0)</f>
        <v>#N/A</v>
      </c>
      <c r="DP139" s="206" t="e">
        <f>IF(CO139="external",Z139,0)</f>
        <v>#N/A</v>
      </c>
      <c r="DQ139" s="206" t="e">
        <f>IF(CO139="external",AC139,0)</f>
        <v>#N/A</v>
      </c>
      <c r="DR139" s="206" t="e">
        <f>IF(CO139="external",AF139,0)</f>
        <v>#N/A</v>
      </c>
      <c r="DS139" s="207" t="e">
        <f>IF(CO139="external",AI139,0)</f>
        <v>#N/A</v>
      </c>
      <c r="DT139" s="208"/>
      <c r="DU139" s="207" t="e">
        <f>IF(CO139="internal",T139,0)</f>
        <v>#N/A</v>
      </c>
      <c r="DV139" s="207" t="e">
        <f>IF(CO139="internal",W139,0)</f>
        <v>#N/A</v>
      </c>
      <c r="DW139" s="207" t="e">
        <f>IF(CO139="internal",Z139,0)</f>
        <v>#N/A</v>
      </c>
      <c r="DX139" s="207" t="e">
        <f>IF(CO139="internal",AC139,0)</f>
        <v>#N/A</v>
      </c>
      <c r="DY139" s="207" t="e">
        <f>IF(CO139="internal",AF139,0)</f>
        <v>#N/A</v>
      </c>
      <c r="DZ139" s="207" t="e">
        <f>IF(CO139="internal",AI139,0)</f>
        <v>#N/A</v>
      </c>
    </row>
    <row r="140" spans="1:130" x14ac:dyDescent="0.3">
      <c r="CO140" s="15" t="e">
        <f>IF(VLOOKUP(CI140,'Summary-input'!A:C,3,0)="Outward",
IF(CP140&lt;0,"External","Internal"),
IF(CP140&lt;0,"Internal","External")
)</f>
        <v>#N/A</v>
      </c>
      <c r="CP140"/>
      <c r="CQ140"/>
    </row>
    <row r="141" spans="1:130" s="189" customFormat="1" ht="13.8" x14ac:dyDescent="0.25">
      <c r="A141" s="189" t="s">
        <v>141</v>
      </c>
      <c r="B141" s="309">
        <f>+CI141</f>
        <v>130</v>
      </c>
      <c r="C141" s="196">
        <f t="shared" ref="C141:E144" si="259">CJ141</f>
        <v>0</v>
      </c>
      <c r="D141" s="196">
        <f t="shared" si="259"/>
        <v>103</v>
      </c>
      <c r="E141" s="196" t="str">
        <f t="shared" si="259"/>
        <v>--</v>
      </c>
      <c r="F141" s="196">
        <f>+CM141</f>
        <v>203</v>
      </c>
      <c r="G141" s="310" t="str">
        <f t="shared" ref="G141:H144" si="260">CN141</f>
        <v>Max Mz</v>
      </c>
      <c r="H141" s="196" t="str">
        <f t="shared" si="260"/>
        <v>Internal</v>
      </c>
      <c r="I141" s="311">
        <v>0</v>
      </c>
      <c r="J141" s="312">
        <f t="shared" ref="J141:M144" si="261">(CP141)</f>
        <v>-417.82631726692568</v>
      </c>
      <c r="K141" s="312">
        <f t="shared" si="261"/>
        <v>87.227959102194291</v>
      </c>
      <c r="L141" s="312">
        <f t="shared" si="261"/>
        <v>-306.48484817473218</v>
      </c>
      <c r="M141" s="312">
        <f t="shared" si="261"/>
        <v>66.357971004093997</v>
      </c>
      <c r="N141" s="312">
        <f>IF(I141*J141&gt;=0,J141*$J$19+I141*$J$18,J141)</f>
        <v>-417.82631726692568</v>
      </c>
      <c r="O141" s="312">
        <f>(K141)*$J$19</f>
        <v>87.227959102194291</v>
      </c>
      <c r="P141" s="313">
        <f>IF(I141*L141&gt;=0,(L141)+I141,L141)</f>
        <v>-306.48484817473218</v>
      </c>
      <c r="Q141" s="314">
        <f>(M141)</f>
        <v>66.357971004093997</v>
      </c>
      <c r="R141" s="315">
        <f t="shared" ref="R141:R144" si="262">CT141</f>
        <v>600</v>
      </c>
      <c r="S141" s="316"/>
      <c r="T141" s="317">
        <v>32</v>
      </c>
      <c r="U141" s="191"/>
      <c r="V141" s="191"/>
      <c r="W141" s="317"/>
      <c r="X141" s="191"/>
      <c r="Y141" s="191"/>
      <c r="Z141" s="317"/>
      <c r="AA141" s="191"/>
      <c r="AB141" s="191"/>
      <c r="AC141" s="317"/>
      <c r="AD141" s="191"/>
      <c r="AE141" s="191"/>
      <c r="AF141" s="317"/>
      <c r="AG141" s="191"/>
      <c r="AH141" s="191"/>
      <c r="AI141" s="318"/>
      <c r="AJ141" s="196">
        <f>PI()/4*T141^2*$O$12/$AX$16</f>
        <v>5361.6514621265796</v>
      </c>
      <c r="AK141" s="191" t="str">
        <f>IF(W141=0,"","+")</f>
        <v/>
      </c>
      <c r="AL141" s="196">
        <f>PI()/4*W141^2*$O$12/$AX$16</f>
        <v>0</v>
      </c>
      <c r="AM141" s="191" t="str">
        <f>IF(Z141=0,"","+")</f>
        <v/>
      </c>
      <c r="AN141" s="196">
        <f>PI()/4*Z141^2*$O$12/$AX$16</f>
        <v>0</v>
      </c>
      <c r="AO141" s="191" t="str">
        <f>IF(AC141=0,"","+")</f>
        <v/>
      </c>
      <c r="AP141" s="196">
        <f>PI()/4*AC141^2*$O$12/$AX$16</f>
        <v>0</v>
      </c>
      <c r="AQ141" s="191" t="str">
        <f>IF(AF141=0,"","+")</f>
        <v/>
      </c>
      <c r="AR141" s="196">
        <f>PI()/4*AF141^2*$O$12/$AX$16</f>
        <v>0</v>
      </c>
      <c r="AS141" s="191" t="str">
        <f>IF(AI141=0,"","+")</f>
        <v/>
      </c>
      <c r="AT141" s="196">
        <f>PI()/4*AI141^2*$O$12/$AX$16</f>
        <v>0</v>
      </c>
      <c r="AU141" s="191" t="s">
        <v>24</v>
      </c>
      <c r="AV141" s="319">
        <f>VALUE(AJ141)+VALUE(AL141)+VALUE(AN141)+VALUE(AP141)+VALUE(AR141)+VALUE(AT141)</f>
        <v>5361.6514621265796</v>
      </c>
      <c r="AW141" s="320">
        <f>MAX(0.3*$AJ$14^(2/3)/$AJ$16*0.26*100,0.13)</f>
        <v>0.15723814702688016</v>
      </c>
      <c r="AX141" s="196">
        <f>AW141/100*$O$12*BK141</f>
        <v>787.76311660466979</v>
      </c>
      <c r="AY141" s="196"/>
      <c r="AZ141" s="196"/>
      <c r="BA141" s="321" t="str">
        <f>IF(BB141=0,"","+")</f>
        <v/>
      </c>
      <c r="BB141" s="321"/>
      <c r="BC141" s="191" t="s">
        <v>24</v>
      </c>
      <c r="BD141" s="319">
        <f>AX141+AZ141+BB141</f>
        <v>787.76311660466979</v>
      </c>
      <c r="BE141" s="322">
        <f>(R141-($AX$14+$O$16+T141/2))</f>
        <v>501</v>
      </c>
      <c r="BF141" s="314">
        <f>IF(W141=0,0,(R141-($AX$14+T141/2+$O$16+$BI$16)))</f>
        <v>0</v>
      </c>
      <c r="BG141" s="314">
        <f>IF(Z141=0,0,(R141-($AX$14+T141/2+$BI$16+$O$16+$BI$17)))</f>
        <v>0</v>
      </c>
      <c r="BH141" s="314">
        <f>IF(AC141=0,0,(R141-($AX$14+T141/2+$O$16+$BI$16+$BI$17+$BI$18)))</f>
        <v>0</v>
      </c>
      <c r="BI141" s="314">
        <f>IF(AF141=0,0,(R141-($AX$14+T141/2+$O$16+$BI$16+$BI$17+$BI$18+$BL$16)))</f>
        <v>0</v>
      </c>
      <c r="BJ141" s="314">
        <f>IF(AI141=0,0,(R141-($AX$14+T141/2+$O$16+$BI$16+$BI$17+$BI$18+$BL$16+$BL$17)))</f>
        <v>0</v>
      </c>
      <c r="BK141" s="196">
        <f>(BE141*AJ141+BF141*AL141+BG141*AN141+BH141*AP141+BI141*AR141+BJ141*AT141)/AV141</f>
        <v>501.00000000000006</v>
      </c>
      <c r="BL141" s="323">
        <f>ABS(N141)*1000000/$O$12/BK141^2</f>
        <v>1.6646400503062762</v>
      </c>
      <c r="BM141" s="323">
        <f>BL141/$AJ$14</f>
        <v>5.202000157207113E-2</v>
      </c>
      <c r="BN141" s="324">
        <f>IF(BM141&lt;0.167,0.5+SQRT(0.25-(BM141/1.134)),0.82)</f>
        <v>0.95180414201363628</v>
      </c>
      <c r="BO141" s="319">
        <f>ABS(N141)/(0.87*$AJ$16*BN141*BK141)*10^6</f>
        <v>2014.2863875843509</v>
      </c>
      <c r="BP141" s="325">
        <v>228.01209087304926</v>
      </c>
      <c r="BQ141" s="323">
        <f>IF(Q141=0,2*ABS(P141*10^6)/$O$12/BP141/(BK141-BP141/3),Q141*BP141*1000/($O$12/2*BP141^2-(BE141-BP141)*AJ141*$AJ$18-(BF141-BP141)*AL141*$AJ$18-(BG141-BP141)*AN141*$AJ$18-(BH141-BP141)*AP141*$AJ$18-(BI141-BP141)*AR141*$AJ$18-(BJ141-BP141)*AT141*$AJ$18))</f>
        <v>6.6008094270426767</v>
      </c>
      <c r="BR141" s="314">
        <f>0.5*$O$12*BP141*BQ141 /1000</f>
        <v>752.53217945726749</v>
      </c>
      <c r="BS141" s="314">
        <f>($BQ141/$BP141)*(BE141-$BP141)*$AJ$18*AJ141/1000</f>
        <v>686.17420845317338</v>
      </c>
      <c r="BT141" s="314">
        <f>($BQ141/$BP141)*(BF141-$BP141)*$AJ$18*AL141/1000</f>
        <v>0</v>
      </c>
      <c r="BU141" s="314">
        <f>($BQ141/$BP141)*(BG141-$BP141)*$AJ$18*AN141/1000</f>
        <v>0</v>
      </c>
      <c r="BV141" s="314">
        <f>($BQ141/$BP141)*(BH141-$BP141)*$AJ$18*AP141/1000</f>
        <v>0</v>
      </c>
      <c r="BW141" s="314">
        <f>($BQ141/$BP141)*(BI141-$BP141)*$AJ$18*AR141/1000</f>
        <v>0</v>
      </c>
      <c r="BX141" s="314">
        <f>($BQ141/$BP141)*(BJ141-$BP141)*$AJ$18*AT141/1000</f>
        <v>0</v>
      </c>
      <c r="BY141" s="323">
        <f>IF(Q141=0,0,(0.5*$O$12*BP141*BQ141/1000*(R141/2-$BP141/3)+BS141*(BE141-R141/2)+BT141*(BF141-R141/2)+BU141*(BG141-R141/2)+BV141*(BH141-R141/2)+BW141*(BI141-R141/2)+BX141*(BJ141-R141/2))/1000-ABS(P141))</f>
        <v>3.429991011785205E-4</v>
      </c>
      <c r="BZ141" s="312"/>
      <c r="CA141" s="326">
        <f>ABS(P141)/(BK141-BP141/3)/AV141*10^6-Q141*(R141/2-BP141/3)/(BK141-BP141/3)/AV141*1000</f>
        <v>127.97799451079126</v>
      </c>
      <c r="CB141" s="327">
        <f>(AV141/($O$12*MIN(2.5*(R141-BK141),(R141-BP141)/3,R141/2)-AV141))</f>
        <v>4.519477619427064E-2</v>
      </c>
      <c r="CC141" s="327">
        <f>3.4*($O$16+$AX$14)+0.425*0.8*0.5*(T141^2+W141^2+Z141^2+AC141^2+AF141^2+AI141^2)/(T141+W141+Z141+AC141+AF141+AI141)/CB141</f>
        <v>402.5678933294426</v>
      </c>
      <c r="CD141" s="327">
        <f>MAX(0.6*CA141/$AJ$17,(CA141-0.4*0.3*$AJ$14^(2/3)/CB141*(1+$AJ$17/$AJ$15*CB141))/$AJ$17)</f>
        <v>0.40814264449798471</v>
      </c>
      <c r="CE141" s="328">
        <f>CC141*CD141/1000</f>
        <v>0.1643051245734613</v>
      </c>
      <c r="CF141" s="316" t="str">
        <f>IF(AND(AV141&gt;=BD141,AV141&gt;=BO141,CE141&lt;=(+IF(CO141="External",0.25,0.3))),"O.K", "Not O.K")</f>
        <v>O.K</v>
      </c>
      <c r="CG141" s="191"/>
      <c r="CH141" s="329" t="str">
        <f>IF(O141&lt;0.2*$AJ$14*R141*$O$12/1000,"N &lt; 0.2fckAc - OK!","TBA")</f>
        <v>N &lt; 0.2fckAc - OK!</v>
      </c>
      <c r="CI141" s="321">
        <v>130</v>
      </c>
      <c r="CJ141" s="330"/>
      <c r="CK141" s="196">
        <f>CU141</f>
        <v>103</v>
      </c>
      <c r="CL141" s="191" t="s">
        <v>72</v>
      </c>
      <c r="CM141" s="196">
        <f>CV141</f>
        <v>203</v>
      </c>
      <c r="CN141" s="331" t="s">
        <v>147</v>
      </c>
      <c r="CO141" s="15" t="str">
        <f>IF(VLOOKUP(CI141,'Summary-input'!A:C,3,0)="Outward",
IF(CP141&lt;0,"External","Internal"),
IF(CP141&lt;0,"Internal","External")
)</f>
        <v>Internal</v>
      </c>
      <c r="CP141">
        <v>-417.82631726692568</v>
      </c>
      <c r="CQ141">
        <v>87.227959102194291</v>
      </c>
      <c r="CR141" s="314">
        <v>-306.48484817473218</v>
      </c>
      <c r="CS141" s="314">
        <v>66.357971004093997</v>
      </c>
      <c r="CT141" s="315">
        <v>600</v>
      </c>
      <c r="CU141" s="322">
        <v>103</v>
      </c>
      <c r="CV141" s="319">
        <v>203</v>
      </c>
      <c r="CW141" s="196"/>
      <c r="CX141" s="332">
        <f>CI141</f>
        <v>130</v>
      </c>
      <c r="CY141" s="196">
        <f t="shared" ref="CY141:DD141" si="263">MAX(DN141:DN144)</f>
        <v>0</v>
      </c>
      <c r="CZ141" s="196">
        <f t="shared" si="263"/>
        <v>0</v>
      </c>
      <c r="DA141" s="196">
        <f t="shared" si="263"/>
        <v>0</v>
      </c>
      <c r="DB141" s="196">
        <f t="shared" si="263"/>
        <v>0</v>
      </c>
      <c r="DC141" s="196">
        <f t="shared" si="263"/>
        <v>0</v>
      </c>
      <c r="DD141" s="196">
        <f t="shared" si="263"/>
        <v>0</v>
      </c>
      <c r="DE141" s="196"/>
      <c r="DF141" s="196">
        <f t="shared" ref="DF141:DK141" si="264">MAX(DU141:DU144)</f>
        <v>32</v>
      </c>
      <c r="DG141" s="196">
        <f t="shared" si="264"/>
        <v>0</v>
      </c>
      <c r="DH141" s="196">
        <f t="shared" si="264"/>
        <v>0</v>
      </c>
      <c r="DI141" s="196">
        <f t="shared" si="264"/>
        <v>0</v>
      </c>
      <c r="DJ141" s="196">
        <f t="shared" si="264"/>
        <v>0</v>
      </c>
      <c r="DK141" s="196">
        <f t="shared" si="264"/>
        <v>0</v>
      </c>
      <c r="DL141" s="194"/>
      <c r="DM141" s="197">
        <f>CI141</f>
        <v>130</v>
      </c>
      <c r="DN141" s="333">
        <f>IF(CO141="external",T141,0)</f>
        <v>0</v>
      </c>
      <c r="DO141" s="333">
        <f>IF(CO141="external",W141,0)</f>
        <v>0</v>
      </c>
      <c r="DP141" s="333">
        <f>IF(CO141="external",Z141,0)</f>
        <v>0</v>
      </c>
      <c r="DQ141" s="333">
        <f>IF(CO141="external",AC141,0)</f>
        <v>0</v>
      </c>
      <c r="DR141" s="333">
        <f>IF(CO141="external",AF141,0)</f>
        <v>0</v>
      </c>
      <c r="DS141" s="200">
        <f>IF(CO141="external",AI141,0)</f>
        <v>0</v>
      </c>
      <c r="DT141" s="198"/>
      <c r="DU141" s="200">
        <f>IF(CO141="internal",T141,0)</f>
        <v>32</v>
      </c>
      <c r="DV141" s="200">
        <f>IF(CO141="internal",W141,0)</f>
        <v>0</v>
      </c>
      <c r="DW141" s="200">
        <f>IF(CO141="internal",Z141,0)</f>
        <v>0</v>
      </c>
      <c r="DX141" s="200">
        <f>IF(CO141="internal",AC141,0)</f>
        <v>0</v>
      </c>
      <c r="DY141" s="200">
        <f>IF(CO141="internal",AF141,0)</f>
        <v>0</v>
      </c>
      <c r="DZ141" s="200">
        <f>IF(CO141="internal",AI141,0)</f>
        <v>0</v>
      </c>
    </row>
    <row r="142" spans="1:130" s="189" customFormat="1" x14ac:dyDescent="0.3">
      <c r="B142" s="309">
        <f>+CI142</f>
        <v>130</v>
      </c>
      <c r="C142" s="196">
        <f t="shared" si="259"/>
        <v>0</v>
      </c>
      <c r="D142" s="196">
        <f t="shared" si="259"/>
        <v>106</v>
      </c>
      <c r="E142" s="196" t="str">
        <f t="shared" si="259"/>
        <v>--</v>
      </c>
      <c r="F142" s="196">
        <f>+CM142</f>
        <v>206</v>
      </c>
      <c r="G142" s="310" t="str">
        <f t="shared" si="260"/>
        <v>Min Mz</v>
      </c>
      <c r="H142" s="196" t="str">
        <f t="shared" si="260"/>
        <v>Internal</v>
      </c>
      <c r="I142" s="311">
        <v>0</v>
      </c>
      <c r="J142" s="312">
        <f t="shared" si="261"/>
        <v>-25.42411119424316</v>
      </c>
      <c r="K142" s="312">
        <f t="shared" si="261"/>
        <v>-240.7381067864753</v>
      </c>
      <c r="L142" s="312">
        <f t="shared" si="261"/>
        <v>-48.730843365664562</v>
      </c>
      <c r="M142" s="312">
        <f t="shared" si="261"/>
        <v>-155.0995403540166</v>
      </c>
      <c r="N142" s="312">
        <f>IF(I142*J142&gt;=0,J142*$J$19+I142*$J$18,J142)</f>
        <v>-25.42411119424316</v>
      </c>
      <c r="O142" s="312">
        <f>(K142)*$J$19</f>
        <v>-240.7381067864753</v>
      </c>
      <c r="P142" s="313">
        <f>IF(I142*L142&gt;=0,(L142)+I142,L142)</f>
        <v>-48.730843365664562</v>
      </c>
      <c r="Q142" s="314">
        <f>(M142)</f>
        <v>-155.0995403540166</v>
      </c>
      <c r="R142" s="315">
        <f t="shared" si="262"/>
        <v>600</v>
      </c>
      <c r="S142" s="316"/>
      <c r="T142" s="317">
        <v>13</v>
      </c>
      <c r="U142" s="191"/>
      <c r="V142" s="191"/>
      <c r="W142" s="317"/>
      <c r="X142" s="191"/>
      <c r="Y142" s="191"/>
      <c r="Z142" s="317"/>
      <c r="AA142" s="191"/>
      <c r="AB142" s="191"/>
      <c r="AC142" s="317"/>
      <c r="AD142" s="191"/>
      <c r="AE142" s="191"/>
      <c r="AF142" s="317"/>
      <c r="AG142" s="191"/>
      <c r="AH142" s="191"/>
      <c r="AI142" s="318"/>
      <c r="AJ142" s="196">
        <f>PI()/4*T142^2*$O$12/$AX$16</f>
        <v>884.88193076112498</v>
      </c>
      <c r="AK142" s="191" t="str">
        <f>IF(W142=0,"","+")</f>
        <v/>
      </c>
      <c r="AL142" s="196">
        <f>PI()/4*W142^2*$O$12/$AX$16</f>
        <v>0</v>
      </c>
      <c r="AM142" s="191" t="str">
        <f>IF(Z142=0,"","+")</f>
        <v/>
      </c>
      <c r="AN142" s="196">
        <f>PI()/4*Z142^2*$O$12/$AX$16</f>
        <v>0</v>
      </c>
      <c r="AO142" s="191" t="str">
        <f>IF(AC142=0,"","+")</f>
        <v/>
      </c>
      <c r="AP142" s="196">
        <f>PI()/4*AC142^2*$O$12/$AX$16</f>
        <v>0</v>
      </c>
      <c r="AQ142" s="191" t="str">
        <f>IF(AF142=0,"","+")</f>
        <v/>
      </c>
      <c r="AR142" s="196">
        <f>PI()/4*AF142^2*$O$12/$AX$16</f>
        <v>0</v>
      </c>
      <c r="AS142" s="191" t="str">
        <f>IF(AI142=0,"","+")</f>
        <v/>
      </c>
      <c r="AT142" s="196">
        <f>PI()/4*AI142^2*$O$12/$AX$16</f>
        <v>0</v>
      </c>
      <c r="AU142" s="191" t="s">
        <v>24</v>
      </c>
      <c r="AV142" s="319">
        <f>VALUE(AJ142)+VALUE(AL142)+VALUE(AN142)+VALUE(AP142)+VALUE(AR142)+VALUE(AT142)</f>
        <v>884.88193076112498</v>
      </c>
      <c r="AW142" s="320">
        <f>MAX(0.3*$AJ$14^(2/3)/$AJ$16*0.26*100,0.13)</f>
        <v>0.15723814702688016</v>
      </c>
      <c r="AX142" s="196">
        <f>AW142/100*$O$12*BK142</f>
        <v>802.70074057222325</v>
      </c>
      <c r="AY142" s="196"/>
      <c r="AZ142" s="196"/>
      <c r="BA142" s="321" t="str">
        <f>IF(BB142=0,"","+")</f>
        <v/>
      </c>
      <c r="BB142" s="321"/>
      <c r="BC142" s="191" t="s">
        <v>24</v>
      </c>
      <c r="BD142" s="319">
        <f>AX142+AZ142+BB142</f>
        <v>802.70074057222325</v>
      </c>
      <c r="BE142" s="322">
        <f>(R142-($AX$14+$O$16+T142/2))</f>
        <v>510.5</v>
      </c>
      <c r="BF142" s="314">
        <f>IF(W142=0,0,(R142-($AX$14+T142/2+$O$16+$BI$16)))</f>
        <v>0</v>
      </c>
      <c r="BG142" s="314">
        <f>IF(Z142=0,0,(R142-($AX$14+T142/2+$BI$16+$O$16+$BI$17)))</f>
        <v>0</v>
      </c>
      <c r="BH142" s="314">
        <f>IF(AC142=0,0,(R142-($AX$14+T142/2+$O$16+$BI$16+$BI$17+$BI$18)))</f>
        <v>0</v>
      </c>
      <c r="BI142" s="314">
        <f>IF(AF142=0,0,(R142-($AX$14+T142/2+$O$16+$BI$16+$BI$17+$BI$18+$BL$16)))</f>
        <v>0</v>
      </c>
      <c r="BJ142" s="314">
        <f>IF(AI142=0,0,(R142-($AX$14+T142/2+$O$16+$BI$16+$BI$17+$BI$18+$BL$16+$BL$17)))</f>
        <v>0</v>
      </c>
      <c r="BK142" s="196">
        <f>(BE142*AJ142+BF142*AL142+BG142*AN142+BH142*AP142+BI142*AR142+BJ142*AT142)/AV142</f>
        <v>510.5</v>
      </c>
      <c r="BL142" s="323">
        <f>ABS(N142)*1000000/$O$12/BK142^2</f>
        <v>9.7556067707402758E-2</v>
      </c>
      <c r="BM142" s="323">
        <f>BL142/$AJ$14</f>
        <v>3.0486271158563362E-3</v>
      </c>
      <c r="BN142" s="324">
        <f>IF(BM142&lt;0.167,0.5+SQRT(0.25-(BM142/1.134)),0.82)</f>
        <v>0.99730434976978666</v>
      </c>
      <c r="BO142" s="319">
        <f>ABS(N142)/(0.87*$AJ$16*BN142*BK142)*10^6</f>
        <v>114.79766715013203</v>
      </c>
      <c r="BP142" s="325">
        <v>1846.067497130573</v>
      </c>
      <c r="BQ142" s="323">
        <f>IF(Q142=0,2*ABS(P142*10^6)/$O$12/BP142/(BK142-BP142/3),Q142*BP142*1000/($O$12/2*BP142^2-(BE142-BP142)*AJ142*$AJ$18-(BF142-BP142)*AL142*$AJ$18-(BG142-BP142)*AN142*$AJ$18-(BH142-BP142)*AP142*$AJ$18-(BI142-BP142)*AR142*$AJ$18-(BJ142-BP142)*AT142*$AJ$18))</f>
        <v>-0.16616606148042845</v>
      </c>
      <c r="BR142" s="314">
        <f>0.5*$O$12*BP142*BQ142 /1000</f>
        <v>-153.37688261260973</v>
      </c>
      <c r="BS142" s="314">
        <f>($BQ142/$BP142)*(BE142-$BP142)*$AJ$18*AJ142/1000</f>
        <v>1.7226577414068229</v>
      </c>
      <c r="BT142" s="314">
        <f>($BQ142/$BP142)*(BF142-$BP142)*$AJ$18*AL142/1000</f>
        <v>0</v>
      </c>
      <c r="BU142" s="314">
        <f>($BQ142/$BP142)*(BG142-$BP142)*$AJ$18*AN142/1000</f>
        <v>0</v>
      </c>
      <c r="BV142" s="314">
        <f>($BQ142/$BP142)*(BH142-$BP142)*$AJ$18*AP142/1000</f>
        <v>0</v>
      </c>
      <c r="BW142" s="314">
        <f>($BQ142/$BP142)*(BI142-$BP142)*$AJ$18*AR142/1000</f>
        <v>0</v>
      </c>
      <c r="BX142" s="314">
        <f>($BQ142/$BP142)*(BJ142-$BP142)*$AJ$18*AT142/1000</f>
        <v>0</v>
      </c>
      <c r="BY142" s="323">
        <f>IF(Q142=0,0,(0.5*$O$12*BP142*BQ142/1000*(R142/2-$BP142/3)+BS142*(BE142-R142/2)+BT142*(BF142-R142/2)+BU142*(BG142-R142/2)+BV142*(BH142-R142/2)+BW142*(BI142-R142/2)+BX142*(BJ142-R142/2))/1000-ABS(P142))</f>
        <v>7.0572568695581595E-5</v>
      </c>
      <c r="BZ142" s="312"/>
      <c r="CA142" s="326">
        <f>ABS(P142)/(BK142-BP142/3)/AV142*10^6-Q142*(R142/2-BP142/3)/(BK142-BP142/3)/AV142*1000</f>
        <v>1.9475262465044807</v>
      </c>
      <c r="CB142" s="327">
        <f>(AV142/($O$12*MIN(2.5*(R142-BK142),(R142-BP142)/3,R142/2)-AV142))</f>
        <v>-2.1258899005904583E-3</v>
      </c>
      <c r="CC142" s="327">
        <f>3.4*($O$16+$AX$14)+0.425*0.8*0.5*(T142^2+W142^2+Z142^2+AC142^2+AF142^2+AI142^2)/(T142+W142+Z142+AC142+AF142+AI142)/CB142</f>
        <v>-757.36465449418642</v>
      </c>
      <c r="CD142" s="327">
        <f>MAX(0.6*CA142/$AJ$17,(CA142-0.4*0.3*$AJ$14^(2/3)/CB142*(1+$AJ$17/$AJ$15*CB142))/$AJ$17)</f>
        <v>2.7565506920373952</v>
      </c>
      <c r="CE142" s="328">
        <f>CC142*CD142/1000</f>
        <v>-2.0877140624706123</v>
      </c>
      <c r="CF142" s="316" t="str">
        <f>IF(AND(AV142&gt;=BD142,AV142&gt;=BO142,CE142&lt;=(+IF(CO142="External",0.25,0.3))),"O.K", "Not O.K")</f>
        <v>O.K</v>
      </c>
      <c r="CG142" s="191"/>
      <c r="CH142" s="329" t="str">
        <f>IF(O142&lt;0.2*$AJ$14*R142*$O$12/1000,"N &lt; 0.2fckAc - OK!","TBA")</f>
        <v>N &lt; 0.2fckAc - OK!</v>
      </c>
      <c r="CI142" s="321">
        <v>130</v>
      </c>
      <c r="CJ142" s="330"/>
      <c r="CK142" s="196">
        <f>CU142</f>
        <v>106</v>
      </c>
      <c r="CL142" s="191" t="s">
        <v>72</v>
      </c>
      <c r="CM142" s="196">
        <f>CV142</f>
        <v>206</v>
      </c>
      <c r="CN142" s="331" t="s">
        <v>148</v>
      </c>
      <c r="CO142" s="15" t="str">
        <f>IF(VLOOKUP(CI142,'Summary-input'!A:C,3,0)="Outward",
IF(CP142&lt;0,"External","Internal"),
IF(CP142&lt;0,"Internal","External")
)</f>
        <v>Internal</v>
      </c>
      <c r="CP142">
        <v>-25.42411119424316</v>
      </c>
      <c r="CQ142">
        <v>-240.7381067864753</v>
      </c>
      <c r="CR142" s="314">
        <v>-48.730843365664562</v>
      </c>
      <c r="CS142" s="314">
        <v>-155.0995403540166</v>
      </c>
      <c r="CT142" s="315">
        <v>600</v>
      </c>
      <c r="CU142" s="322">
        <v>106</v>
      </c>
      <c r="CV142" s="319">
        <v>206</v>
      </c>
      <c r="CW142" s="196"/>
      <c r="CX142" s="332"/>
      <c r="CY142" s="196"/>
      <c r="CZ142" s="196"/>
      <c r="DA142" s="196"/>
      <c r="DB142" s="196"/>
      <c r="DC142" s="196"/>
      <c r="DD142" s="196"/>
      <c r="DE142" s="196"/>
      <c r="DF142" s="196"/>
      <c r="DG142" s="196"/>
      <c r="DH142" s="196"/>
      <c r="DI142" s="196"/>
      <c r="DJ142" s="334"/>
      <c r="DK142" s="194"/>
      <c r="DL142" s="194"/>
      <c r="DM142" s="197"/>
      <c r="DN142" s="333">
        <f>IF(CO142="external",T142,0)</f>
        <v>0</v>
      </c>
      <c r="DO142" s="333">
        <f>IF(CO142="external",W142,0)</f>
        <v>0</v>
      </c>
      <c r="DP142" s="333">
        <f>IF(CO142="external",Z142,0)</f>
        <v>0</v>
      </c>
      <c r="DQ142" s="333">
        <f>IF(CO142="external",AC142,0)</f>
        <v>0</v>
      </c>
      <c r="DR142" s="333">
        <f>IF(CO142="external",AF142,0)</f>
        <v>0</v>
      </c>
      <c r="DS142" s="200">
        <f>IF(CO142="external",AI142,0)</f>
        <v>0</v>
      </c>
      <c r="DT142" s="198"/>
      <c r="DU142" s="200">
        <f>IF(CO142="internal",T142,0)</f>
        <v>13</v>
      </c>
      <c r="DV142" s="200">
        <f>IF(CO142="internal",W142,0)</f>
        <v>0</v>
      </c>
      <c r="DW142" s="200">
        <f>IF(CO142="internal",Z142,0)</f>
        <v>0</v>
      </c>
      <c r="DX142" s="200">
        <f>IF(CO142="internal",AC142,0)</f>
        <v>0</v>
      </c>
      <c r="DY142" s="200">
        <f>IF(CO142="internal",AF142,0)</f>
        <v>0</v>
      </c>
      <c r="DZ142" s="200">
        <f>IF(CO142="internal",AI142,0)</f>
        <v>0</v>
      </c>
    </row>
    <row r="143" spans="1:130" s="189" customFormat="1" x14ac:dyDescent="0.3">
      <c r="B143" s="309">
        <f>+CI143</f>
        <v>130</v>
      </c>
      <c r="C143" s="196">
        <f t="shared" si="259"/>
        <v>0</v>
      </c>
      <c r="D143" s="196">
        <f t="shared" si="259"/>
        <v>104</v>
      </c>
      <c r="E143" s="196" t="str">
        <f t="shared" si="259"/>
        <v>--</v>
      </c>
      <c r="F143" s="196">
        <f>+CM143</f>
        <v>204</v>
      </c>
      <c r="G143" s="310" t="str">
        <f t="shared" si="260"/>
        <v>Max Fx</v>
      </c>
      <c r="H143" s="196" t="str">
        <f t="shared" si="260"/>
        <v>Internal</v>
      </c>
      <c r="I143" s="311">
        <v>0</v>
      </c>
      <c r="J143" s="312">
        <f t="shared" si="261"/>
        <v>-229.78635606924288</v>
      </c>
      <c r="K143" s="312">
        <f t="shared" si="261"/>
        <v>-771.81977348050441</v>
      </c>
      <c r="L143" s="312">
        <f t="shared" si="261"/>
        <v>-168.2120113120088</v>
      </c>
      <c r="M143" s="312">
        <f t="shared" si="261"/>
        <v>-499.00917980318826</v>
      </c>
      <c r="N143" s="312">
        <f>IF(I143*J143&gt;=0,J143*$J$19+I143*$J$18,J143)</f>
        <v>-229.78635606924288</v>
      </c>
      <c r="O143" s="312">
        <f>(K143)*$J$19</f>
        <v>-771.81977348050441</v>
      </c>
      <c r="P143" s="313">
        <f>IF(I143*L143&gt;=0,(L143)+I143,L143)</f>
        <v>-168.2120113120088</v>
      </c>
      <c r="Q143" s="314">
        <f>(M143)</f>
        <v>-499.00917980318826</v>
      </c>
      <c r="R143" s="315">
        <f t="shared" si="262"/>
        <v>600</v>
      </c>
      <c r="S143" s="316"/>
      <c r="T143" s="317">
        <v>16</v>
      </c>
      <c r="U143" s="191"/>
      <c r="V143" s="191"/>
      <c r="W143" s="317"/>
      <c r="X143" s="191"/>
      <c r="Y143" s="191"/>
      <c r="Z143" s="317"/>
      <c r="AA143" s="191"/>
      <c r="AB143" s="191"/>
      <c r="AC143" s="317"/>
      <c r="AD143" s="191"/>
      <c r="AE143" s="191"/>
      <c r="AF143" s="317"/>
      <c r="AG143" s="191"/>
      <c r="AH143" s="191"/>
      <c r="AI143" s="318"/>
      <c r="AJ143" s="196">
        <f>PI()/4*T143^2*$O$12/$AX$16</f>
        <v>1340.4128655316449</v>
      </c>
      <c r="AK143" s="191" t="str">
        <f>IF(W143=0,"","+")</f>
        <v/>
      </c>
      <c r="AL143" s="196">
        <f>PI()/4*W143^2*$O$12/$AX$16</f>
        <v>0</v>
      </c>
      <c r="AM143" s="191" t="str">
        <f>IF(Z143=0,"","+")</f>
        <v/>
      </c>
      <c r="AN143" s="196">
        <f>PI()/4*Z143^2*$O$12/$AX$16</f>
        <v>0</v>
      </c>
      <c r="AO143" s="191" t="str">
        <f>IF(AC143=0,"","+")</f>
        <v/>
      </c>
      <c r="AP143" s="196">
        <f>PI()/4*AC143^2*$O$12/$AX$16</f>
        <v>0</v>
      </c>
      <c r="AQ143" s="191" t="str">
        <f>IF(AF143=0,"","+")</f>
        <v/>
      </c>
      <c r="AR143" s="196">
        <f>PI()/4*AF143^2*$O$12/$AX$16</f>
        <v>0</v>
      </c>
      <c r="AS143" s="191" t="str">
        <f>IF(AI143=0,"","+")</f>
        <v/>
      </c>
      <c r="AT143" s="196">
        <f>PI()/4*AI143^2*$O$12/$AX$16</f>
        <v>0</v>
      </c>
      <c r="AU143" s="191" t="s">
        <v>24</v>
      </c>
      <c r="AV143" s="319">
        <f>VALUE(AJ143)+VALUE(AL143)+VALUE(AN143)+VALUE(AP143)+VALUE(AR143)+VALUE(AT143)</f>
        <v>1340.4128655316449</v>
      </c>
      <c r="AW143" s="320">
        <f>MAX(0.3*$AJ$14^(2/3)/$AJ$16*0.26*100,0.13)</f>
        <v>0.15723814702688016</v>
      </c>
      <c r="AX143" s="196">
        <f>AW143/100*$O$12*BK143</f>
        <v>800.34216836682015</v>
      </c>
      <c r="AY143" s="196"/>
      <c r="AZ143" s="196"/>
      <c r="BA143" s="321" t="str">
        <f>IF(BB143=0,"","+")</f>
        <v/>
      </c>
      <c r="BB143" s="321"/>
      <c r="BC143" s="191" t="s">
        <v>24</v>
      </c>
      <c r="BD143" s="319">
        <f>AX143+AZ143+BB143</f>
        <v>800.34216836682015</v>
      </c>
      <c r="BE143" s="322">
        <f>(R143-($AX$14+$O$16+T143/2))</f>
        <v>509</v>
      </c>
      <c r="BF143" s="314">
        <f>IF(W143=0,0,(R143-($AX$14+T143/2+$O$16+$BI$16)))</f>
        <v>0</v>
      </c>
      <c r="BG143" s="314">
        <f>IF(Z143=0,0,(R143-($AX$14+T143/2+$BI$16+$O$16+$BI$17)))</f>
        <v>0</v>
      </c>
      <c r="BH143" s="314">
        <f>IF(AC143=0,0,(R143-($AX$14+T143/2+$O$16+$BI$16+$BI$17+$BI$18)))</f>
        <v>0</v>
      </c>
      <c r="BI143" s="314">
        <f>IF(AF143=0,0,(R143-($AX$14+T143/2+$O$16+$BI$16+$BI$17+$BI$18+$BL$16)))</f>
        <v>0</v>
      </c>
      <c r="BJ143" s="314">
        <f>IF(AI143=0,0,(R143-($AX$14+T143/2+$O$16+$BI$16+$BI$17+$BI$18+$BL$16+$BL$17)))</f>
        <v>0</v>
      </c>
      <c r="BK143" s="196">
        <f>(BE143*AJ143+BF143*AL143+BG143*AN143+BH143*AP143+BI143*AR143+BJ143*AT143)/AV143</f>
        <v>509.00000000000006</v>
      </c>
      <c r="BL143" s="323">
        <f>ABS(N143)*1000000/$O$12/BK143^2</f>
        <v>0.88692862876568657</v>
      </c>
      <c r="BM143" s="323">
        <f>BL143/$AJ$14</f>
        <v>2.7716519648927705E-2</v>
      </c>
      <c r="BN143" s="324">
        <f>IF(BM143&lt;0.167,0.5+SQRT(0.25-(BM143/1.134)),0.82)</f>
        <v>0.97493012606931129</v>
      </c>
      <c r="BO143" s="319">
        <f>ABS(N143)/(0.87*$AJ$16*BN143*BK143)*10^6</f>
        <v>1064.4952019889374</v>
      </c>
      <c r="BP143" s="325">
        <v>1917.66875285591</v>
      </c>
      <c r="BQ143" s="323">
        <f>IF(Q143=0,2*ABS(P143*10^6)/$O$12/BP143/(BK143-BP143/3),Q143*BP143*1000/($O$12/2*BP143^2-(BE143-BP143)*AJ143*$AJ$18-(BF143-BP143)*AL143*$AJ$18-(BG143-BP143)*AN143*$AJ$18-(BH143-BP143)*AP143*$AJ$18-(BI143-BP143)*AR143*$AJ$18-(BJ143-BP143)*AT143*$AJ$18))</f>
        <v>-0.5119200776126871</v>
      </c>
      <c r="BR143" s="314">
        <f>0.5*$O$12*BP143*BQ143 /1000</f>
        <v>-490.84656839871116</v>
      </c>
      <c r="BS143" s="314">
        <f>($BQ143/$BP143)*(BE143-$BP143)*$AJ$18*AJ143/1000</f>
        <v>8.1626114044771256</v>
      </c>
      <c r="BT143" s="314">
        <f>($BQ143/$BP143)*(BF143-$BP143)*$AJ$18*AL143/1000</f>
        <v>0</v>
      </c>
      <c r="BU143" s="314">
        <f>($BQ143/$BP143)*(BG143-$BP143)*$AJ$18*AN143/1000</f>
        <v>0</v>
      </c>
      <c r="BV143" s="314">
        <f>($BQ143/$BP143)*(BH143-$BP143)*$AJ$18*AP143/1000</f>
        <v>0</v>
      </c>
      <c r="BW143" s="314">
        <f>($BQ143/$BP143)*(BI143-$BP143)*$AJ$18*AR143/1000</f>
        <v>0</v>
      </c>
      <c r="BX143" s="314">
        <f>($BQ143/$BP143)*(BJ143-$BP143)*$AJ$18*AT143/1000</f>
        <v>0</v>
      </c>
      <c r="BY143" s="323">
        <f>IF(Q143=0,0,(0.5*$O$12*BP143*BQ143/1000*(R143/2-$BP143/3)+BS143*(BE143-R143/2)+BT143*(BF143-R143/2)+BU143*(BG143-R143/2)+BV143*(BH143-R143/2)+BW143*(BI143-R143/2)+BX143*(BJ143-R143/2))/1000-ABS(P143))</f>
        <v>3.7950683341136937E-4</v>
      </c>
      <c r="BZ143" s="312"/>
      <c r="CA143" s="326">
        <f>ABS(P143)/(BK143-BP143/3)/AV143*10^6-Q143*(R143/2-BP143/3)/(BK143-BP143/3)/AV143*1000</f>
        <v>6.0917989527783902</v>
      </c>
      <c r="CB143" s="327">
        <f>(AV143/($O$12*MIN(2.5*(R143-BK143),(R143-BP143)/3,R143/2)-AV143))</f>
        <v>-3.0424975770420204E-3</v>
      </c>
      <c r="CC143" s="327">
        <f>3.4*($O$16+$AX$14)+0.425*0.8*0.5*(T143^2+W143^2+Z143^2+AC143^2+AF143^2+AI143^2)/(T143+W143+Z143+AC143+AF143+AI143)/CB143</f>
        <v>-611.80235534269218</v>
      </c>
      <c r="CD143" s="327">
        <f>MAX(0.6*CA143/$AJ$17,(CA143-0.4*0.3*$AJ$14^(2/3)/CB143*(1+$AJ$17/$AJ$15*CB143))/$AJ$17)</f>
        <v>1.9202400327440736</v>
      </c>
      <c r="CE143" s="328">
        <f>CC143*CD143/1000</f>
        <v>-1.1748073748561525</v>
      </c>
      <c r="CF143" s="316" t="str">
        <f>IF(AND(AV143&gt;=BD143,AV143&gt;=BO143,CE143&lt;=(+IF(CO143="External",0.25,0.3))),"O.K", "Not O.K")</f>
        <v>O.K</v>
      </c>
      <c r="CG143" s="191"/>
      <c r="CH143" s="329" t="str">
        <f>IF(O143&lt;0.2*$AJ$14*R143*$O$12/1000,"N &lt; 0.2fckAc - OK!","TBA")</f>
        <v>N &lt; 0.2fckAc - OK!</v>
      </c>
      <c r="CI143" s="321">
        <v>130</v>
      </c>
      <c r="CJ143" s="330"/>
      <c r="CK143" s="196">
        <f>CU143</f>
        <v>104</v>
      </c>
      <c r="CL143" s="191" t="s">
        <v>72</v>
      </c>
      <c r="CM143" s="196">
        <f>CV143</f>
        <v>204</v>
      </c>
      <c r="CN143" s="331" t="s">
        <v>145</v>
      </c>
      <c r="CO143" s="15" t="str">
        <f>IF(VLOOKUP(CI143,'Summary-input'!A:C,3,0)="Outward",
IF(CP143&lt;0,"External","Internal"),
IF(CP143&lt;0,"Internal","External")
)</f>
        <v>Internal</v>
      </c>
      <c r="CP143">
        <v>-229.78635606924288</v>
      </c>
      <c r="CQ143">
        <v>-771.81977348050441</v>
      </c>
      <c r="CR143" s="314">
        <v>-168.2120113120088</v>
      </c>
      <c r="CS143" s="314">
        <v>-499.00917980318826</v>
      </c>
      <c r="CT143" s="315">
        <v>600</v>
      </c>
      <c r="CU143" s="322">
        <v>104</v>
      </c>
      <c r="CV143" s="319">
        <v>204</v>
      </c>
      <c r="CW143" s="196"/>
      <c r="CX143" s="332"/>
      <c r="CY143" s="196"/>
      <c r="CZ143" s="196"/>
      <c r="DA143" s="196"/>
      <c r="DB143" s="196"/>
      <c r="DC143" s="196"/>
      <c r="DD143" s="196"/>
      <c r="DE143" s="196"/>
      <c r="DF143" s="196"/>
      <c r="DG143" s="196"/>
      <c r="DH143" s="196"/>
      <c r="DI143" s="196"/>
      <c r="DJ143" s="334"/>
      <c r="DK143" s="194"/>
      <c r="DL143" s="194"/>
      <c r="DM143" s="197"/>
      <c r="DN143" s="333">
        <f>IF(CO143="external",T143,0)</f>
        <v>0</v>
      </c>
      <c r="DO143" s="333">
        <f>IF(CO143="external",W143,0)</f>
        <v>0</v>
      </c>
      <c r="DP143" s="333">
        <f>IF(CO143="external",Z143,0)</f>
        <v>0</v>
      </c>
      <c r="DQ143" s="333">
        <f>IF(CO143="external",AC143,0)</f>
        <v>0</v>
      </c>
      <c r="DR143" s="333">
        <f>IF(CO143="external",AF143,0)</f>
        <v>0</v>
      </c>
      <c r="DS143" s="200">
        <f>IF(CO143="external",AI143,0)</f>
        <v>0</v>
      </c>
      <c r="DT143" s="198"/>
      <c r="DU143" s="200">
        <f>IF(CO143="internal",T143,0)</f>
        <v>16</v>
      </c>
      <c r="DV143" s="200">
        <f>IF(CO143="internal",W143,0)</f>
        <v>0</v>
      </c>
      <c r="DW143" s="200">
        <f>IF(CO143="internal",Z143,0)</f>
        <v>0</v>
      </c>
      <c r="DX143" s="200">
        <f>IF(CO143="internal",AC143,0)</f>
        <v>0</v>
      </c>
      <c r="DY143" s="200">
        <f>IF(CO143="internal",AF143,0)</f>
        <v>0</v>
      </c>
      <c r="DZ143" s="200">
        <f>IF(CO143="internal",AI143,0)</f>
        <v>0</v>
      </c>
    </row>
    <row r="144" spans="1:130" s="189" customFormat="1" ht="15" thickBot="1" x14ac:dyDescent="0.35">
      <c r="B144" s="335">
        <f>+CI144</f>
        <v>130</v>
      </c>
      <c r="C144" s="336">
        <f t="shared" si="259"/>
        <v>0</v>
      </c>
      <c r="D144" s="336">
        <f t="shared" si="259"/>
        <v>103</v>
      </c>
      <c r="E144" s="336" t="str">
        <f t="shared" si="259"/>
        <v>--</v>
      </c>
      <c r="F144" s="336">
        <f>+CM144</f>
        <v>203</v>
      </c>
      <c r="G144" s="337" t="str">
        <f t="shared" si="260"/>
        <v>Min Fx</v>
      </c>
      <c r="H144" s="336" t="str">
        <f t="shared" si="260"/>
        <v>Internal</v>
      </c>
      <c r="I144" s="338">
        <v>0</v>
      </c>
      <c r="J144" s="339">
        <f t="shared" si="261"/>
        <v>-339.95966222919003</v>
      </c>
      <c r="K144" s="339">
        <f t="shared" si="261"/>
        <v>70.020541843284292</v>
      </c>
      <c r="L144" s="339">
        <f t="shared" si="261"/>
        <v>-249.37523595913919</v>
      </c>
      <c r="M144" s="339">
        <f t="shared" si="261"/>
        <v>53.611735997494002</v>
      </c>
      <c r="N144" s="339">
        <f>IF(I144*J144&gt;=0,J144*$J$19+I144*$J$18,J144)</f>
        <v>-339.95966222919003</v>
      </c>
      <c r="O144" s="339">
        <f>(K144)*$J$19</f>
        <v>70.020541843284292</v>
      </c>
      <c r="P144" s="340">
        <f>IF(I144*L144&gt;=0,(L144)+I144,L144)</f>
        <v>-249.37523595913919</v>
      </c>
      <c r="Q144" s="341">
        <f>(M144)</f>
        <v>53.611735997494002</v>
      </c>
      <c r="R144" s="342">
        <f t="shared" si="262"/>
        <v>600</v>
      </c>
      <c r="S144" s="343"/>
      <c r="T144" s="344">
        <v>25</v>
      </c>
      <c r="U144" s="345"/>
      <c r="V144" s="345"/>
      <c r="W144" s="344"/>
      <c r="X144" s="345"/>
      <c r="Y144" s="345"/>
      <c r="Z144" s="344"/>
      <c r="AA144" s="345"/>
      <c r="AB144" s="345"/>
      <c r="AC144" s="344"/>
      <c r="AD144" s="345"/>
      <c r="AE144" s="345"/>
      <c r="AF144" s="344"/>
      <c r="AG144" s="345"/>
      <c r="AH144" s="345"/>
      <c r="AI144" s="346"/>
      <c r="AJ144" s="336">
        <f>PI()/4*T144^2*$O$12/$AX$16</f>
        <v>3272.4923474893681</v>
      </c>
      <c r="AK144" s="345" t="str">
        <f>IF(W144=0,"","+")</f>
        <v/>
      </c>
      <c r="AL144" s="336">
        <f>PI()/4*W144^2*$O$12/$AX$16</f>
        <v>0</v>
      </c>
      <c r="AM144" s="345" t="str">
        <f>IF(Z144=0,"","+")</f>
        <v/>
      </c>
      <c r="AN144" s="336">
        <f>PI()/4*Z144^2*$O$12/$AX$16</f>
        <v>0</v>
      </c>
      <c r="AO144" s="345" t="str">
        <f>IF(AC144=0,"","+")</f>
        <v/>
      </c>
      <c r="AP144" s="336">
        <f>PI()/4*AC144^2*$O$12/$AX$16</f>
        <v>0</v>
      </c>
      <c r="AQ144" s="345" t="str">
        <f>IF(AF144=0,"","+")</f>
        <v/>
      </c>
      <c r="AR144" s="336">
        <f>PI()/4*AF144^2*$O$12/$AX$16</f>
        <v>0</v>
      </c>
      <c r="AS144" s="345" t="str">
        <f>IF(AI144=0,"","+")</f>
        <v/>
      </c>
      <c r="AT144" s="336">
        <f>PI()/4*AI144^2*$O$12/$AX$16</f>
        <v>0</v>
      </c>
      <c r="AU144" s="345" t="s">
        <v>24</v>
      </c>
      <c r="AV144" s="347">
        <f>VALUE(AJ144)+VALUE(AL144)+VALUE(AN144)+VALUE(AP144)+VALUE(AR144)+VALUE(AT144)</f>
        <v>3272.4923474893681</v>
      </c>
      <c r="AW144" s="348">
        <f>MAX(0.3*$AJ$14^(2/3)/$AJ$16*0.26*100,0.13)</f>
        <v>0.15723814702688016</v>
      </c>
      <c r="AX144" s="336">
        <f>AW144/100*$O$12*BK144</f>
        <v>793.26645175061049</v>
      </c>
      <c r="AY144" s="336"/>
      <c r="AZ144" s="336"/>
      <c r="BA144" s="349" t="str">
        <f>IF(BB144=0,"","+")</f>
        <v/>
      </c>
      <c r="BB144" s="349"/>
      <c r="BC144" s="345" t="s">
        <v>24</v>
      </c>
      <c r="BD144" s="347">
        <f>AX144+AZ144+BB144</f>
        <v>793.26645175061049</v>
      </c>
      <c r="BE144" s="350">
        <f>(R144-($AX$14+$O$16+T144/2))</f>
        <v>504.5</v>
      </c>
      <c r="BF144" s="341">
        <f>IF(W144=0,0,(R144-($AX$14+T144/2+$O$16+$BI$16)))</f>
        <v>0</v>
      </c>
      <c r="BG144" s="341">
        <f>IF(Z144=0,0,(R144-($AX$14+T144/2+$BI$16+$O$16+$BI$17)))</f>
        <v>0</v>
      </c>
      <c r="BH144" s="341">
        <f>IF(AC144=0,0,(R144-($AX$14+T144/2+$O$16+$BI$16+$BI$17+$BI$18)))</f>
        <v>0</v>
      </c>
      <c r="BI144" s="341">
        <f>IF(AF144=0,0,(R144-($AX$14+T144/2+$O$16+$BI$16+$BI$17+$BI$18+$BL$16)))</f>
        <v>0</v>
      </c>
      <c r="BJ144" s="341">
        <f>IF(AI144=0,0,(R144-($AX$14+T144/2+$O$16+$BI$16+$BI$17+$BI$18+$BL$16+$BL$17)))</f>
        <v>0</v>
      </c>
      <c r="BK144" s="336">
        <f>(BE144*AJ144+BF144*AL144+BG144*AN144+BH144*AP144+BI144*AR144+BJ144*AT144)/AV144</f>
        <v>504.5</v>
      </c>
      <c r="BL144" s="351">
        <f>ABS(N144)*1000000/$O$12/BK144^2</f>
        <v>1.3356880728711764</v>
      </c>
      <c r="BM144" s="351">
        <f>BL144/$AJ$14</f>
        <v>4.1740252277224263E-2</v>
      </c>
      <c r="BN144" s="352">
        <f>IF(BM144&lt;0.167,0.5+SQRT(0.25-(BM144/1.134)),0.82)</f>
        <v>0.9617272110155719</v>
      </c>
      <c r="BO144" s="347">
        <f>ABS(N144)/(0.87*$AJ$16*BN144*BK144)*10^6</f>
        <v>1610.7385670884241</v>
      </c>
      <c r="BP144" s="353">
        <v>191.12810292619636</v>
      </c>
      <c r="BQ144" s="351">
        <f>IF(Q144=0,2*ABS(P144*10^6)/$O$12/BP144/(BK144-BP144/3),Q144*BP144*1000/($O$12/2*BP144^2-(BE144-BP144)*AJ144*$AJ$18-(BF144-BP144)*AL144*$AJ$18-(BG144-BP144)*AN144*$AJ$18-(BH144-BP144)*AP144*$AJ$18-(BI144-BP144)*AR144*$AJ$18-(BJ144-BP144)*AT144*$AJ$18))</f>
        <v>6.1803354530496915</v>
      </c>
      <c r="BR144" s="341">
        <f>0.5*$O$12*BP144*BQ144 /1000</f>
        <v>590.61789529445093</v>
      </c>
      <c r="BS144" s="341">
        <f>($BQ144/$BP144)*(BE144-$BP144)*$AJ$18*AJ144/1000</f>
        <v>537.00615929695698</v>
      </c>
      <c r="BT144" s="341">
        <f>($BQ144/$BP144)*(BF144-$BP144)*$AJ$18*AL144/1000</f>
        <v>0</v>
      </c>
      <c r="BU144" s="341">
        <f>($BQ144/$BP144)*(BG144-$BP144)*$AJ$18*AN144/1000</f>
        <v>0</v>
      </c>
      <c r="BV144" s="341">
        <f>($BQ144/$BP144)*(BH144-$BP144)*$AJ$18*AP144/1000</f>
        <v>0</v>
      </c>
      <c r="BW144" s="341">
        <f>($BQ144/$BP144)*(BI144-$BP144)*$AJ$18*AR144/1000</f>
        <v>0</v>
      </c>
      <c r="BX144" s="341">
        <f>($BQ144/$BP144)*(BJ144-$BP144)*$AJ$18*AT144/1000</f>
        <v>0</v>
      </c>
      <c r="BY144" s="351">
        <f>IF(Q144=0,0,(0.5*$O$12*BP144*BQ144/1000*(R144/2-$BP144/3)+BS144*(BE144-R144/2)+BT144*(BF144-R144/2)+BU144*(BG144-R144/2)+BV144*(BH144-R144/2)+BW144*(BI144-R144/2)+BX144*(BJ144-R144/2))/1000-ABS(P144))</f>
        <v>-4.2187329540865903E-7</v>
      </c>
      <c r="BZ144" s="339"/>
      <c r="CA144" s="354">
        <f>ABS(P144)/(BK144-BP144/3)/AV144*10^6-Q144*(R144/2-BP144/3)/(BK144-BP144/3)/AV144*1000</f>
        <v>164.09699496043964</v>
      </c>
      <c r="CB144" s="355">
        <f>(AV144/($O$12*MIN(2.5*(R144-BK144),(R144-BP144)/3,R144/2)-AV144))</f>
        <v>2.460185014790011E-2</v>
      </c>
      <c r="CC144" s="355">
        <f>3.4*($O$16+$AX$14)+0.425*0.8*0.5*(T144^2+W144^2+Z144^2+AC144^2+AF144^2+AI144^2)/(T144+W144+Z144+AC144+AF144+AI144)/CB144</f>
        <v>454.95123514898569</v>
      </c>
      <c r="CD144" s="355">
        <f>MAX(0.6*CA144/$AJ$17,(CA144-0.4*0.3*$AJ$14^(2/3)/CB144*(1+$AJ$17/$AJ$15*CB144))/$AJ$17)</f>
        <v>0.49229098488131889</v>
      </c>
      <c r="CE144" s="356">
        <f>CC144*CD144/1000</f>
        <v>0.22396839162446669</v>
      </c>
      <c r="CF144" s="343" t="str">
        <f>IF(AND(AV144&gt;=BD144,AV144&gt;=BO144,CE144&lt;=(+IF(CO144="External",0.25,0.3))),"O.K", "Not O.K")</f>
        <v>O.K</v>
      </c>
      <c r="CG144" s="345"/>
      <c r="CH144" s="357" t="str">
        <f>IF(O144&lt;0.2*$AJ$14*R144*$O$12/1000,"N &lt; 0.2fckAc - OK!","TBA")</f>
        <v>N &lt; 0.2fckAc - OK!</v>
      </c>
      <c r="CI144" s="321">
        <v>130</v>
      </c>
      <c r="CJ144" s="330"/>
      <c r="CK144" s="196">
        <f>CU144</f>
        <v>103</v>
      </c>
      <c r="CL144" s="191" t="s">
        <v>72</v>
      </c>
      <c r="CM144" s="196">
        <f>CV144</f>
        <v>203</v>
      </c>
      <c r="CN144" s="331" t="s">
        <v>146</v>
      </c>
      <c r="CO144" s="15" t="str">
        <f>IF(VLOOKUP(CI144,'Summary-input'!A:C,3,0)="Outward",
IF(CP144&lt;0,"External","Internal"),
IF(CP144&lt;0,"Internal","External")
)</f>
        <v>Internal</v>
      </c>
      <c r="CP144">
        <v>-339.95966222919003</v>
      </c>
      <c r="CQ144">
        <v>70.020541843284292</v>
      </c>
      <c r="CR144" s="314">
        <v>-249.37523595913919</v>
      </c>
      <c r="CS144" s="314">
        <v>53.611735997494002</v>
      </c>
      <c r="CT144" s="315">
        <v>600</v>
      </c>
      <c r="CU144" s="322">
        <v>103</v>
      </c>
      <c r="CV144" s="319">
        <v>203</v>
      </c>
      <c r="CW144" s="196"/>
      <c r="CX144" s="332"/>
      <c r="CY144" s="196"/>
      <c r="CZ144" s="196"/>
      <c r="DA144" s="196"/>
      <c r="DB144" s="196"/>
      <c r="DC144" s="196"/>
      <c r="DD144" s="196"/>
      <c r="DE144" s="196"/>
      <c r="DF144" s="196"/>
      <c r="DG144" s="196"/>
      <c r="DH144" s="196"/>
      <c r="DI144" s="196"/>
      <c r="DJ144" s="334"/>
      <c r="DK144" s="194"/>
      <c r="DL144" s="194"/>
      <c r="DM144" s="197"/>
      <c r="DN144" s="333">
        <f>IF(CO144="external",T144,0)</f>
        <v>0</v>
      </c>
      <c r="DO144" s="333">
        <f>IF(CO144="external",W144,0)</f>
        <v>0</v>
      </c>
      <c r="DP144" s="333">
        <f>IF(CO144="external",Z144,0)</f>
        <v>0</v>
      </c>
      <c r="DQ144" s="333">
        <f>IF(CO144="external",AC144,0)</f>
        <v>0</v>
      </c>
      <c r="DR144" s="333">
        <f>IF(CO144="external",AF144,0)</f>
        <v>0</v>
      </c>
      <c r="DS144" s="200">
        <f>IF(CO144="external",AI144,0)</f>
        <v>0</v>
      </c>
      <c r="DT144" s="198"/>
      <c r="DU144" s="200">
        <f>IF(CO144="internal",T144,0)</f>
        <v>25</v>
      </c>
      <c r="DV144" s="200">
        <f>IF(CO144="internal",W144,0)</f>
        <v>0</v>
      </c>
      <c r="DW144" s="200">
        <f>IF(CO144="internal",Z144,0)</f>
        <v>0</v>
      </c>
      <c r="DX144" s="200">
        <f>IF(CO144="internal",AC144,0)</f>
        <v>0</v>
      </c>
      <c r="DY144" s="200">
        <f>IF(CO144="internal",AF144,0)</f>
        <v>0</v>
      </c>
      <c r="DZ144" s="200">
        <f>IF(CO144="internal",AI144,0)</f>
        <v>0</v>
      </c>
    </row>
    <row r="145" spans="1:130" s="189" customFormat="1" x14ac:dyDescent="0.3">
      <c r="B145" s="358"/>
      <c r="C145" s="359"/>
      <c r="D145" s="358"/>
      <c r="E145" s="359"/>
      <c r="F145" s="359"/>
      <c r="G145" s="360"/>
      <c r="H145" s="360"/>
      <c r="I145" s="360"/>
      <c r="J145" s="360"/>
      <c r="K145" s="360"/>
      <c r="L145" s="360"/>
      <c r="M145" s="360"/>
      <c r="N145" s="360"/>
      <c r="O145" s="360"/>
      <c r="P145" s="360"/>
      <c r="Q145" s="360"/>
      <c r="R145" s="360"/>
      <c r="S145" s="360"/>
      <c r="T145" s="359"/>
      <c r="U145" s="360"/>
      <c r="V145" s="360"/>
      <c r="W145" s="359"/>
      <c r="X145" s="360"/>
      <c r="Y145" s="360"/>
      <c r="Z145" s="360"/>
      <c r="AA145" s="360"/>
      <c r="AB145" s="360"/>
      <c r="AC145" s="360"/>
      <c r="AD145" s="360"/>
      <c r="AE145" s="360"/>
      <c r="AF145" s="360"/>
      <c r="AG145" s="360"/>
      <c r="AH145" s="360"/>
      <c r="AI145" s="360"/>
      <c r="AJ145" s="360"/>
      <c r="AK145" s="360"/>
      <c r="AL145" s="360"/>
      <c r="AM145" s="360"/>
      <c r="AN145" s="360"/>
      <c r="AO145" s="360"/>
      <c r="AP145" s="360"/>
      <c r="AQ145" s="360"/>
      <c r="AR145" s="360"/>
      <c r="AS145" s="360"/>
      <c r="AT145" s="360"/>
      <c r="AU145" s="360"/>
      <c r="AV145" s="360"/>
      <c r="AW145" s="360"/>
      <c r="AX145" s="360"/>
      <c r="AY145" s="360"/>
      <c r="AZ145" s="360"/>
      <c r="BA145" s="360"/>
      <c r="BB145" s="360"/>
      <c r="BC145" s="360"/>
      <c r="BD145" s="360"/>
      <c r="BE145" s="360"/>
      <c r="BF145" s="360"/>
      <c r="BG145" s="360"/>
      <c r="BH145" s="360"/>
      <c r="BI145" s="360"/>
      <c r="BJ145" s="360"/>
      <c r="BK145" s="360"/>
      <c r="BL145" s="360"/>
      <c r="BM145" s="360"/>
      <c r="BN145" s="360"/>
      <c r="BO145" s="360"/>
      <c r="BP145" s="360"/>
      <c r="BQ145" s="360"/>
      <c r="BR145" s="360"/>
      <c r="BS145" s="360"/>
      <c r="BT145" s="360"/>
      <c r="BU145" s="360"/>
      <c r="BV145" s="360"/>
      <c r="BW145" s="360"/>
      <c r="BX145" s="360"/>
      <c r="BY145" s="360"/>
      <c r="BZ145" s="360"/>
      <c r="CA145" s="360"/>
      <c r="CB145" s="360"/>
      <c r="CC145" s="360"/>
      <c r="CD145" s="360"/>
      <c r="CE145" s="360"/>
      <c r="CI145" s="196"/>
      <c r="CJ145" s="361"/>
      <c r="CN145" s="362"/>
      <c r="CO145" s="15" t="e">
        <f>IF(VLOOKUP(CI145,'Summary-input'!A:C,3,0)="Outward",
IF(CP145&lt;0,"External","Internal"),
IF(CP145&lt;0,"Internal","External")
)</f>
        <v>#N/A</v>
      </c>
      <c r="CP145" t="e">
        <v>#N/A</v>
      </c>
      <c r="CQ145" t="e">
        <v>#N/A</v>
      </c>
      <c r="CR145" s="314" t="e">
        <v>#N/A</v>
      </c>
      <c r="CS145" s="314" t="e">
        <v>#N/A</v>
      </c>
      <c r="CU145" s="322" t="e">
        <v>#N/A</v>
      </c>
      <c r="CV145" s="319" t="e">
        <v>#N/A</v>
      </c>
      <c r="CW145" s="191"/>
      <c r="CX145" s="279"/>
      <c r="DJ145" s="210"/>
      <c r="DM145" s="190"/>
      <c r="DN145" s="191"/>
      <c r="DO145" s="191"/>
      <c r="DP145" s="191"/>
      <c r="DQ145" s="191"/>
      <c r="DR145" s="191"/>
      <c r="DS145" s="191"/>
      <c r="DT145" s="192"/>
      <c r="DU145" s="191"/>
      <c r="DV145" s="191"/>
      <c r="DW145" s="191"/>
      <c r="DX145" s="191"/>
      <c r="DY145" s="191"/>
      <c r="DZ145" s="191"/>
    </row>
    <row r="146" spans="1:130" s="189" customFormat="1" ht="13.8" x14ac:dyDescent="0.25">
      <c r="A146" s="189" t="s">
        <v>141</v>
      </c>
      <c r="B146" s="309">
        <f>+CI146</f>
        <v>134</v>
      </c>
      <c r="C146" s="196">
        <f t="shared" ref="C146:E149" si="265">CJ146</f>
        <v>0</v>
      </c>
      <c r="D146" s="196">
        <f t="shared" si="265"/>
        <v>103</v>
      </c>
      <c r="E146" s="196" t="str">
        <f t="shared" si="265"/>
        <v>--</v>
      </c>
      <c r="F146" s="196">
        <f>+CM146</f>
        <v>203</v>
      </c>
      <c r="G146" s="310" t="str">
        <f t="shared" ref="G146:H149" si="266">CN146</f>
        <v>Max Mz</v>
      </c>
      <c r="H146" s="196" t="str">
        <f t="shared" si="266"/>
        <v>Internal</v>
      </c>
      <c r="I146" s="311">
        <v>0</v>
      </c>
      <c r="J146" s="312">
        <f t="shared" ref="J146:M149" si="267">(CP146)</f>
        <v>-106.50806169395696</v>
      </c>
      <c r="K146" s="312">
        <f t="shared" si="267"/>
        <v>18.398290066572372</v>
      </c>
      <c r="L146" s="312">
        <f t="shared" si="267"/>
        <v>-78.129698017122578</v>
      </c>
      <c r="M146" s="312">
        <f t="shared" si="267"/>
        <v>15.373030977672897</v>
      </c>
      <c r="N146" s="312">
        <f>IF(I146*J146&gt;=0,J146*$J$19+I146*$J$18,J146)</f>
        <v>-106.50806169395696</v>
      </c>
      <c r="O146" s="312">
        <f>(K146)*$J$19</f>
        <v>18.398290066572372</v>
      </c>
      <c r="P146" s="313">
        <f>IF(I146*L146&gt;=0,(L146)+I146,L146)</f>
        <v>-78.129698017122578</v>
      </c>
      <c r="Q146" s="314">
        <f>(M146)</f>
        <v>15.373030977672897</v>
      </c>
      <c r="R146" s="315">
        <f t="shared" ref="R146:R149" si="268">CT146</f>
        <v>600</v>
      </c>
      <c r="S146" s="316"/>
      <c r="T146" s="317">
        <v>16</v>
      </c>
      <c r="U146" s="191"/>
      <c r="V146" s="191"/>
      <c r="W146" s="317"/>
      <c r="X146" s="191"/>
      <c r="Y146" s="191"/>
      <c r="Z146" s="317"/>
      <c r="AA146" s="191"/>
      <c r="AB146" s="191"/>
      <c r="AC146" s="317"/>
      <c r="AD146" s="191"/>
      <c r="AE146" s="191"/>
      <c r="AF146" s="317"/>
      <c r="AG146" s="191"/>
      <c r="AH146" s="191"/>
      <c r="AI146" s="318"/>
      <c r="AJ146" s="196">
        <f>PI()/4*T146^2*$O$12/$AX$16</f>
        <v>1340.4128655316449</v>
      </c>
      <c r="AK146" s="191" t="str">
        <f>IF(W146=0,"","+")</f>
        <v/>
      </c>
      <c r="AL146" s="196">
        <f>PI()/4*W146^2*$O$12/$AX$16</f>
        <v>0</v>
      </c>
      <c r="AM146" s="191" t="str">
        <f>IF(Z146=0,"","+")</f>
        <v/>
      </c>
      <c r="AN146" s="196">
        <f>PI()/4*Z146^2*$O$12/$AX$16</f>
        <v>0</v>
      </c>
      <c r="AO146" s="191" t="str">
        <f>IF(AC146=0,"","+")</f>
        <v/>
      </c>
      <c r="AP146" s="196">
        <f>PI()/4*AC146^2*$O$12/$AX$16</f>
        <v>0</v>
      </c>
      <c r="AQ146" s="191" t="str">
        <f>IF(AF146=0,"","+")</f>
        <v/>
      </c>
      <c r="AR146" s="196">
        <f>PI()/4*AF146^2*$O$12/$AX$16</f>
        <v>0</v>
      </c>
      <c r="AS146" s="191" t="str">
        <f>IF(AI146=0,"","+")</f>
        <v/>
      </c>
      <c r="AT146" s="196">
        <f>PI()/4*AI146^2*$O$12/$AX$16</f>
        <v>0</v>
      </c>
      <c r="AU146" s="191" t="s">
        <v>24</v>
      </c>
      <c r="AV146" s="319">
        <f>VALUE(AJ146)+VALUE(AL146)+VALUE(AN146)+VALUE(AP146)+VALUE(AR146)+VALUE(AT146)</f>
        <v>1340.4128655316449</v>
      </c>
      <c r="AW146" s="320">
        <f>MAX(0.3*$AJ$14^(2/3)/$AJ$16*0.26*100,0.13)</f>
        <v>0.15723814702688016</v>
      </c>
      <c r="AX146" s="196">
        <f>AW146/100*$O$12*BK146</f>
        <v>800.34216836682015</v>
      </c>
      <c r="AY146" s="196"/>
      <c r="AZ146" s="196"/>
      <c r="BA146" s="321" t="str">
        <f>IF(BB146=0,"","+")</f>
        <v/>
      </c>
      <c r="BB146" s="321"/>
      <c r="BC146" s="191" t="s">
        <v>24</v>
      </c>
      <c r="BD146" s="319">
        <f>AX146+AZ146+BB146</f>
        <v>800.34216836682015</v>
      </c>
      <c r="BE146" s="322">
        <f>(R146-($AX$14+$O$16+T146/2))</f>
        <v>509</v>
      </c>
      <c r="BF146" s="314">
        <f>IF(W146=0,0,(R146-($AX$14+T146/2+$O$16+$BI$16)))</f>
        <v>0</v>
      </c>
      <c r="BG146" s="314">
        <f>IF(Z146=0,0,(R146-($AX$14+T146/2+$BI$16+$O$16+$BI$17)))</f>
        <v>0</v>
      </c>
      <c r="BH146" s="314">
        <f>IF(AC146=0,0,(R146-($AX$14+T146/2+$O$16+$BI$16+$BI$17+$BI$18)))</f>
        <v>0</v>
      </c>
      <c r="BI146" s="314">
        <f>IF(AF146=0,0,(R146-($AX$14+T146/2+$O$16+$BI$16+$BI$17+$BI$18+$BL$16)))</f>
        <v>0</v>
      </c>
      <c r="BJ146" s="314">
        <f>IF(AI146=0,0,(R146-($AX$14+T146/2+$O$16+$BI$16+$BI$17+$BI$18+$BL$16+$BL$17)))</f>
        <v>0</v>
      </c>
      <c r="BK146" s="196">
        <f>(BE146*AJ146+BF146*AL146+BG146*AN146+BH146*AP146+BI146*AR146+BJ146*AT146)/AV146</f>
        <v>509.00000000000006</v>
      </c>
      <c r="BL146" s="323">
        <f>ABS(N146)*1000000/$O$12/BK146^2</f>
        <v>0.41109946964060251</v>
      </c>
      <c r="BM146" s="323">
        <f>BL146/$AJ$14</f>
        <v>1.2846858426268828E-2</v>
      </c>
      <c r="BN146" s="324">
        <f>IF(BM146&lt;0.167,0.5+SQRT(0.25-(BM146/1.134)),0.82)</f>
        <v>0.98853986601126276</v>
      </c>
      <c r="BO146" s="319">
        <f>ABS(N146)/(0.87*$AJ$16*BN146*BK146)*10^6</f>
        <v>486.61025096849943</v>
      </c>
      <c r="BP146" s="325">
        <v>133.65254272409527</v>
      </c>
      <c r="BQ146" s="323">
        <f>IF(Q146=0,2*ABS(P146*10^6)/$O$12/BP146/(BK146-BP146/3),Q146*BP146*1000/($O$12/2*BP146^2-(BE146-BP146)*AJ146*$AJ$18-(BF146-BP146)*AL146*$AJ$18-(BG146-BP146)*AN146*$AJ$18-(BH146-BP146)*AP146*$AJ$18-(BI146-BP146)*AR146*$AJ$18-(BJ146-BP146)*AT146*$AJ$18))</f>
        <v>2.6207654223177421</v>
      </c>
      <c r="BR146" s="314">
        <f>0.5*$O$12*BP146*BQ146 /1000</f>
        <v>175.13598128807678</v>
      </c>
      <c r="BS146" s="314">
        <f>($BQ146/$BP146)*(BE146-$BP146)*$AJ$18*AJ146/1000</f>
        <v>159.76295031040388</v>
      </c>
      <c r="BT146" s="314">
        <f>($BQ146/$BP146)*(BF146-$BP146)*$AJ$18*AL146/1000</f>
        <v>0</v>
      </c>
      <c r="BU146" s="314">
        <f>($BQ146/$BP146)*(BG146-$BP146)*$AJ$18*AN146/1000</f>
        <v>0</v>
      </c>
      <c r="BV146" s="314">
        <f>($BQ146/$BP146)*(BH146-$BP146)*$AJ$18*AP146/1000</f>
        <v>0</v>
      </c>
      <c r="BW146" s="314">
        <f>($BQ146/$BP146)*(BI146-$BP146)*$AJ$18*AR146/1000</f>
        <v>0</v>
      </c>
      <c r="BX146" s="314">
        <f>($BQ146/$BP146)*(BJ146-$BP146)*$AJ$18*AT146/1000</f>
        <v>0</v>
      </c>
      <c r="BY146" s="323">
        <f>IF(Q146=0,0,(0.5*$O$12*BP146*BQ146/1000*(R146/2-$BP146/3)+BS146*(BE146-R146/2)+BT146*(BF146-R146/2)+BU146*(BG146-R146/2)+BV146*(BH146-R146/2)+BW146*(BI146-R146/2)+BX146*(BJ146-R146/2))/1000-ABS(P146))</f>
        <v>-9.034230354814099E-4</v>
      </c>
      <c r="BZ146" s="312"/>
      <c r="CA146" s="326">
        <f>ABS(P146)/(BK146-BP146/3)/AV146*10^6-Q146*(R146/2-BP146/3)/(BK146-BP146/3)/AV146*1000</f>
        <v>119.19081021095259</v>
      </c>
      <c r="CB146" s="327">
        <f>(AV146/($O$12*MIN(2.5*(R146-BK146),(R146-BP146)/3,R146/2)-AV146))</f>
        <v>8.6978380938076225E-3</v>
      </c>
      <c r="CC146" s="327">
        <f>3.4*($O$16+$AX$14)+0.425*0.8*0.5*(T146^2+W146^2+Z146^2+AC146^2+AF146^2+AI146^2)/(T146+W146+Z146+AC146+AF146+AI146)/CB146</f>
        <v>594.92138785113616</v>
      </c>
      <c r="CD146" s="327">
        <f>MAX(0.6*CA146/$AJ$17,(CA146-0.4*0.3*$AJ$14^(2/3)/CB146*(1+$AJ$17/$AJ$15*CB146))/$AJ$17)</f>
        <v>0.35757243063285776</v>
      </c>
      <c r="CE146" s="328">
        <f>CC146*CD146/1000</f>
        <v>0.21272748668940386</v>
      </c>
      <c r="CF146" s="316" t="str">
        <f>IF(AND(AV146&gt;=BD146,AV146&gt;=BO146,CE146&lt;=(+IF(CO146="External",0.25,0.3))),"O.K", "Not O.K")</f>
        <v>O.K</v>
      </c>
      <c r="CG146" s="191"/>
      <c r="CH146" s="329" t="str">
        <f>IF(O146&lt;0.2*$AJ$14*R146*$O$12/1000,"N &lt; 0.2fckAc - OK!","TBA")</f>
        <v>N &lt; 0.2fckAc - OK!</v>
      </c>
      <c r="CI146" s="321">
        <v>134</v>
      </c>
      <c r="CJ146" s="330"/>
      <c r="CK146" s="196">
        <f>CU146</f>
        <v>103</v>
      </c>
      <c r="CL146" s="191" t="s">
        <v>72</v>
      </c>
      <c r="CM146" s="196">
        <f>CV146</f>
        <v>203</v>
      </c>
      <c r="CN146" s="331" t="s">
        <v>147</v>
      </c>
      <c r="CO146" s="15" t="str">
        <f>IF(VLOOKUP(CI146,'Summary-input'!A:C,3,0)="Outward",
IF(CP146&lt;0,"External","Internal"),
IF(CP146&lt;0,"Internal","External")
)</f>
        <v>Internal</v>
      </c>
      <c r="CP146">
        <v>-106.50806169395696</v>
      </c>
      <c r="CQ146">
        <v>18.398290066572372</v>
      </c>
      <c r="CR146" s="314">
        <v>-78.129698017122578</v>
      </c>
      <c r="CS146" s="314">
        <v>15.373030977672897</v>
      </c>
      <c r="CT146" s="315">
        <v>600</v>
      </c>
      <c r="CU146" s="322">
        <v>103</v>
      </c>
      <c r="CV146" s="319">
        <v>203</v>
      </c>
      <c r="CW146" s="196"/>
      <c r="CX146" s="332">
        <f>CI146</f>
        <v>134</v>
      </c>
      <c r="CY146" s="196">
        <f t="shared" ref="CY146:DD146" si="269">MAX(DN146:DN149)</f>
        <v>0</v>
      </c>
      <c r="CZ146" s="196">
        <f t="shared" si="269"/>
        <v>0</v>
      </c>
      <c r="DA146" s="196">
        <f t="shared" si="269"/>
        <v>0</v>
      </c>
      <c r="DB146" s="196">
        <f t="shared" si="269"/>
        <v>0</v>
      </c>
      <c r="DC146" s="196">
        <f t="shared" si="269"/>
        <v>0</v>
      </c>
      <c r="DD146" s="196">
        <f t="shared" si="269"/>
        <v>0</v>
      </c>
      <c r="DE146" s="196"/>
      <c r="DF146" s="196">
        <f t="shared" ref="DF146:DK146" si="270">MAX(DU146:DU149)</f>
        <v>16</v>
      </c>
      <c r="DG146" s="196">
        <f t="shared" si="270"/>
        <v>0</v>
      </c>
      <c r="DH146" s="196">
        <f t="shared" si="270"/>
        <v>0</v>
      </c>
      <c r="DI146" s="196">
        <f t="shared" si="270"/>
        <v>0</v>
      </c>
      <c r="DJ146" s="196">
        <f t="shared" si="270"/>
        <v>0</v>
      </c>
      <c r="DK146" s="196">
        <f t="shared" si="270"/>
        <v>0</v>
      </c>
      <c r="DL146" s="194"/>
      <c r="DM146" s="197">
        <f>CI146</f>
        <v>134</v>
      </c>
      <c r="DN146" s="333">
        <f>IF(CO146="external",T146,0)</f>
        <v>0</v>
      </c>
      <c r="DO146" s="333">
        <f>IF(CO146="external",W146,0)</f>
        <v>0</v>
      </c>
      <c r="DP146" s="333">
        <f>IF(CO146="external",Z146,0)</f>
        <v>0</v>
      </c>
      <c r="DQ146" s="333">
        <f>IF(CO146="external",AC146,0)</f>
        <v>0</v>
      </c>
      <c r="DR146" s="333">
        <f>IF(CO146="external",AF146,0)</f>
        <v>0</v>
      </c>
      <c r="DS146" s="200">
        <f>IF(CO146="external",AI146,0)</f>
        <v>0</v>
      </c>
      <c r="DT146" s="198"/>
      <c r="DU146" s="200">
        <f>IF(CO146="internal",T146,0)</f>
        <v>16</v>
      </c>
      <c r="DV146" s="200">
        <f>IF(CO146="internal",W146,0)</f>
        <v>0</v>
      </c>
      <c r="DW146" s="200">
        <f>IF(CO146="internal",Z146,0)</f>
        <v>0</v>
      </c>
      <c r="DX146" s="200">
        <f>IF(CO146="internal",AC146,0)</f>
        <v>0</v>
      </c>
      <c r="DY146" s="200">
        <f>IF(CO146="internal",AF146,0)</f>
        <v>0</v>
      </c>
      <c r="DZ146" s="200">
        <f>IF(CO146="internal",AI146,0)</f>
        <v>0</v>
      </c>
    </row>
    <row r="147" spans="1:130" s="189" customFormat="1" x14ac:dyDescent="0.3">
      <c r="B147" s="309">
        <f>+CI147</f>
        <v>134</v>
      </c>
      <c r="C147" s="196">
        <f t="shared" si="265"/>
        <v>0</v>
      </c>
      <c r="D147" s="196">
        <f t="shared" si="265"/>
        <v>104</v>
      </c>
      <c r="E147" s="196" t="str">
        <f t="shared" si="265"/>
        <v>--</v>
      </c>
      <c r="F147" s="196">
        <f>+CM147</f>
        <v>204</v>
      </c>
      <c r="G147" s="310" t="str">
        <f t="shared" si="266"/>
        <v>Min Mz</v>
      </c>
      <c r="H147" s="196" t="str">
        <f t="shared" si="266"/>
        <v>Internal</v>
      </c>
      <c r="I147" s="311">
        <v>0</v>
      </c>
      <c r="J147" s="312">
        <f t="shared" si="267"/>
        <v>-10.506274799265823</v>
      </c>
      <c r="K147" s="312">
        <f t="shared" si="267"/>
        <v>-840.64944251618454</v>
      </c>
      <c r="L147" s="312">
        <f t="shared" si="267"/>
        <v>-11.216417495852141</v>
      </c>
      <c r="M147" s="312">
        <f t="shared" si="267"/>
        <v>-549.99411982963852</v>
      </c>
      <c r="N147" s="312">
        <f>IF(I147*J147&gt;=0,J147*$J$19+I147*$J$18,J147)</f>
        <v>-10.506274799265823</v>
      </c>
      <c r="O147" s="312">
        <f>(K147)*$J$19</f>
        <v>-840.64944251618454</v>
      </c>
      <c r="P147" s="313">
        <f>IF(I147*L147&gt;=0,(L147)+I147,L147)</f>
        <v>-11.216417495852141</v>
      </c>
      <c r="Q147" s="314">
        <f>(M147)</f>
        <v>-549.99411982963852</v>
      </c>
      <c r="R147" s="315">
        <f t="shared" si="268"/>
        <v>600</v>
      </c>
      <c r="S147" s="316"/>
      <c r="T147" s="317">
        <v>13</v>
      </c>
      <c r="U147" s="191"/>
      <c r="V147" s="191"/>
      <c r="W147" s="317"/>
      <c r="X147" s="191"/>
      <c r="Y147" s="191"/>
      <c r="Z147" s="317"/>
      <c r="AA147" s="191"/>
      <c r="AB147" s="191"/>
      <c r="AC147" s="317"/>
      <c r="AD147" s="191"/>
      <c r="AE147" s="191"/>
      <c r="AF147" s="317"/>
      <c r="AG147" s="191"/>
      <c r="AH147" s="191"/>
      <c r="AI147" s="318"/>
      <c r="AJ147" s="196">
        <f>PI()/4*T147^2*$O$12/$AX$16</f>
        <v>884.88193076112498</v>
      </c>
      <c r="AK147" s="191" t="str">
        <f>IF(W147=0,"","+")</f>
        <v/>
      </c>
      <c r="AL147" s="196">
        <f>PI()/4*W147^2*$O$12/$AX$16</f>
        <v>0</v>
      </c>
      <c r="AM147" s="191" t="str">
        <f>IF(Z147=0,"","+")</f>
        <v/>
      </c>
      <c r="AN147" s="196">
        <f>PI()/4*Z147^2*$O$12/$AX$16</f>
        <v>0</v>
      </c>
      <c r="AO147" s="191" t="str">
        <f>IF(AC147=0,"","+")</f>
        <v/>
      </c>
      <c r="AP147" s="196">
        <f>PI()/4*AC147^2*$O$12/$AX$16</f>
        <v>0</v>
      </c>
      <c r="AQ147" s="191" t="str">
        <f>IF(AF147=0,"","+")</f>
        <v/>
      </c>
      <c r="AR147" s="196">
        <f>PI()/4*AF147^2*$O$12/$AX$16</f>
        <v>0</v>
      </c>
      <c r="AS147" s="191" t="str">
        <f>IF(AI147=0,"","+")</f>
        <v/>
      </c>
      <c r="AT147" s="196">
        <f>PI()/4*AI147^2*$O$12/$AX$16</f>
        <v>0</v>
      </c>
      <c r="AU147" s="191" t="s">
        <v>24</v>
      </c>
      <c r="AV147" s="319">
        <f>VALUE(AJ147)+VALUE(AL147)+VALUE(AN147)+VALUE(AP147)+VALUE(AR147)+VALUE(AT147)</f>
        <v>884.88193076112498</v>
      </c>
      <c r="AW147" s="320">
        <f>MAX(0.3*$AJ$14^(2/3)/$AJ$16*0.26*100,0.13)</f>
        <v>0.15723814702688016</v>
      </c>
      <c r="AX147" s="196">
        <f>AW147/100*$O$12*BK147</f>
        <v>802.70074057222325</v>
      </c>
      <c r="AY147" s="196"/>
      <c r="AZ147" s="196"/>
      <c r="BA147" s="321" t="str">
        <f>IF(BB147=0,"","+")</f>
        <v/>
      </c>
      <c r="BB147" s="321"/>
      <c r="BC147" s="191" t="s">
        <v>24</v>
      </c>
      <c r="BD147" s="319">
        <f>AX147+AZ147+BB147</f>
        <v>802.70074057222325</v>
      </c>
      <c r="BE147" s="322">
        <f>(R147-($AX$14+$O$16+T147/2))</f>
        <v>510.5</v>
      </c>
      <c r="BF147" s="314">
        <f>IF(W147=0,0,(R147-($AX$14+T147/2+$O$16+$BI$16)))</f>
        <v>0</v>
      </c>
      <c r="BG147" s="314">
        <f>IF(Z147=0,0,(R147-($AX$14+T147/2+$BI$16+$O$16+$BI$17)))</f>
        <v>0</v>
      </c>
      <c r="BH147" s="314">
        <f>IF(AC147=0,0,(R147-($AX$14+T147/2+$O$16+$BI$16+$BI$17+$BI$18)))</f>
        <v>0</v>
      </c>
      <c r="BI147" s="314">
        <f>IF(AF147=0,0,(R147-($AX$14+T147/2+$O$16+$BI$16+$BI$17+$BI$18+$BL$16)))</f>
        <v>0</v>
      </c>
      <c r="BJ147" s="314">
        <f>IF(AI147=0,0,(R147-($AX$14+T147/2+$O$16+$BI$16+$BI$17+$BI$18+$BL$16+$BL$17)))</f>
        <v>0</v>
      </c>
      <c r="BK147" s="196">
        <f>(BE147*AJ147+BF147*AL147+BG147*AN147+BH147*AP147+BI147*AR147+BJ147*AT147)/AV147</f>
        <v>510.5</v>
      </c>
      <c r="BL147" s="323">
        <f>ABS(N147)*1000000/$O$12/BK147^2</f>
        <v>4.0314127319496539E-2</v>
      </c>
      <c r="BM147" s="323">
        <f>BL147/$AJ$14</f>
        <v>1.2598164787342668E-3</v>
      </c>
      <c r="BN147" s="324">
        <f>IF(BM147&lt;0.167,0.5+SQRT(0.25-(BM147/1.134)),0.82)</f>
        <v>0.99888781376600111</v>
      </c>
      <c r="BO147" s="319">
        <f>ABS(N147)/(0.87*$AJ$16*BN147*BK147)*10^6</f>
        <v>47.363854430571827</v>
      </c>
      <c r="BP147" s="325">
        <v>953.21715217589644</v>
      </c>
      <c r="BQ147" s="323">
        <f>IF(Q147=0,2*ABS(P147*10^6)/$O$12/BP147/(BK147-BP147/3),Q147*BP147*1000/($O$12/2*BP147^2-(BE147-BP147)*AJ147*$AJ$18-(BF147-BP147)*AL147*$AJ$18-(BG147-BP147)*AN147*$AJ$18-(BH147-BP147)*AP147*$AJ$18-(BI147-BP147)*AR147*$AJ$18-(BJ147-BP147)*AT147*$AJ$18))</f>
        <v>-1.1380822261046215</v>
      </c>
      <c r="BR147" s="314">
        <f>0.5*$O$12*BP147*BQ147 /1000</f>
        <v>-542.41974925472596</v>
      </c>
      <c r="BS147" s="314">
        <f>($BQ147/$BP147)*(BE147-$BP147)*$AJ$18*AJ147/1000</f>
        <v>7.5743705749126322</v>
      </c>
      <c r="BT147" s="314">
        <f>($BQ147/$BP147)*(BF147-$BP147)*$AJ$18*AL147/1000</f>
        <v>0</v>
      </c>
      <c r="BU147" s="314">
        <f>($BQ147/$BP147)*(BG147-$BP147)*$AJ$18*AN147/1000</f>
        <v>0</v>
      </c>
      <c r="BV147" s="314">
        <f>($BQ147/$BP147)*(BH147-$BP147)*$AJ$18*AP147/1000</f>
        <v>0</v>
      </c>
      <c r="BW147" s="314">
        <f>($BQ147/$BP147)*(BI147-$BP147)*$AJ$18*AR147/1000</f>
        <v>0</v>
      </c>
      <c r="BX147" s="314">
        <f>($BQ147/$BP147)*(BJ147-$BP147)*$AJ$18*AT147/1000</f>
        <v>0</v>
      </c>
      <c r="BY147" s="323">
        <f>IF(Q147=0,0,(0.5*$O$12*BP147*BQ147/1000*(R147/2-$BP147/3)+BS147*(BE147-R147/2)+BT147*(BF147-R147/2)+BU147*(BG147-R147/2)+BV147*(BH147-R147/2)+BW147*(BI147-R147/2)+BX147*(BJ147-R147/2))/1000-ABS(P147))</f>
        <v>-1.0433995942804586E-6</v>
      </c>
      <c r="BZ147" s="312"/>
      <c r="CA147" s="326">
        <f>ABS(P147)/(BK147-BP147/3)/AV147*10^6-Q147*(R147/2-BP147/3)/(BK147-BP147/3)/AV147*1000</f>
        <v>8.5597589062730393</v>
      </c>
      <c r="CB147" s="327">
        <f>(AV147/($O$12*MIN(2.5*(R147-BK147),(R147-BP147)/3,R147/2)-AV147))</f>
        <v>-7.4595565241186643E-3</v>
      </c>
      <c r="CC147" s="327">
        <f>3.4*($O$16+$AX$14)+0.425*0.8*0.5*(T147^2+W147^2+Z147^2+AC147^2+AF147^2+AI147^2)/(T147+W147+Z147+AC147+AF147+AI147)/CB147</f>
        <v>-14.064260865173651</v>
      </c>
      <c r="CD147" s="327">
        <f>MAX(0.6*CA147/$AJ$17,(CA147-0.4*0.3*$AJ$14^(2/3)/CB147*(1+$AJ$17/$AJ$15*CB147))/$AJ$17)</f>
        <v>0.75558511362763014</v>
      </c>
      <c r="CE147" s="328">
        <f>CC147*CD147/1000</f>
        <v>-1.0626746143900865E-2</v>
      </c>
      <c r="CF147" s="316" t="str">
        <f>IF(AND(AV147&gt;=BD147,AV147&gt;=BO147,CE147&lt;=(+IF(CO147="External",0.25,0.3))),"O.K", "Not O.K")</f>
        <v>O.K</v>
      </c>
      <c r="CG147" s="191"/>
      <c r="CH147" s="329" t="str">
        <f>IF(O147&lt;0.2*$AJ$14*R147*$O$12/1000,"N &lt; 0.2fckAc - OK!","TBA")</f>
        <v>N &lt; 0.2fckAc - OK!</v>
      </c>
      <c r="CI147" s="321">
        <v>134</v>
      </c>
      <c r="CJ147" s="330"/>
      <c r="CK147" s="196">
        <f>CU147</f>
        <v>104</v>
      </c>
      <c r="CL147" s="191" t="s">
        <v>72</v>
      </c>
      <c r="CM147" s="196">
        <f>CV147</f>
        <v>204</v>
      </c>
      <c r="CN147" s="331" t="s">
        <v>148</v>
      </c>
      <c r="CO147" s="15" t="str">
        <f>IF(VLOOKUP(CI147,'Summary-input'!A:C,3,0)="Outward",
IF(CP147&lt;0,"External","Internal"),
IF(CP147&lt;0,"Internal","External")
)</f>
        <v>Internal</v>
      </c>
      <c r="CP147">
        <v>-10.506274799265823</v>
      </c>
      <c r="CQ147">
        <v>-840.64944251618454</v>
      </c>
      <c r="CR147" s="314">
        <v>-11.216417495852141</v>
      </c>
      <c r="CS147" s="314">
        <v>-549.99411982963852</v>
      </c>
      <c r="CT147" s="315">
        <v>600</v>
      </c>
      <c r="CU147" s="322">
        <v>104</v>
      </c>
      <c r="CV147" s="319">
        <v>204</v>
      </c>
      <c r="CW147" s="196"/>
      <c r="CX147" s="332"/>
      <c r="CY147" s="196"/>
      <c r="CZ147" s="196"/>
      <c r="DA147" s="196"/>
      <c r="DB147" s="196"/>
      <c r="DC147" s="196"/>
      <c r="DD147" s="196"/>
      <c r="DE147" s="196"/>
      <c r="DF147" s="196"/>
      <c r="DG147" s="196"/>
      <c r="DH147" s="196"/>
      <c r="DI147" s="196"/>
      <c r="DJ147" s="334"/>
      <c r="DK147" s="194"/>
      <c r="DL147" s="194"/>
      <c r="DM147" s="197"/>
      <c r="DN147" s="333">
        <f>IF(CO147="external",T147,0)</f>
        <v>0</v>
      </c>
      <c r="DO147" s="333">
        <f>IF(CO147="external",W147,0)</f>
        <v>0</v>
      </c>
      <c r="DP147" s="333">
        <f>IF(CO147="external",Z147,0)</f>
        <v>0</v>
      </c>
      <c r="DQ147" s="333">
        <f>IF(CO147="external",AC147,0)</f>
        <v>0</v>
      </c>
      <c r="DR147" s="333">
        <f>IF(CO147="external",AF147,0)</f>
        <v>0</v>
      </c>
      <c r="DS147" s="200">
        <f>IF(CO147="external",AI147,0)</f>
        <v>0</v>
      </c>
      <c r="DT147" s="198"/>
      <c r="DU147" s="200">
        <f>IF(CO147="internal",T147,0)</f>
        <v>13</v>
      </c>
      <c r="DV147" s="200">
        <f>IF(CO147="internal",W147,0)</f>
        <v>0</v>
      </c>
      <c r="DW147" s="200">
        <f>IF(CO147="internal",Z147,0)</f>
        <v>0</v>
      </c>
      <c r="DX147" s="200">
        <f>IF(CO147="internal",AC147,0)</f>
        <v>0</v>
      </c>
      <c r="DY147" s="200">
        <f>IF(CO147="internal",AF147,0)</f>
        <v>0</v>
      </c>
      <c r="DZ147" s="200">
        <f>IF(CO147="internal",AI147,0)</f>
        <v>0</v>
      </c>
    </row>
    <row r="148" spans="1:130" s="189" customFormat="1" x14ac:dyDescent="0.3">
      <c r="B148" s="309">
        <f>+CI148</f>
        <v>134</v>
      </c>
      <c r="C148" s="196">
        <f t="shared" si="265"/>
        <v>0</v>
      </c>
      <c r="D148" s="196">
        <f t="shared" si="265"/>
        <v>104</v>
      </c>
      <c r="E148" s="196" t="str">
        <f t="shared" si="265"/>
        <v>--</v>
      </c>
      <c r="F148" s="196">
        <f>+CM148</f>
        <v>204</v>
      </c>
      <c r="G148" s="310" t="str">
        <f t="shared" si="266"/>
        <v>Max Fx</v>
      </c>
      <c r="H148" s="196" t="str">
        <f t="shared" si="266"/>
        <v>Internal</v>
      </c>
      <c r="I148" s="311">
        <v>0</v>
      </c>
      <c r="J148" s="312">
        <f t="shared" si="267"/>
        <v>-10.506274799265823</v>
      </c>
      <c r="K148" s="312">
        <f t="shared" si="267"/>
        <v>-840.64944251618454</v>
      </c>
      <c r="L148" s="312">
        <f t="shared" si="267"/>
        <v>-11.216417495852141</v>
      </c>
      <c r="M148" s="312">
        <f t="shared" si="267"/>
        <v>-549.99411982963852</v>
      </c>
      <c r="N148" s="312">
        <f>IF(I148*J148&gt;=0,J148*$J$19+I148*$J$18,J148)</f>
        <v>-10.506274799265823</v>
      </c>
      <c r="O148" s="312">
        <f>(K148)*$J$19</f>
        <v>-840.64944251618454</v>
      </c>
      <c r="P148" s="313">
        <f>IF(I148*L148&gt;=0,(L148)+I148,L148)</f>
        <v>-11.216417495852141</v>
      </c>
      <c r="Q148" s="314">
        <f>(M148)</f>
        <v>-549.99411982963852</v>
      </c>
      <c r="R148" s="315">
        <f t="shared" si="268"/>
        <v>600</v>
      </c>
      <c r="S148" s="316"/>
      <c r="T148" s="317">
        <v>13</v>
      </c>
      <c r="U148" s="191"/>
      <c r="V148" s="191"/>
      <c r="W148" s="317"/>
      <c r="X148" s="191"/>
      <c r="Y148" s="191"/>
      <c r="Z148" s="317"/>
      <c r="AA148" s="191"/>
      <c r="AB148" s="191"/>
      <c r="AC148" s="317"/>
      <c r="AD148" s="191"/>
      <c r="AE148" s="191"/>
      <c r="AF148" s="317"/>
      <c r="AG148" s="191"/>
      <c r="AH148" s="191"/>
      <c r="AI148" s="318"/>
      <c r="AJ148" s="196">
        <f>PI()/4*T148^2*$O$12/$AX$16</f>
        <v>884.88193076112498</v>
      </c>
      <c r="AK148" s="191" t="str">
        <f>IF(W148=0,"","+")</f>
        <v/>
      </c>
      <c r="AL148" s="196">
        <f>PI()/4*W148^2*$O$12/$AX$16</f>
        <v>0</v>
      </c>
      <c r="AM148" s="191" t="str">
        <f>IF(Z148=0,"","+")</f>
        <v/>
      </c>
      <c r="AN148" s="196">
        <f>PI()/4*Z148^2*$O$12/$AX$16</f>
        <v>0</v>
      </c>
      <c r="AO148" s="191" t="str">
        <f>IF(AC148=0,"","+")</f>
        <v/>
      </c>
      <c r="AP148" s="196">
        <f>PI()/4*AC148^2*$O$12/$AX$16</f>
        <v>0</v>
      </c>
      <c r="AQ148" s="191" t="str">
        <f>IF(AF148=0,"","+")</f>
        <v/>
      </c>
      <c r="AR148" s="196">
        <f>PI()/4*AF148^2*$O$12/$AX$16</f>
        <v>0</v>
      </c>
      <c r="AS148" s="191" t="str">
        <f>IF(AI148=0,"","+")</f>
        <v/>
      </c>
      <c r="AT148" s="196">
        <f>PI()/4*AI148^2*$O$12/$AX$16</f>
        <v>0</v>
      </c>
      <c r="AU148" s="191" t="s">
        <v>24</v>
      </c>
      <c r="AV148" s="319">
        <f>VALUE(AJ148)+VALUE(AL148)+VALUE(AN148)+VALUE(AP148)+VALUE(AR148)+VALUE(AT148)</f>
        <v>884.88193076112498</v>
      </c>
      <c r="AW148" s="320">
        <f>MAX(0.3*$AJ$14^(2/3)/$AJ$16*0.26*100,0.13)</f>
        <v>0.15723814702688016</v>
      </c>
      <c r="AX148" s="196">
        <f>AW148/100*$O$12*BK148</f>
        <v>802.70074057222325</v>
      </c>
      <c r="AY148" s="196"/>
      <c r="AZ148" s="196"/>
      <c r="BA148" s="321" t="str">
        <f>IF(BB148=0,"","+")</f>
        <v/>
      </c>
      <c r="BB148" s="321"/>
      <c r="BC148" s="191" t="s">
        <v>24</v>
      </c>
      <c r="BD148" s="319">
        <f>AX148+AZ148+BB148</f>
        <v>802.70074057222325</v>
      </c>
      <c r="BE148" s="322">
        <f>(R148-($AX$14+$O$16+T148/2))</f>
        <v>510.5</v>
      </c>
      <c r="BF148" s="314">
        <f>IF(W148=0,0,(R148-($AX$14+T148/2+$O$16+$BI$16)))</f>
        <v>0</v>
      </c>
      <c r="BG148" s="314">
        <f>IF(Z148=0,0,(R148-($AX$14+T148/2+$BI$16+$O$16+$BI$17)))</f>
        <v>0</v>
      </c>
      <c r="BH148" s="314">
        <f>IF(AC148=0,0,(R148-($AX$14+T148/2+$O$16+$BI$16+$BI$17+$BI$18)))</f>
        <v>0</v>
      </c>
      <c r="BI148" s="314">
        <f>IF(AF148=0,0,(R148-($AX$14+T148/2+$O$16+$BI$16+$BI$17+$BI$18+$BL$16)))</f>
        <v>0</v>
      </c>
      <c r="BJ148" s="314">
        <f>IF(AI148=0,0,(R148-($AX$14+T148/2+$O$16+$BI$16+$BI$17+$BI$18+$BL$16+$BL$17)))</f>
        <v>0</v>
      </c>
      <c r="BK148" s="196">
        <f>(BE148*AJ148+BF148*AL148+BG148*AN148+BH148*AP148+BI148*AR148+BJ148*AT148)/AV148</f>
        <v>510.5</v>
      </c>
      <c r="BL148" s="323">
        <f>ABS(N148)*1000000/$O$12/BK148^2</f>
        <v>4.0314127319496539E-2</v>
      </c>
      <c r="BM148" s="323">
        <f>BL148/$AJ$14</f>
        <v>1.2598164787342668E-3</v>
      </c>
      <c r="BN148" s="324">
        <f>IF(BM148&lt;0.167,0.5+SQRT(0.25-(BM148/1.134)),0.82)</f>
        <v>0.99888781376600111</v>
      </c>
      <c r="BO148" s="319">
        <f>ABS(N148)/(0.87*$AJ$16*BN148*BK148)*10^6</f>
        <v>47.363854430571827</v>
      </c>
      <c r="BP148" s="325">
        <v>953.21715217589644</v>
      </c>
      <c r="BQ148" s="323">
        <f>IF(Q148=0,2*ABS(P148*10^6)/$O$12/BP148/(BK148-BP148/3),Q148*BP148*1000/($O$12/2*BP148^2-(BE148-BP148)*AJ148*$AJ$18-(BF148-BP148)*AL148*$AJ$18-(BG148-BP148)*AN148*$AJ$18-(BH148-BP148)*AP148*$AJ$18-(BI148-BP148)*AR148*$AJ$18-(BJ148-BP148)*AT148*$AJ$18))</f>
        <v>-1.1380822261046215</v>
      </c>
      <c r="BR148" s="314">
        <f>0.5*$O$12*BP148*BQ148 /1000</f>
        <v>-542.41974925472596</v>
      </c>
      <c r="BS148" s="314">
        <f>($BQ148/$BP148)*(BE148-$BP148)*$AJ$18*AJ148/1000</f>
        <v>7.5743705749126322</v>
      </c>
      <c r="BT148" s="314">
        <f>($BQ148/$BP148)*(BF148-$BP148)*$AJ$18*AL148/1000</f>
        <v>0</v>
      </c>
      <c r="BU148" s="314">
        <f>($BQ148/$BP148)*(BG148-$BP148)*$AJ$18*AN148/1000</f>
        <v>0</v>
      </c>
      <c r="BV148" s="314">
        <f>($BQ148/$BP148)*(BH148-$BP148)*$AJ$18*AP148/1000</f>
        <v>0</v>
      </c>
      <c r="BW148" s="314">
        <f>($BQ148/$BP148)*(BI148-$BP148)*$AJ$18*AR148/1000</f>
        <v>0</v>
      </c>
      <c r="BX148" s="314">
        <f>($BQ148/$BP148)*(BJ148-$BP148)*$AJ$18*AT148/1000</f>
        <v>0</v>
      </c>
      <c r="BY148" s="323">
        <f>IF(Q148=0,0,(0.5*$O$12*BP148*BQ148/1000*(R148/2-$BP148/3)+BS148*(BE148-R148/2)+BT148*(BF148-R148/2)+BU148*(BG148-R148/2)+BV148*(BH148-R148/2)+BW148*(BI148-R148/2)+BX148*(BJ148-R148/2))/1000-ABS(P148))</f>
        <v>-1.0433995942804586E-6</v>
      </c>
      <c r="BZ148" s="312"/>
      <c r="CA148" s="326">
        <f>ABS(P148)/(BK148-BP148/3)/AV148*10^6-Q148*(R148/2-BP148/3)/(BK148-BP148/3)/AV148*1000</f>
        <v>8.5597589062730393</v>
      </c>
      <c r="CB148" s="327">
        <f>(AV148/($O$12*MIN(2.5*(R148-BK148),(R148-BP148)/3,R148/2)-AV148))</f>
        <v>-7.4595565241186643E-3</v>
      </c>
      <c r="CC148" s="327">
        <f>3.4*($O$16+$AX$14)+0.425*0.8*0.5*(T148^2+W148^2+Z148^2+AC148^2+AF148^2+AI148^2)/(T148+W148+Z148+AC148+AF148+AI148)/CB148</f>
        <v>-14.064260865173651</v>
      </c>
      <c r="CD148" s="327">
        <f>MAX(0.6*CA148/$AJ$17,(CA148-0.4*0.3*$AJ$14^(2/3)/CB148*(1+$AJ$17/$AJ$15*CB148))/$AJ$17)</f>
        <v>0.75558511362763014</v>
      </c>
      <c r="CE148" s="328">
        <f>CC148*CD148/1000</f>
        <v>-1.0626746143900865E-2</v>
      </c>
      <c r="CF148" s="316" t="str">
        <f>IF(AND(AV148&gt;=BD148,AV148&gt;=BO148,CE148&lt;=(+IF(CO148="External",0.25,0.3))),"O.K", "Not O.K")</f>
        <v>O.K</v>
      </c>
      <c r="CG148" s="191"/>
      <c r="CH148" s="329" t="str">
        <f>IF(O148&lt;0.2*$AJ$14*R148*$O$12/1000,"N &lt; 0.2fckAc - OK!","TBA")</f>
        <v>N &lt; 0.2fckAc - OK!</v>
      </c>
      <c r="CI148" s="321">
        <v>134</v>
      </c>
      <c r="CJ148" s="330"/>
      <c r="CK148" s="196">
        <f>CU148</f>
        <v>104</v>
      </c>
      <c r="CL148" s="191" t="s">
        <v>72</v>
      </c>
      <c r="CM148" s="196">
        <f>CV148</f>
        <v>204</v>
      </c>
      <c r="CN148" s="331" t="s">
        <v>145</v>
      </c>
      <c r="CO148" s="15" t="str">
        <f>IF(VLOOKUP(CI148,'Summary-input'!A:C,3,0)="Outward",
IF(CP148&lt;0,"External","Internal"),
IF(CP148&lt;0,"Internal","External")
)</f>
        <v>Internal</v>
      </c>
      <c r="CP148">
        <v>-10.506274799265823</v>
      </c>
      <c r="CQ148">
        <v>-840.64944251618454</v>
      </c>
      <c r="CR148" s="314">
        <v>-11.216417495852141</v>
      </c>
      <c r="CS148" s="314">
        <v>-549.99411982963852</v>
      </c>
      <c r="CT148" s="315">
        <v>600</v>
      </c>
      <c r="CU148" s="322">
        <v>104</v>
      </c>
      <c r="CV148" s="319">
        <v>204</v>
      </c>
      <c r="CW148" s="196"/>
      <c r="CX148" s="332"/>
      <c r="CY148" s="196"/>
      <c r="CZ148" s="196"/>
      <c r="DA148" s="196"/>
      <c r="DB148" s="196"/>
      <c r="DC148" s="196"/>
      <c r="DD148" s="196"/>
      <c r="DE148" s="196"/>
      <c r="DF148" s="196"/>
      <c r="DG148" s="196"/>
      <c r="DH148" s="196"/>
      <c r="DI148" s="196"/>
      <c r="DJ148" s="334"/>
      <c r="DK148" s="194"/>
      <c r="DL148" s="194"/>
      <c r="DM148" s="197"/>
      <c r="DN148" s="333">
        <f>IF(CO148="external",T148,0)</f>
        <v>0</v>
      </c>
      <c r="DO148" s="333">
        <f>IF(CO148="external",W148,0)</f>
        <v>0</v>
      </c>
      <c r="DP148" s="333">
        <f>IF(CO148="external",Z148,0)</f>
        <v>0</v>
      </c>
      <c r="DQ148" s="333">
        <f>IF(CO148="external",AC148,0)</f>
        <v>0</v>
      </c>
      <c r="DR148" s="333">
        <f>IF(CO148="external",AF148,0)</f>
        <v>0</v>
      </c>
      <c r="DS148" s="200">
        <f>IF(CO148="external",AI148,0)</f>
        <v>0</v>
      </c>
      <c r="DT148" s="198"/>
      <c r="DU148" s="200">
        <f>IF(CO148="internal",T148,0)</f>
        <v>13</v>
      </c>
      <c r="DV148" s="200">
        <f>IF(CO148="internal",W148,0)</f>
        <v>0</v>
      </c>
      <c r="DW148" s="200">
        <f>IF(CO148="internal",Z148,0)</f>
        <v>0</v>
      </c>
      <c r="DX148" s="200">
        <f>IF(CO148="internal",AC148,0)</f>
        <v>0</v>
      </c>
      <c r="DY148" s="200">
        <f>IF(CO148="internal",AF148,0)</f>
        <v>0</v>
      </c>
      <c r="DZ148" s="200">
        <f>IF(CO148="internal",AI148,0)</f>
        <v>0</v>
      </c>
    </row>
    <row r="149" spans="1:130" s="189" customFormat="1" ht="15" thickBot="1" x14ac:dyDescent="0.35">
      <c r="B149" s="335">
        <f>+CI149</f>
        <v>134</v>
      </c>
      <c r="C149" s="336">
        <f t="shared" si="265"/>
        <v>0</v>
      </c>
      <c r="D149" s="336">
        <f t="shared" si="265"/>
        <v>103</v>
      </c>
      <c r="E149" s="336" t="str">
        <f t="shared" si="265"/>
        <v>--</v>
      </c>
      <c r="F149" s="336">
        <f>+CM149</f>
        <v>203</v>
      </c>
      <c r="G149" s="337" t="str">
        <f t="shared" si="266"/>
        <v>Min Fx</v>
      </c>
      <c r="H149" s="336" t="str">
        <f t="shared" si="266"/>
        <v>Internal</v>
      </c>
      <c r="I149" s="338">
        <v>0</v>
      </c>
      <c r="J149" s="339">
        <f t="shared" si="267"/>
        <v>-28.695221967943283</v>
      </c>
      <c r="K149" s="339">
        <f t="shared" si="267"/>
        <v>1.1908728076623782</v>
      </c>
      <c r="L149" s="339">
        <f t="shared" si="267"/>
        <v>-21.050711489558097</v>
      </c>
      <c r="M149" s="339">
        <f t="shared" si="267"/>
        <v>2.6267959710729025</v>
      </c>
      <c r="N149" s="339">
        <f>IF(I149*J149&gt;=0,J149*$J$19+I149*$J$18,J149)</f>
        <v>-28.695221967943283</v>
      </c>
      <c r="O149" s="339">
        <f>(K149)*$J$19</f>
        <v>1.1908728076623782</v>
      </c>
      <c r="P149" s="340">
        <f>IF(I149*L149&gt;=0,(L149)+I149,L149)</f>
        <v>-21.050711489558097</v>
      </c>
      <c r="Q149" s="341">
        <f>(M149)</f>
        <v>2.6267959710729025</v>
      </c>
      <c r="R149" s="342">
        <f t="shared" si="268"/>
        <v>600</v>
      </c>
      <c r="S149" s="343"/>
      <c r="T149" s="344">
        <v>13</v>
      </c>
      <c r="U149" s="345"/>
      <c r="V149" s="345"/>
      <c r="W149" s="344"/>
      <c r="X149" s="345"/>
      <c r="Y149" s="345"/>
      <c r="Z149" s="344"/>
      <c r="AA149" s="345"/>
      <c r="AB149" s="345"/>
      <c r="AC149" s="344"/>
      <c r="AD149" s="345"/>
      <c r="AE149" s="345"/>
      <c r="AF149" s="344"/>
      <c r="AG149" s="345"/>
      <c r="AH149" s="345"/>
      <c r="AI149" s="346"/>
      <c r="AJ149" s="336">
        <f>PI()/4*T149^2*$O$12/$AX$16</f>
        <v>884.88193076112498</v>
      </c>
      <c r="AK149" s="345" t="str">
        <f>IF(W149=0,"","+")</f>
        <v/>
      </c>
      <c r="AL149" s="336">
        <f>PI()/4*W149^2*$O$12/$AX$16</f>
        <v>0</v>
      </c>
      <c r="AM149" s="345" t="str">
        <f>IF(Z149=0,"","+")</f>
        <v/>
      </c>
      <c r="AN149" s="336">
        <f>PI()/4*Z149^2*$O$12/$AX$16</f>
        <v>0</v>
      </c>
      <c r="AO149" s="345" t="str">
        <f>IF(AC149=0,"","+")</f>
        <v/>
      </c>
      <c r="AP149" s="336">
        <f>PI()/4*AC149^2*$O$12/$AX$16</f>
        <v>0</v>
      </c>
      <c r="AQ149" s="345" t="str">
        <f>IF(AF149=0,"","+")</f>
        <v/>
      </c>
      <c r="AR149" s="336">
        <f>PI()/4*AF149^2*$O$12/$AX$16</f>
        <v>0</v>
      </c>
      <c r="AS149" s="345" t="str">
        <f>IF(AI149=0,"","+")</f>
        <v/>
      </c>
      <c r="AT149" s="336">
        <f>PI()/4*AI149^2*$O$12/$AX$16</f>
        <v>0</v>
      </c>
      <c r="AU149" s="345" t="s">
        <v>24</v>
      </c>
      <c r="AV149" s="347">
        <f>VALUE(AJ149)+VALUE(AL149)+VALUE(AN149)+VALUE(AP149)+VALUE(AR149)+VALUE(AT149)</f>
        <v>884.88193076112498</v>
      </c>
      <c r="AW149" s="348">
        <f>MAX(0.3*$AJ$14^(2/3)/$AJ$16*0.26*100,0.13)</f>
        <v>0.15723814702688016</v>
      </c>
      <c r="AX149" s="336">
        <f>AW149/100*$O$12*BK149</f>
        <v>802.70074057222325</v>
      </c>
      <c r="AY149" s="336"/>
      <c r="AZ149" s="336"/>
      <c r="BA149" s="349" t="str">
        <f>IF(BB149=0,"","+")</f>
        <v/>
      </c>
      <c r="BB149" s="349"/>
      <c r="BC149" s="345" t="s">
        <v>24</v>
      </c>
      <c r="BD149" s="347">
        <f>AX149+AZ149+BB149</f>
        <v>802.70074057222325</v>
      </c>
      <c r="BE149" s="350">
        <f>(R149-($AX$14+$O$16+T149/2))</f>
        <v>510.5</v>
      </c>
      <c r="BF149" s="341">
        <f>IF(W149=0,0,(R149-($AX$14+T149/2+$O$16+$BI$16)))</f>
        <v>0</v>
      </c>
      <c r="BG149" s="341">
        <f>IF(Z149=0,0,(R149-($AX$14+T149/2+$BI$16+$O$16+$BI$17)))</f>
        <v>0</v>
      </c>
      <c r="BH149" s="341">
        <f>IF(AC149=0,0,(R149-($AX$14+T149/2+$O$16+$BI$16+$BI$17+$BI$18)))</f>
        <v>0</v>
      </c>
      <c r="BI149" s="341">
        <f>IF(AF149=0,0,(R149-($AX$14+T149/2+$O$16+$BI$16+$BI$17+$BI$18+$BL$16)))</f>
        <v>0</v>
      </c>
      <c r="BJ149" s="341">
        <f>IF(AI149=0,0,(R149-($AX$14+T149/2+$O$16+$BI$16+$BI$17+$BI$18+$BL$16+$BL$17)))</f>
        <v>0</v>
      </c>
      <c r="BK149" s="336">
        <f>(BE149*AJ149+BF149*AL149+BG149*AN149+BH149*AP149+BI149*AR149+BJ149*AT149)/AV149</f>
        <v>510.5</v>
      </c>
      <c r="BL149" s="351">
        <f>ABS(N149)*1000000/$O$12/BK149^2</f>
        <v>0.11010780262074606</v>
      </c>
      <c r="BM149" s="351">
        <f>BL149/$AJ$14</f>
        <v>3.4408688318983143E-3</v>
      </c>
      <c r="BN149" s="352">
        <f>IF(BM149&lt;0.167,0.5+SQRT(0.25-(BM149/1.134)),0.82)</f>
        <v>0.99695646100451141</v>
      </c>
      <c r="BO149" s="347">
        <f>ABS(N149)/(0.87*$AJ$16*BN149*BK149)*10^6</f>
        <v>129.61294927899309</v>
      </c>
      <c r="BP149" s="353">
        <v>110.3178037731326</v>
      </c>
      <c r="BQ149" s="351">
        <f>IF(Q149=0,2*ABS(P149*10^6)/$O$12/BP149/(BK149-BP149/3),Q149*BP149*1000/($O$12/2*BP149^2-(BE149-BP149)*AJ149*$AJ$18-(BF149-BP149)*AL149*$AJ$18-(BG149-BP149)*AN149*$AJ$18-(BH149-BP149)*AP149*$AJ$18-(BI149-BP149)*AR149*$AJ$18-(BJ149-BP149)*AT149*$AJ$18))</f>
        <v>0.82676662931589651</v>
      </c>
      <c r="BR149" s="341">
        <f>0.5*$O$12*BP149*BQ149 /1000</f>
        <v>45.603539389522659</v>
      </c>
      <c r="BS149" s="341">
        <f>($BQ149/$BP149)*(BE149-$BP149)*$AJ$18*AJ149/1000</f>
        <v>42.976743418449757</v>
      </c>
      <c r="BT149" s="341">
        <f>($BQ149/$BP149)*(BF149-$BP149)*$AJ$18*AL149/1000</f>
        <v>0</v>
      </c>
      <c r="BU149" s="341">
        <f>($BQ149/$BP149)*(BG149-$BP149)*$AJ$18*AN149/1000</f>
        <v>0</v>
      </c>
      <c r="BV149" s="341">
        <f>($BQ149/$BP149)*(BH149-$BP149)*$AJ$18*AP149/1000</f>
        <v>0</v>
      </c>
      <c r="BW149" s="341">
        <f>($BQ149/$BP149)*(BI149-$BP149)*$AJ$18*AR149/1000</f>
        <v>0</v>
      </c>
      <c r="BX149" s="341">
        <f>($BQ149/$BP149)*(BJ149-$BP149)*$AJ$18*AT149/1000</f>
        <v>0</v>
      </c>
      <c r="BY149" s="351">
        <f>IF(Q149=0,0,(0.5*$O$12*BP149*BQ149/1000*(R149/2-$BP149/3)+BS149*(BE149-R149/2)+BT149*(BF149-R149/2)+BU149*(BG149-R149/2)+BV149*(BH149-R149/2)+BW149*(BI149-R149/2)+BX149*(BJ149-R149/2))/1000-ABS(P149))</f>
        <v>-5.9530288538667264E-6</v>
      </c>
      <c r="BZ149" s="339"/>
      <c r="CA149" s="354">
        <f>ABS(P149)/(BK149-BP149/3)/AV149*10^6-Q149*(R149/2-BP149/3)/(BK149-BP149/3)/AV149*1000</f>
        <v>48.567785702035096</v>
      </c>
      <c r="CB149" s="355">
        <f>(AV149/($O$12*MIN(2.5*(R149-BK149),(R149-BP149)/3,R149/2)-AV149))</f>
        <v>5.4507096978694191E-3</v>
      </c>
      <c r="CC149" s="355">
        <f>3.4*($O$16+$AX$14)+0.425*0.8*0.5*(T149^2+W149^2+Z149^2+AC149^2+AF149^2+AI149^2)/(T149+W149+Z149+AC149+AF149+AI149)/CB149</f>
        <v>687.65178930806894</v>
      </c>
      <c r="CD149" s="355">
        <f>MAX(0.6*CA149/$AJ$17,(CA149-0.4*0.3*$AJ$14^(2/3)/CB149*(1+$AJ$17/$AJ$15*CB149))/$AJ$17)</f>
        <v>0.1457033571061053</v>
      </c>
      <c r="CE149" s="356">
        <f>CC149*CD149/1000</f>
        <v>0.10019317422220586</v>
      </c>
      <c r="CF149" s="343" t="str">
        <f>IF(AND(AV149&gt;=BD149,AV149&gt;=BO149,CE149&lt;=(+IF(CO149="External",0.25,0.3))),"O.K", "Not O.K")</f>
        <v>O.K</v>
      </c>
      <c r="CG149" s="345"/>
      <c r="CH149" s="357" t="str">
        <f>IF(O149&lt;0.2*$AJ$14*R149*$O$12/1000,"N &lt; 0.2fckAc - OK!","TBA")</f>
        <v>N &lt; 0.2fckAc - OK!</v>
      </c>
      <c r="CI149" s="321">
        <v>134</v>
      </c>
      <c r="CJ149" s="330"/>
      <c r="CK149" s="196">
        <f>CU149</f>
        <v>103</v>
      </c>
      <c r="CL149" s="191" t="s">
        <v>72</v>
      </c>
      <c r="CM149" s="196">
        <f>CV149</f>
        <v>203</v>
      </c>
      <c r="CN149" s="331" t="s">
        <v>146</v>
      </c>
      <c r="CO149" s="15" t="str">
        <f>IF(VLOOKUP(CI149,'Summary-input'!A:C,3,0)="Outward",
IF(CP149&lt;0,"External","Internal"),
IF(CP149&lt;0,"Internal","External")
)</f>
        <v>Internal</v>
      </c>
      <c r="CP149">
        <v>-28.695221967943283</v>
      </c>
      <c r="CQ149">
        <v>1.1908728076623782</v>
      </c>
      <c r="CR149" s="314">
        <v>-21.050711489558097</v>
      </c>
      <c r="CS149" s="314">
        <v>2.6267959710729025</v>
      </c>
      <c r="CT149" s="315">
        <v>600</v>
      </c>
      <c r="CU149" s="322">
        <v>103</v>
      </c>
      <c r="CV149" s="319">
        <v>203</v>
      </c>
      <c r="CW149" s="196"/>
      <c r="CX149" s="332"/>
      <c r="CY149" s="196"/>
      <c r="CZ149" s="196"/>
      <c r="DA149" s="196"/>
      <c r="DB149" s="196"/>
      <c r="DC149" s="196"/>
      <c r="DD149" s="196"/>
      <c r="DE149" s="196"/>
      <c r="DF149" s="196"/>
      <c r="DG149" s="196"/>
      <c r="DH149" s="196"/>
      <c r="DI149" s="196"/>
      <c r="DJ149" s="334"/>
      <c r="DK149" s="194"/>
      <c r="DL149" s="194"/>
      <c r="DM149" s="197"/>
      <c r="DN149" s="333">
        <f>IF(CO149="external",T149,0)</f>
        <v>0</v>
      </c>
      <c r="DO149" s="333">
        <f>IF(CO149="external",W149,0)</f>
        <v>0</v>
      </c>
      <c r="DP149" s="333">
        <f>IF(CO149="external",Z149,0)</f>
        <v>0</v>
      </c>
      <c r="DQ149" s="333">
        <f>IF(CO149="external",AC149,0)</f>
        <v>0</v>
      </c>
      <c r="DR149" s="333">
        <f>IF(CO149="external",AF149,0)</f>
        <v>0</v>
      </c>
      <c r="DS149" s="200">
        <f>IF(CO149="external",AI149,0)</f>
        <v>0</v>
      </c>
      <c r="DT149" s="198"/>
      <c r="DU149" s="200">
        <f>IF(CO149="internal",T149,0)</f>
        <v>13</v>
      </c>
      <c r="DV149" s="200">
        <f>IF(CO149="internal",W149,0)</f>
        <v>0</v>
      </c>
      <c r="DW149" s="200">
        <f>IF(CO149="internal",Z149,0)</f>
        <v>0</v>
      </c>
      <c r="DX149" s="200">
        <f>IF(CO149="internal",AC149,0)</f>
        <v>0</v>
      </c>
      <c r="DY149" s="200">
        <f>IF(CO149="internal",AF149,0)</f>
        <v>0</v>
      </c>
      <c r="DZ149" s="200">
        <f>IF(CO149="internal",AI149,0)</f>
        <v>0</v>
      </c>
    </row>
    <row r="150" spans="1:130" s="189" customFormat="1" x14ac:dyDescent="0.3">
      <c r="B150" s="358"/>
      <c r="C150" s="359"/>
      <c r="D150" s="358"/>
      <c r="E150" s="359"/>
      <c r="F150" s="359"/>
      <c r="G150" s="360"/>
      <c r="H150" s="360"/>
      <c r="I150" s="360"/>
      <c r="J150" s="360"/>
      <c r="K150" s="360"/>
      <c r="L150" s="360"/>
      <c r="M150" s="360"/>
      <c r="N150" s="360"/>
      <c r="O150" s="360"/>
      <c r="P150" s="360"/>
      <c r="Q150" s="360"/>
      <c r="R150" s="360"/>
      <c r="S150" s="360"/>
      <c r="T150" s="359"/>
      <c r="U150" s="360"/>
      <c r="V150" s="360"/>
      <c r="W150" s="359"/>
      <c r="X150" s="360"/>
      <c r="Y150" s="360"/>
      <c r="Z150" s="360"/>
      <c r="AA150" s="360"/>
      <c r="AB150" s="360"/>
      <c r="AC150" s="360"/>
      <c r="AD150" s="360"/>
      <c r="AE150" s="360"/>
      <c r="AF150" s="360"/>
      <c r="AG150" s="360"/>
      <c r="AH150" s="360"/>
      <c r="AI150" s="360"/>
      <c r="AJ150" s="360"/>
      <c r="AK150" s="360"/>
      <c r="AL150" s="360"/>
      <c r="AM150" s="360"/>
      <c r="AN150" s="360"/>
      <c r="AO150" s="360"/>
      <c r="AP150" s="360"/>
      <c r="AQ150" s="360"/>
      <c r="AR150" s="360"/>
      <c r="AS150" s="360"/>
      <c r="AT150" s="360"/>
      <c r="AU150" s="360"/>
      <c r="AV150" s="360"/>
      <c r="AW150" s="360"/>
      <c r="AX150" s="360"/>
      <c r="AY150" s="360"/>
      <c r="AZ150" s="360"/>
      <c r="BA150" s="360"/>
      <c r="BB150" s="360"/>
      <c r="BC150" s="360"/>
      <c r="BD150" s="360"/>
      <c r="BE150" s="360"/>
      <c r="BF150" s="360"/>
      <c r="BG150" s="360"/>
      <c r="BH150" s="360"/>
      <c r="BI150" s="360"/>
      <c r="BJ150" s="360"/>
      <c r="BK150" s="360"/>
      <c r="BL150" s="360"/>
      <c r="BM150" s="360"/>
      <c r="BN150" s="360"/>
      <c r="BO150" s="360"/>
      <c r="BP150" s="360"/>
      <c r="BQ150" s="360"/>
      <c r="BR150" s="360"/>
      <c r="BS150" s="360"/>
      <c r="BT150" s="360"/>
      <c r="BU150" s="360"/>
      <c r="BV150" s="360"/>
      <c r="BW150" s="360"/>
      <c r="BX150" s="360"/>
      <c r="BY150" s="360"/>
      <c r="BZ150" s="360"/>
      <c r="CA150" s="360"/>
      <c r="CB150" s="360"/>
      <c r="CC150" s="360"/>
      <c r="CD150" s="360"/>
      <c r="CE150" s="360"/>
      <c r="CI150" s="196"/>
      <c r="CJ150" s="361"/>
      <c r="CN150" s="362"/>
      <c r="CO150" s="15" t="e">
        <f>IF(VLOOKUP(CI150,'Summary-input'!A:C,3,0)="Outward",
IF(CP150&lt;0,"External","Internal"),
IF(CP150&lt;0,"Internal","External")
)</f>
        <v>#N/A</v>
      </c>
      <c r="CP150"/>
      <c r="CQ150"/>
      <c r="CR150" s="194"/>
      <c r="CS150" s="194"/>
      <c r="CW150" s="191"/>
      <c r="CX150" s="279"/>
      <c r="DJ150" s="210"/>
      <c r="DM150" s="190"/>
      <c r="DN150" s="191"/>
      <c r="DO150" s="191"/>
      <c r="DP150" s="191"/>
      <c r="DQ150" s="191"/>
      <c r="DR150" s="191"/>
      <c r="DS150" s="191"/>
      <c r="DT150" s="192"/>
      <c r="DU150" s="191"/>
      <c r="DV150" s="191"/>
      <c r="DW150" s="191"/>
      <c r="DX150" s="191"/>
      <c r="DY150" s="191"/>
      <c r="DZ150" s="191"/>
    </row>
    <row r="151" spans="1:130" s="189" customFormat="1" ht="13.8" x14ac:dyDescent="0.25">
      <c r="A151" s="189" t="s">
        <v>141</v>
      </c>
      <c r="B151" s="309">
        <f>+CI151</f>
        <v>139</v>
      </c>
      <c r="C151" s="196">
        <f t="shared" ref="C151:E154" si="271">CJ151</f>
        <v>0</v>
      </c>
      <c r="D151" s="196">
        <f t="shared" si="271"/>
        <v>103</v>
      </c>
      <c r="E151" s="196" t="str">
        <f t="shared" si="271"/>
        <v>--</v>
      </c>
      <c r="F151" s="196">
        <f>+CM151</f>
        <v>203</v>
      </c>
      <c r="G151" s="310" t="str">
        <f t="shared" ref="G151:H154" si="272">CN151</f>
        <v>Max Mz</v>
      </c>
      <c r="H151" s="196" t="str">
        <f t="shared" si="272"/>
        <v>External</v>
      </c>
      <c r="I151" s="311">
        <v>0</v>
      </c>
      <c r="J151" s="312">
        <f t="shared" ref="J151:M154" si="273">(CP151)</f>
        <v>360.39535879159314</v>
      </c>
      <c r="K151" s="312">
        <f t="shared" si="273"/>
        <v>-84.846213486952351</v>
      </c>
      <c r="L151" s="312">
        <f t="shared" si="273"/>
        <v>264.36033821858751</v>
      </c>
      <c r="M151" s="312">
        <f t="shared" si="273"/>
        <v>-61.104379061837072</v>
      </c>
      <c r="N151" s="312">
        <f>IF(I151*J151&gt;=0,J151*$J$19+I151*$J$18,J151)</f>
        <v>360.39535879159314</v>
      </c>
      <c r="O151" s="312">
        <f>(K151)*$J$19</f>
        <v>-84.846213486952351</v>
      </c>
      <c r="P151" s="313">
        <f>IF(I151*L151&gt;=0,(L151)+I151,L151)</f>
        <v>264.36033821858751</v>
      </c>
      <c r="Q151" s="314">
        <f>(M151)</f>
        <v>-61.104379061837072</v>
      </c>
      <c r="R151" s="315">
        <f t="shared" ref="R151:R154" si="274">CT151</f>
        <v>600</v>
      </c>
      <c r="S151" s="316"/>
      <c r="T151" s="317">
        <v>32</v>
      </c>
      <c r="U151" s="191"/>
      <c r="V151" s="191"/>
      <c r="W151" s="317"/>
      <c r="X151" s="191"/>
      <c r="Y151" s="191"/>
      <c r="Z151" s="317"/>
      <c r="AA151" s="191"/>
      <c r="AB151" s="191"/>
      <c r="AC151" s="317"/>
      <c r="AD151" s="191"/>
      <c r="AE151" s="191"/>
      <c r="AF151" s="317"/>
      <c r="AG151" s="191"/>
      <c r="AH151" s="191"/>
      <c r="AI151" s="318"/>
      <c r="AJ151" s="196">
        <f>PI()/4*T151^2*$O$12/$AX$16</f>
        <v>5361.6514621265796</v>
      </c>
      <c r="AK151" s="191" t="str">
        <f>IF(W151=0,"","+")</f>
        <v/>
      </c>
      <c r="AL151" s="196">
        <f>PI()/4*W151^2*$O$12/$AX$16</f>
        <v>0</v>
      </c>
      <c r="AM151" s="191" t="str">
        <f>IF(Z151=0,"","+")</f>
        <v/>
      </c>
      <c r="AN151" s="196">
        <f>PI()/4*Z151^2*$O$12/$AX$16</f>
        <v>0</v>
      </c>
      <c r="AO151" s="191" t="str">
        <f>IF(AC151=0,"","+")</f>
        <v/>
      </c>
      <c r="AP151" s="196">
        <f>PI()/4*AC151^2*$O$12/$AX$16</f>
        <v>0</v>
      </c>
      <c r="AQ151" s="191" t="str">
        <f>IF(AF151=0,"","+")</f>
        <v/>
      </c>
      <c r="AR151" s="196">
        <f>PI()/4*AF151^2*$O$12/$AX$16</f>
        <v>0</v>
      </c>
      <c r="AS151" s="191" t="str">
        <f>IF(AI151=0,"","+")</f>
        <v/>
      </c>
      <c r="AT151" s="196">
        <f>PI()/4*AI151^2*$O$12/$AX$16</f>
        <v>0</v>
      </c>
      <c r="AU151" s="191" t="s">
        <v>24</v>
      </c>
      <c r="AV151" s="319">
        <f>VALUE(AJ151)+VALUE(AL151)+VALUE(AN151)+VALUE(AP151)+VALUE(AR151)+VALUE(AT151)</f>
        <v>5361.6514621265796</v>
      </c>
      <c r="AW151" s="320">
        <f>MAX(0.3*$AJ$14^(2/3)/$AJ$16*0.26*100,0.13)</f>
        <v>0.15723814702688016</v>
      </c>
      <c r="AX151" s="196">
        <f>AW151/100*$O$12*BK151</f>
        <v>787.76311660466979</v>
      </c>
      <c r="AY151" s="196"/>
      <c r="AZ151" s="196"/>
      <c r="BA151" s="321" t="str">
        <f>IF(BB151=0,"","+")</f>
        <v/>
      </c>
      <c r="BB151" s="321"/>
      <c r="BC151" s="191" t="s">
        <v>24</v>
      </c>
      <c r="BD151" s="319">
        <f>AX151+AZ151+BB151</f>
        <v>787.76311660466979</v>
      </c>
      <c r="BE151" s="322">
        <f>(R151-($AX$14+$O$16+T151/2))</f>
        <v>501</v>
      </c>
      <c r="BF151" s="314">
        <f>IF(W151=0,0,(R151-($AX$14+T151/2+$O$16+$BI$16)))</f>
        <v>0</v>
      </c>
      <c r="BG151" s="314">
        <f>IF(Z151=0,0,(R151-($AX$14+T151/2+$BI$16+$O$16+$BI$17)))</f>
        <v>0</v>
      </c>
      <c r="BH151" s="314">
        <f>IF(AC151=0,0,(R151-($AX$14+T151/2+$O$16+$BI$16+$BI$17+$BI$18)))</f>
        <v>0</v>
      </c>
      <c r="BI151" s="314">
        <f>IF(AF151=0,0,(R151-($AX$14+T151/2+$O$16+$BI$16+$BI$17+$BI$18+$BL$16)))</f>
        <v>0</v>
      </c>
      <c r="BJ151" s="314">
        <f>IF(AI151=0,0,(R151-($AX$14+T151/2+$O$16+$BI$16+$BI$17+$BI$18+$BL$16+$BL$17)))</f>
        <v>0</v>
      </c>
      <c r="BK151" s="196">
        <f>(BE151*AJ151+BF151*AL151+BG151*AN151+BH151*AP151+BI151*AR151+BJ151*AT151)/AV151</f>
        <v>501.00000000000006</v>
      </c>
      <c r="BL151" s="323">
        <f>ABS(N151)*1000000/$O$12/BK151^2</f>
        <v>1.435832362387373</v>
      </c>
      <c r="BM151" s="323">
        <f>BL151/$AJ$14</f>
        <v>4.4869761324605406E-2</v>
      </c>
      <c r="BN151" s="324">
        <f>IF(BM151&lt;0.167,0.5+SQRT(0.25-(BM151/1.134)),0.82)</f>
        <v>0.95872901503781227</v>
      </c>
      <c r="BO151" s="319">
        <f>ABS(N151)/(0.87*$AJ$16*BN151*BK151)*10^6</f>
        <v>1724.8698681752703</v>
      </c>
      <c r="BP151" s="325">
        <v>212.86576467787614</v>
      </c>
      <c r="BQ151" s="323">
        <f>IF(Q151=0,2*ABS(P151*10^6)/$O$12/BP151/(BK151-BP151/3),Q151*BP151*1000/($O$12/2*BP151^2-(BE151-BP151)*AJ151*$AJ$18-(BF151-BP151)*AL151*$AJ$18-(BG151-BP151)*AN151*$AJ$18-(BH151-BP151)*AP151*$AJ$18-(BI151-BP151)*AR151*$AJ$18-(BJ151-BP151)*AT151*$AJ$18))</f>
        <v>5.5074075673799392</v>
      </c>
      <c r="BR151" s="314">
        <f>0.5*$O$12*BP151*BQ151 /1000</f>
        <v>586.16926161152628</v>
      </c>
      <c r="BS151" s="314">
        <f>($BQ151/$BP151)*(BE151-$BP151)*$AJ$18*AJ151/1000</f>
        <v>647.27364067336327</v>
      </c>
      <c r="BT151" s="314">
        <f>($BQ151/$BP151)*(BF151-$BP151)*$AJ$18*AL151/1000</f>
        <v>0</v>
      </c>
      <c r="BU151" s="314">
        <f>($BQ151/$BP151)*(BG151-$BP151)*$AJ$18*AN151/1000</f>
        <v>0</v>
      </c>
      <c r="BV151" s="314">
        <f>($BQ151/$BP151)*(BH151-$BP151)*$AJ$18*AP151/1000</f>
        <v>0</v>
      </c>
      <c r="BW151" s="314">
        <f>($BQ151/$BP151)*(BI151-$BP151)*$AJ$18*AR151/1000</f>
        <v>0</v>
      </c>
      <c r="BX151" s="314">
        <f>($BQ151/$BP151)*(BJ151-$BP151)*$AJ$18*AT151/1000</f>
        <v>0</v>
      </c>
      <c r="BY151" s="323">
        <f>IF(Q151=0,0,(0.5*$O$12*BP151*BQ151/1000*(R151/2-$BP151/3)+BS151*(BE151-R151/2)+BT151*(BF151-R151/2)+BU151*(BG151-R151/2)+BV151*(BH151-R151/2)+BW151*(BI151-R151/2)+BX151*(BJ151-R151/2))/1000-ABS(P151))</f>
        <v>6.5267234856491996E-4</v>
      </c>
      <c r="BZ151" s="312"/>
      <c r="CA151" s="326">
        <f>ABS(P151)/(BK151-BP151/3)/AV151*10^6-Q151*(R151/2-BP151/3)/(BK151-BP151/3)/AV151*1000</f>
        <v>120.72252878815327</v>
      </c>
      <c r="CB151" s="327">
        <f>(AV151/($O$12*MIN(2.5*(R151-BK151),(R151-BP151)/3,R151/2)-AV151))</f>
        <v>4.3349913913901986E-2</v>
      </c>
      <c r="CC151" s="327">
        <f>3.4*($O$16+$AX$14)+0.425*0.8*0.5*(T151^2+W151^2+Z151^2+AC151^2+AF151^2+AI151^2)/(T151+W151+Z151+AC151+AF151+AI151)/CB151</f>
        <v>407.6904452821862</v>
      </c>
      <c r="CD151" s="327">
        <f>MAX(0.6*CA151/$AJ$17,(CA151-0.4*0.3*$AJ$14^(2/3)/CB151*(1+$AJ$17/$AJ$15*CB151))/$AJ$17)</f>
        <v>0.36617060026616971</v>
      </c>
      <c r="CE151" s="328">
        <f>CC151*CD151/1000</f>
        <v>0.14928425507176013</v>
      </c>
      <c r="CF151" s="316" t="str">
        <f>IF(AND(AV151&gt;=BD151,AV151&gt;=BO151,CE151&lt;=(+IF(CO151="External",0.25,0.3))),"O.K", "Not O.K")</f>
        <v>O.K</v>
      </c>
      <c r="CG151" s="191"/>
      <c r="CH151" s="329" t="str">
        <f>IF(O151&lt;0.2*$AJ$14*R151*$O$12/1000,"N &lt; 0.2fckAc - OK!","TBA")</f>
        <v>N &lt; 0.2fckAc - OK!</v>
      </c>
      <c r="CI151" s="321">
        <v>139</v>
      </c>
      <c r="CJ151" s="330"/>
      <c r="CK151" s="196">
        <f>CU151</f>
        <v>103</v>
      </c>
      <c r="CL151" s="191" t="s">
        <v>72</v>
      </c>
      <c r="CM151" s="196">
        <f>CV151</f>
        <v>203</v>
      </c>
      <c r="CN151" s="331" t="s">
        <v>147</v>
      </c>
      <c r="CO151" s="15" t="str">
        <f>IF(VLOOKUP(CI151,'Summary-input'!A:C,3,0)="Outward",
IF(CP151&lt;0,"External","Internal"),
IF(CP151&lt;0,"Internal","External")
)</f>
        <v>External</v>
      </c>
      <c r="CP151">
        <v>360.39535879159314</v>
      </c>
      <c r="CQ151">
        <v>-84.846213486952351</v>
      </c>
      <c r="CR151" s="314">
        <v>264.36033821858751</v>
      </c>
      <c r="CS151" s="314">
        <v>-61.104379061837072</v>
      </c>
      <c r="CT151" s="315">
        <v>600</v>
      </c>
      <c r="CU151" s="322">
        <v>103</v>
      </c>
      <c r="CV151" s="319">
        <v>203</v>
      </c>
      <c r="CW151" s="196"/>
      <c r="CX151" s="332">
        <f>CI151</f>
        <v>139</v>
      </c>
      <c r="CY151" s="196">
        <f t="shared" ref="CY151:DD151" si="275">MAX(DN151:DN154)</f>
        <v>32</v>
      </c>
      <c r="CZ151" s="196">
        <f t="shared" si="275"/>
        <v>0</v>
      </c>
      <c r="DA151" s="196">
        <f t="shared" si="275"/>
        <v>0</v>
      </c>
      <c r="DB151" s="196">
        <f t="shared" si="275"/>
        <v>0</v>
      </c>
      <c r="DC151" s="196">
        <f t="shared" si="275"/>
        <v>0</v>
      </c>
      <c r="DD151" s="196">
        <f t="shared" si="275"/>
        <v>0</v>
      </c>
      <c r="DE151" s="196"/>
      <c r="DF151" s="196">
        <f t="shared" ref="DF151:DK151" si="276">MAX(DU151:DU154)</f>
        <v>13</v>
      </c>
      <c r="DG151" s="196">
        <f t="shared" si="276"/>
        <v>0</v>
      </c>
      <c r="DH151" s="196">
        <f t="shared" si="276"/>
        <v>0</v>
      </c>
      <c r="DI151" s="196">
        <f t="shared" si="276"/>
        <v>0</v>
      </c>
      <c r="DJ151" s="196">
        <f t="shared" si="276"/>
        <v>0</v>
      </c>
      <c r="DK151" s="196">
        <f t="shared" si="276"/>
        <v>0</v>
      </c>
      <c r="DL151" s="194"/>
      <c r="DM151" s="197">
        <f>CI151</f>
        <v>139</v>
      </c>
      <c r="DN151" s="333">
        <f>IF(CO151="external",T151,0)</f>
        <v>32</v>
      </c>
      <c r="DO151" s="333">
        <f>IF(CO151="external",W151,0)</f>
        <v>0</v>
      </c>
      <c r="DP151" s="333">
        <f>IF(CO151="external",Z151,0)</f>
        <v>0</v>
      </c>
      <c r="DQ151" s="333">
        <f>IF(CO151="external",AC151,0)</f>
        <v>0</v>
      </c>
      <c r="DR151" s="333">
        <f>IF(CO151="external",AF151,0)</f>
        <v>0</v>
      </c>
      <c r="DS151" s="200">
        <f>IF(CO151="external",AI151,0)</f>
        <v>0</v>
      </c>
      <c r="DT151" s="198"/>
      <c r="DU151" s="200">
        <f>IF(CO151="internal",T151,0)</f>
        <v>0</v>
      </c>
      <c r="DV151" s="200">
        <f>IF(CO151="internal",W151,0)</f>
        <v>0</v>
      </c>
      <c r="DW151" s="200">
        <f>IF(CO151="internal",Z151,0)</f>
        <v>0</v>
      </c>
      <c r="DX151" s="200">
        <f>IF(CO151="internal",AC151,0)</f>
        <v>0</v>
      </c>
      <c r="DY151" s="200">
        <f>IF(CO151="internal",AF151,0)</f>
        <v>0</v>
      </c>
      <c r="DZ151" s="200">
        <f>IF(CO151="internal",AI151,0)</f>
        <v>0</v>
      </c>
    </row>
    <row r="152" spans="1:130" s="189" customFormat="1" x14ac:dyDescent="0.3">
      <c r="B152" s="309">
        <f>+CI152</f>
        <v>139</v>
      </c>
      <c r="C152" s="196">
        <f t="shared" si="271"/>
        <v>0</v>
      </c>
      <c r="D152" s="196">
        <f t="shared" si="271"/>
        <v>106</v>
      </c>
      <c r="E152" s="196" t="str">
        <f t="shared" si="271"/>
        <v>--</v>
      </c>
      <c r="F152" s="196">
        <f>+CM152</f>
        <v>206</v>
      </c>
      <c r="G152" s="310" t="str">
        <f t="shared" si="272"/>
        <v>Min Mz</v>
      </c>
      <c r="H152" s="196" t="str">
        <f t="shared" si="272"/>
        <v>Internal</v>
      </c>
      <c r="I152" s="311">
        <v>0</v>
      </c>
      <c r="J152" s="312">
        <f t="shared" si="273"/>
        <v>-16.843089816021088</v>
      </c>
      <c r="K152" s="312">
        <f t="shared" si="273"/>
        <v>-343.98261033993003</v>
      </c>
      <c r="L152" s="312">
        <f t="shared" si="273"/>
        <v>7.0831749984145693</v>
      </c>
      <c r="M152" s="312">
        <f t="shared" si="273"/>
        <v>-269.81565541342042</v>
      </c>
      <c r="N152" s="312">
        <f>IF(I152*J152&gt;=0,J152*$J$19+I152*$J$18,J152)</f>
        <v>-16.843089816021088</v>
      </c>
      <c r="O152" s="312">
        <f>(K152)*$J$19</f>
        <v>-343.98261033993003</v>
      </c>
      <c r="P152" s="313">
        <f>IF(I152*L152&gt;=0,(L152)+I152,L152)</f>
        <v>7.0831749984145693</v>
      </c>
      <c r="Q152" s="314">
        <f>(M152)</f>
        <v>-269.81565541342042</v>
      </c>
      <c r="R152" s="315">
        <f t="shared" si="274"/>
        <v>600</v>
      </c>
      <c r="S152" s="316"/>
      <c r="T152" s="317">
        <v>13</v>
      </c>
      <c r="U152" s="191"/>
      <c r="V152" s="191"/>
      <c r="W152" s="317"/>
      <c r="X152" s="191"/>
      <c r="Y152" s="191"/>
      <c r="Z152" s="317"/>
      <c r="AA152" s="191"/>
      <c r="AB152" s="191"/>
      <c r="AC152" s="317"/>
      <c r="AD152" s="191"/>
      <c r="AE152" s="191"/>
      <c r="AF152" s="317"/>
      <c r="AG152" s="191"/>
      <c r="AH152" s="191"/>
      <c r="AI152" s="318"/>
      <c r="AJ152" s="196">
        <f>PI()/4*T152^2*$O$12/$AX$16</f>
        <v>884.88193076112498</v>
      </c>
      <c r="AK152" s="191" t="str">
        <f>IF(W152=0,"","+")</f>
        <v/>
      </c>
      <c r="AL152" s="196">
        <f>PI()/4*W152^2*$O$12/$AX$16</f>
        <v>0</v>
      </c>
      <c r="AM152" s="191" t="str">
        <f>IF(Z152=0,"","+")</f>
        <v/>
      </c>
      <c r="AN152" s="196">
        <f>PI()/4*Z152^2*$O$12/$AX$16</f>
        <v>0</v>
      </c>
      <c r="AO152" s="191" t="str">
        <f>IF(AC152=0,"","+")</f>
        <v/>
      </c>
      <c r="AP152" s="196">
        <f>PI()/4*AC152^2*$O$12/$AX$16</f>
        <v>0</v>
      </c>
      <c r="AQ152" s="191" t="str">
        <f>IF(AF152=0,"","+")</f>
        <v/>
      </c>
      <c r="AR152" s="196">
        <f>PI()/4*AF152^2*$O$12/$AX$16</f>
        <v>0</v>
      </c>
      <c r="AS152" s="191" t="str">
        <f>IF(AI152=0,"","+")</f>
        <v/>
      </c>
      <c r="AT152" s="196">
        <f>PI()/4*AI152^2*$O$12/$AX$16</f>
        <v>0</v>
      </c>
      <c r="AU152" s="191" t="s">
        <v>24</v>
      </c>
      <c r="AV152" s="319">
        <f>VALUE(AJ152)+VALUE(AL152)+VALUE(AN152)+VALUE(AP152)+VALUE(AR152)+VALUE(AT152)</f>
        <v>884.88193076112498</v>
      </c>
      <c r="AW152" s="320">
        <f>MAX(0.3*$AJ$14^(2/3)/$AJ$16*0.26*100,0.13)</f>
        <v>0.15723814702688016</v>
      </c>
      <c r="AX152" s="196">
        <f>AW152/100*$O$12*BK152</f>
        <v>802.70074057222325</v>
      </c>
      <c r="AY152" s="196"/>
      <c r="AZ152" s="196"/>
      <c r="BA152" s="321" t="str">
        <f>IF(BB152=0,"","+")</f>
        <v/>
      </c>
      <c r="BB152" s="321"/>
      <c r="BC152" s="191" t="s">
        <v>24</v>
      </c>
      <c r="BD152" s="319">
        <f>AX152+AZ152+BB152</f>
        <v>802.70074057222325</v>
      </c>
      <c r="BE152" s="322">
        <f>(R152-($AX$14+$O$16+T152/2))</f>
        <v>510.5</v>
      </c>
      <c r="BF152" s="314">
        <f>IF(W152=0,0,(R152-($AX$14+T152/2+$O$16+$BI$16)))</f>
        <v>0</v>
      </c>
      <c r="BG152" s="314">
        <f>IF(Z152=0,0,(R152-($AX$14+T152/2+$BI$16+$O$16+$BI$17)))</f>
        <v>0</v>
      </c>
      <c r="BH152" s="314">
        <f>IF(AC152=0,0,(R152-($AX$14+T152/2+$O$16+$BI$16+$BI$17+$BI$18)))</f>
        <v>0</v>
      </c>
      <c r="BI152" s="314">
        <f>IF(AF152=0,0,(R152-($AX$14+T152/2+$O$16+$BI$16+$BI$17+$BI$18+$BL$16)))</f>
        <v>0</v>
      </c>
      <c r="BJ152" s="314">
        <f>IF(AI152=0,0,(R152-($AX$14+T152/2+$O$16+$BI$16+$BI$17+$BI$18+$BL$16+$BL$17)))</f>
        <v>0</v>
      </c>
      <c r="BK152" s="196">
        <f>(BE152*AJ152+BF152*AL152+BG152*AN152+BH152*AP152+BI152*AR152+BJ152*AT152)/AV152</f>
        <v>510.5</v>
      </c>
      <c r="BL152" s="323">
        <f>ABS(N152)*1000000/$O$12/BK152^2</f>
        <v>6.4629421966408029E-2</v>
      </c>
      <c r="BM152" s="323">
        <f>BL152/$AJ$14</f>
        <v>2.0196694364502509E-3</v>
      </c>
      <c r="BN152" s="324">
        <f>IF(BM152&lt;0.167,0.5+SQRT(0.25-(BM152/1.134)),0.82)</f>
        <v>0.99821580302877788</v>
      </c>
      <c r="BO152" s="319">
        <f>ABS(N152)/(0.87*$AJ$16*BN152*BK152)*10^6</f>
        <v>75.982279799119311</v>
      </c>
      <c r="BP152" s="325">
        <v>971.01849328753428</v>
      </c>
      <c r="BQ152" s="323">
        <f>IF(Q152=0,2*ABS(P152*10^6)/$O$12/BP152/(BK152-BP152/3),Q152*BP152*1000/($O$12/2*BP152^2-(BE152-BP152)*AJ152*$AJ$18-(BF152-BP152)*AL152*$AJ$18-(BG152-BP152)*AN152*$AJ$18-(BH152-BP152)*AP152*$AJ$18-(BI152-BP152)*AR152*$AJ$18-(BJ152-BP152)*AT152*$AJ$18))</f>
        <v>-0.54806569236685432</v>
      </c>
      <c r="BR152" s="314">
        <f>0.5*$O$12*BP152*BQ152 /1000</f>
        <v>-266.09096141232607</v>
      </c>
      <c r="BS152" s="314">
        <f>($BQ152/$BP152)*(BE152-$BP152)*$AJ$18*AJ152/1000</f>
        <v>3.7246940010943566</v>
      </c>
      <c r="BT152" s="314">
        <f>($BQ152/$BP152)*(BF152-$BP152)*$AJ$18*AL152/1000</f>
        <v>0</v>
      </c>
      <c r="BU152" s="314">
        <f>($BQ152/$BP152)*(BG152-$BP152)*$AJ$18*AN152/1000</f>
        <v>0</v>
      </c>
      <c r="BV152" s="314">
        <f>($BQ152/$BP152)*(BH152-$BP152)*$AJ$18*AP152/1000</f>
        <v>0</v>
      </c>
      <c r="BW152" s="314">
        <f>($BQ152/$BP152)*(BI152-$BP152)*$AJ$18*AR152/1000</f>
        <v>0</v>
      </c>
      <c r="BX152" s="314">
        <f>($BQ152/$BP152)*(BJ152-$BP152)*$AJ$18*AT152/1000</f>
        <v>0</v>
      </c>
      <c r="BY152" s="323">
        <f>IF(Q152=0,0,(0.5*$O$12*BP152*BQ152/1000*(R152/2-$BP152/3)+BS152*(BE152-R152/2)+BT152*(BF152-R152/2)+BU152*(BG152-R152/2)+BV152*(BH152-R152/2)+BW152*(BI152-R152/2)+BX152*(BJ152-R152/2))/1000-ABS(P152))</f>
        <v>-5.2553927076814944E-7</v>
      </c>
      <c r="BZ152" s="312"/>
      <c r="CA152" s="326">
        <f>ABS(P152)/(BK152-BP152/3)/AV152*10^6-Q152*(R152/2-BP152/3)/(BK152-BP152/3)/AV152*1000</f>
        <v>4.2092585288309081</v>
      </c>
      <c r="CB152" s="327">
        <f>(AV152/($O$12*MIN(2.5*(R152-BK152),(R152-BP152)/3,R152/2)-AV152))</f>
        <v>-7.1041921793483127E-3</v>
      </c>
      <c r="CC152" s="327">
        <f>3.4*($O$16+$AX$14)+0.425*0.8*0.5*(T152^2+W152^2+Z152^2+AC152^2+AF152^2+AI152^2)/(T152+W152+Z152+AC152+AF152+AI152)/CB152</f>
        <v>-28.883926814987944</v>
      </c>
      <c r="CD152" s="327">
        <f>MAX(0.6*CA152/$AJ$17,(CA152-0.4*0.3*$AJ$14^(2/3)/CB152*(1+$AJ$17/$AJ$15*CB152))/$AJ$17)</f>
        <v>0.77438633282475888</v>
      </c>
      <c r="CE152" s="328">
        <f>CC152*CD152/1000</f>
        <v>-2.2367318163837233E-2</v>
      </c>
      <c r="CF152" s="316" t="str">
        <f>IF(AND(AV152&gt;=BD152,AV152&gt;=BO152,CE152&lt;=(+IF(CO152="External",0.25,0.3))),"O.K", "Not O.K")</f>
        <v>O.K</v>
      </c>
      <c r="CG152" s="191"/>
      <c r="CH152" s="329" t="str">
        <f>IF(O152&lt;0.2*$AJ$14*R152*$O$12/1000,"N &lt; 0.2fckAc - OK!","TBA")</f>
        <v>N &lt; 0.2fckAc - OK!</v>
      </c>
      <c r="CI152" s="321">
        <v>139</v>
      </c>
      <c r="CJ152" s="330"/>
      <c r="CK152" s="196">
        <f>CU152</f>
        <v>106</v>
      </c>
      <c r="CL152" s="191" t="s">
        <v>72</v>
      </c>
      <c r="CM152" s="196">
        <f>CV152</f>
        <v>206</v>
      </c>
      <c r="CN152" s="331" t="s">
        <v>148</v>
      </c>
      <c r="CO152" s="15" t="str">
        <f>IF(VLOOKUP(CI152,'Summary-input'!A:C,3,0)="Outward",
IF(CP152&lt;0,"External","Internal"),
IF(CP152&lt;0,"Internal","External")
)</f>
        <v>Internal</v>
      </c>
      <c r="CP152">
        <v>-16.843089816021088</v>
      </c>
      <c r="CQ152">
        <v>-343.98261033993003</v>
      </c>
      <c r="CR152" s="314">
        <v>7.0831749984145693</v>
      </c>
      <c r="CS152" s="314">
        <v>-269.81565541342042</v>
      </c>
      <c r="CT152" s="315">
        <v>600</v>
      </c>
      <c r="CU152" s="322">
        <v>106</v>
      </c>
      <c r="CV152" s="319">
        <v>206</v>
      </c>
      <c r="CW152" s="196"/>
      <c r="CX152" s="332"/>
      <c r="CY152" s="196"/>
      <c r="CZ152" s="196"/>
      <c r="DA152" s="196"/>
      <c r="DB152" s="196"/>
      <c r="DC152" s="196"/>
      <c r="DD152" s="196"/>
      <c r="DE152" s="196"/>
      <c r="DF152" s="196"/>
      <c r="DG152" s="196"/>
      <c r="DH152" s="196"/>
      <c r="DI152" s="196"/>
      <c r="DJ152" s="334"/>
      <c r="DK152" s="194"/>
      <c r="DL152" s="194"/>
      <c r="DM152" s="197"/>
      <c r="DN152" s="333">
        <f>IF(CO152="external",T152,0)</f>
        <v>0</v>
      </c>
      <c r="DO152" s="333">
        <f>IF(CO152="external",W152,0)</f>
        <v>0</v>
      </c>
      <c r="DP152" s="333">
        <f>IF(CO152="external",Z152,0)</f>
        <v>0</v>
      </c>
      <c r="DQ152" s="333">
        <f>IF(CO152="external",AC152,0)</f>
        <v>0</v>
      </c>
      <c r="DR152" s="333">
        <f>IF(CO152="external",AF152,0)</f>
        <v>0</v>
      </c>
      <c r="DS152" s="200">
        <f>IF(CO152="external",AI152,0)</f>
        <v>0</v>
      </c>
      <c r="DT152" s="198"/>
      <c r="DU152" s="200">
        <f>IF(CO152="internal",T152,0)</f>
        <v>13</v>
      </c>
      <c r="DV152" s="200">
        <f>IF(CO152="internal",W152,0)</f>
        <v>0</v>
      </c>
      <c r="DW152" s="200">
        <f>IF(CO152="internal",Z152,0)</f>
        <v>0</v>
      </c>
      <c r="DX152" s="200">
        <f>IF(CO152="internal",AC152,0)</f>
        <v>0</v>
      </c>
      <c r="DY152" s="200">
        <f>IF(CO152="internal",AF152,0)</f>
        <v>0</v>
      </c>
      <c r="DZ152" s="200">
        <f>IF(CO152="internal",AI152,0)</f>
        <v>0</v>
      </c>
    </row>
    <row r="153" spans="1:130" s="189" customFormat="1" x14ac:dyDescent="0.3">
      <c r="B153" s="309">
        <f>+CI153</f>
        <v>139</v>
      </c>
      <c r="C153" s="196">
        <f t="shared" si="271"/>
        <v>0</v>
      </c>
      <c r="D153" s="196">
        <f t="shared" si="271"/>
        <v>104</v>
      </c>
      <c r="E153" s="196" t="str">
        <f t="shared" si="271"/>
        <v>--</v>
      </c>
      <c r="F153" s="196">
        <f>+CM153</f>
        <v>204</v>
      </c>
      <c r="G153" s="310" t="str">
        <f t="shared" si="272"/>
        <v>Max Fx</v>
      </c>
      <c r="H153" s="196" t="str">
        <f t="shared" si="272"/>
        <v>External</v>
      </c>
      <c r="I153" s="311">
        <v>0</v>
      </c>
      <c r="J153" s="312">
        <f t="shared" si="273"/>
        <v>263.42014128276332</v>
      </c>
      <c r="K153" s="312">
        <f t="shared" si="273"/>
        <v>-926.68652881079925</v>
      </c>
      <c r="L153" s="312">
        <f t="shared" si="273"/>
        <v>185.00397874931144</v>
      </c>
      <c r="M153" s="312">
        <f t="shared" si="273"/>
        <v>-613.72529486263579</v>
      </c>
      <c r="N153" s="312">
        <f>IF(I153*J153&gt;=0,J153*$J$19+I153*$J$18,J153)</f>
        <v>263.42014128276332</v>
      </c>
      <c r="O153" s="312">
        <f>(K153)*$J$19</f>
        <v>-926.68652881079925</v>
      </c>
      <c r="P153" s="313">
        <f>IF(I153*L153&gt;=0,(L153)+I153,L153)</f>
        <v>185.00397874931144</v>
      </c>
      <c r="Q153" s="314">
        <f>(M153)</f>
        <v>-613.72529486263579</v>
      </c>
      <c r="R153" s="315">
        <f t="shared" si="274"/>
        <v>600</v>
      </c>
      <c r="S153" s="316"/>
      <c r="T153" s="317">
        <v>16</v>
      </c>
      <c r="U153" s="191"/>
      <c r="V153" s="191"/>
      <c r="W153" s="317"/>
      <c r="X153" s="191"/>
      <c r="Y153" s="191"/>
      <c r="Z153" s="317"/>
      <c r="AA153" s="191"/>
      <c r="AB153" s="191"/>
      <c r="AC153" s="317"/>
      <c r="AD153" s="191"/>
      <c r="AE153" s="191"/>
      <c r="AF153" s="317"/>
      <c r="AG153" s="191"/>
      <c r="AH153" s="191"/>
      <c r="AI153" s="318"/>
      <c r="AJ153" s="196">
        <f>PI()/4*T153^2*$O$12/$AX$16</f>
        <v>1340.4128655316449</v>
      </c>
      <c r="AK153" s="191" t="str">
        <f>IF(W153=0,"","+")</f>
        <v/>
      </c>
      <c r="AL153" s="196">
        <f>PI()/4*W153^2*$O$12/$AX$16</f>
        <v>0</v>
      </c>
      <c r="AM153" s="191" t="str">
        <f>IF(Z153=0,"","+")</f>
        <v/>
      </c>
      <c r="AN153" s="196">
        <f>PI()/4*Z153^2*$O$12/$AX$16</f>
        <v>0</v>
      </c>
      <c r="AO153" s="191" t="str">
        <f>IF(AC153=0,"","+")</f>
        <v/>
      </c>
      <c r="AP153" s="196">
        <f>PI()/4*AC153^2*$O$12/$AX$16</f>
        <v>0</v>
      </c>
      <c r="AQ153" s="191" t="str">
        <f>IF(AF153=0,"","+")</f>
        <v/>
      </c>
      <c r="AR153" s="196">
        <f>PI()/4*AF153^2*$O$12/$AX$16</f>
        <v>0</v>
      </c>
      <c r="AS153" s="191" t="str">
        <f>IF(AI153=0,"","+")</f>
        <v/>
      </c>
      <c r="AT153" s="196">
        <f>PI()/4*AI153^2*$O$12/$AX$16</f>
        <v>0</v>
      </c>
      <c r="AU153" s="191" t="s">
        <v>24</v>
      </c>
      <c r="AV153" s="319">
        <f>VALUE(AJ153)+VALUE(AL153)+VALUE(AN153)+VALUE(AP153)+VALUE(AR153)+VALUE(AT153)</f>
        <v>1340.4128655316449</v>
      </c>
      <c r="AW153" s="320">
        <f>MAX(0.3*$AJ$14^(2/3)/$AJ$16*0.26*100,0.13)</f>
        <v>0.15723814702688016</v>
      </c>
      <c r="AX153" s="196">
        <f>AW153/100*$O$12*BK153</f>
        <v>800.34216836682015</v>
      </c>
      <c r="AY153" s="196"/>
      <c r="AZ153" s="196"/>
      <c r="BA153" s="321" t="str">
        <f>IF(BB153=0,"","+")</f>
        <v/>
      </c>
      <c r="BB153" s="321"/>
      <c r="BC153" s="191" t="s">
        <v>24</v>
      </c>
      <c r="BD153" s="319">
        <f>AX153+AZ153+BB153</f>
        <v>800.34216836682015</v>
      </c>
      <c r="BE153" s="322">
        <f>(R153-($AX$14+$O$16+T153/2))</f>
        <v>509</v>
      </c>
      <c r="BF153" s="314">
        <f>IF(W153=0,0,(R153-($AX$14+T153/2+$O$16+$BI$16)))</f>
        <v>0</v>
      </c>
      <c r="BG153" s="314">
        <f>IF(Z153=0,0,(R153-($AX$14+T153/2+$BI$16+$O$16+$BI$17)))</f>
        <v>0</v>
      </c>
      <c r="BH153" s="314">
        <f>IF(AC153=0,0,(R153-($AX$14+T153/2+$O$16+$BI$16+$BI$17+$BI$18)))</f>
        <v>0</v>
      </c>
      <c r="BI153" s="314">
        <f>IF(AF153=0,0,(R153-($AX$14+T153/2+$O$16+$BI$16+$BI$17+$BI$18+$BL$16)))</f>
        <v>0</v>
      </c>
      <c r="BJ153" s="314">
        <f>IF(AI153=0,0,(R153-($AX$14+T153/2+$O$16+$BI$16+$BI$17+$BI$18+$BL$16+$BL$17)))</f>
        <v>0</v>
      </c>
      <c r="BK153" s="196">
        <f>(BE153*AJ153+BF153*AL153+BG153*AN153+BH153*AP153+BI153*AR153+BJ153*AT153)/AV153</f>
        <v>509.00000000000006</v>
      </c>
      <c r="BL153" s="323">
        <f>ABS(N153)*1000000/$O$12/BK153^2</f>
        <v>1.0167482033910757</v>
      </c>
      <c r="BM153" s="323">
        <f>BL153/$AJ$14</f>
        <v>3.1773381355971117E-2</v>
      </c>
      <c r="BN153" s="324">
        <f>IF(BM153&lt;0.167,0.5+SQRT(0.25-(BM153/1.134)),0.82)</f>
        <v>0.97114875059660077</v>
      </c>
      <c r="BO153" s="319">
        <f>ABS(N153)/(0.87*$AJ$16*BN153*BK153)*10^6</f>
        <v>1225.0566814262738</v>
      </c>
      <c r="BP153" s="325">
        <v>1809.1184007307947</v>
      </c>
      <c r="BQ153" s="323">
        <f>IF(Q153=0,2*ABS(P153*10^6)/$O$12/BP153/(BK153-BP153/3),Q153*BP153*1000/($O$12/2*BP153^2-(BE153-BP153)*AJ153*$AJ$18-(BF153-BP153)*AL153*$AJ$18-(BG153-BP153)*AN153*$AJ$18-(BH153-BP153)*AP153*$AJ$18-(BI153-BP153)*AR153*$AJ$18-(BJ153-BP153)*AT153*$AJ$18))</f>
        <v>-0.6669777384818496</v>
      </c>
      <c r="BR153" s="314">
        <f>0.5*$O$12*BP153*BQ153 /1000</f>
        <v>-603.320849782663</v>
      </c>
      <c r="BS153" s="314">
        <f>($BQ153/$BP153)*(BE153-$BP153)*$AJ$18*AJ153/1000</f>
        <v>10.404445079972774</v>
      </c>
      <c r="BT153" s="314">
        <f>($BQ153/$BP153)*(BF153-$BP153)*$AJ$18*AL153/1000</f>
        <v>0</v>
      </c>
      <c r="BU153" s="314">
        <f>($BQ153/$BP153)*(BG153-$BP153)*$AJ$18*AN153/1000</f>
        <v>0</v>
      </c>
      <c r="BV153" s="314">
        <f>($BQ153/$BP153)*(BH153-$BP153)*$AJ$18*AP153/1000</f>
        <v>0</v>
      </c>
      <c r="BW153" s="314">
        <f>($BQ153/$BP153)*(BI153-$BP153)*$AJ$18*AR153/1000</f>
        <v>0</v>
      </c>
      <c r="BX153" s="314">
        <f>($BQ153/$BP153)*(BJ153-$BP153)*$AJ$18*AT153/1000</f>
        <v>0</v>
      </c>
      <c r="BY153" s="323">
        <f>IF(Q153=0,0,(0.5*$O$12*BP153*BQ153/1000*(R153/2-$BP153/3)+BS153*(BE153-R153/2)+BT153*(BF153-R153/2)+BU153*(BG153-R153/2)+BV153*(BH153-R153/2)+BW153*(BI153-R153/2)+BX153*(BJ153-R153/2))/1000-ABS(P153))</f>
        <v>5.7896638907095621E-4</v>
      </c>
      <c r="BZ153" s="312"/>
      <c r="CA153" s="326">
        <f>ABS(P153)/(BK153-BP153/3)/AV153*10^6-Q153*(R153/2-BP153/3)/(BK153-BP153/3)/AV153*1000</f>
        <v>7.7667127641454954</v>
      </c>
      <c r="CB153" s="327">
        <f>(AV153/($O$12*MIN(2.5*(R153-BK153),(R153-BP153)/3,R153/2)-AV153))</f>
        <v>-3.3147367922331358E-3</v>
      </c>
      <c r="CC153" s="327">
        <f>3.4*($O$16+$AX$14)+0.425*0.8*0.5*(T153^2+W153^2+Z153^2+AC153^2+AF153^2+AI153^2)/(T153+W153+Z153+AC153+AF153+AI153)/CB153</f>
        <v>-538.37797360361105</v>
      </c>
      <c r="CD153" s="327">
        <f>MAX(0.6*CA153/$AJ$17,(CA153-0.4*0.3*$AJ$14^(2/3)/CB153*(1+$AJ$17/$AJ$15*CB153))/$AJ$17)</f>
        <v>1.7653635592210528</v>
      </c>
      <c r="CE153" s="328">
        <f>CC153*CD153/1000</f>
        <v>-0.9504328556870888</v>
      </c>
      <c r="CF153" s="316" t="str">
        <f>IF(AND(AV153&gt;=BD153,AV153&gt;=BO153,CE153&lt;=(+IF(CO153="External",0.25,0.3))),"O.K", "Not O.K")</f>
        <v>O.K</v>
      </c>
      <c r="CG153" s="191"/>
      <c r="CH153" s="329" t="str">
        <f>IF(O153&lt;0.2*$AJ$14*R153*$O$12/1000,"N &lt; 0.2fckAc - OK!","TBA")</f>
        <v>N &lt; 0.2fckAc - OK!</v>
      </c>
      <c r="CI153" s="321">
        <v>139</v>
      </c>
      <c r="CJ153" s="330"/>
      <c r="CK153" s="196">
        <f>CU153</f>
        <v>104</v>
      </c>
      <c r="CL153" s="191" t="s">
        <v>72</v>
      </c>
      <c r="CM153" s="196">
        <f>CV153</f>
        <v>204</v>
      </c>
      <c r="CN153" s="331" t="s">
        <v>145</v>
      </c>
      <c r="CO153" s="15" t="str">
        <f>IF(VLOOKUP(CI153,'Summary-input'!A:C,3,0)="Outward",
IF(CP153&lt;0,"External","Internal"),
IF(CP153&lt;0,"Internal","External")
)</f>
        <v>External</v>
      </c>
      <c r="CP153">
        <v>263.42014128276332</v>
      </c>
      <c r="CQ153">
        <v>-926.68652881079925</v>
      </c>
      <c r="CR153" s="314">
        <v>185.00397874931144</v>
      </c>
      <c r="CS153" s="314">
        <v>-613.72529486263579</v>
      </c>
      <c r="CT153" s="315">
        <v>600</v>
      </c>
      <c r="CU153" s="322">
        <v>104</v>
      </c>
      <c r="CV153" s="319">
        <v>204</v>
      </c>
      <c r="CW153" s="196"/>
      <c r="CX153" s="332"/>
      <c r="CY153" s="196"/>
      <c r="CZ153" s="196"/>
      <c r="DA153" s="196"/>
      <c r="DB153" s="196"/>
      <c r="DC153" s="196"/>
      <c r="DD153" s="196"/>
      <c r="DE153" s="196"/>
      <c r="DF153" s="196"/>
      <c r="DG153" s="196"/>
      <c r="DH153" s="196"/>
      <c r="DI153" s="196"/>
      <c r="DJ153" s="334"/>
      <c r="DK153" s="194"/>
      <c r="DL153" s="194"/>
      <c r="DM153" s="197"/>
      <c r="DN153" s="333">
        <f>IF(CO153="external",T153,0)</f>
        <v>16</v>
      </c>
      <c r="DO153" s="333">
        <f>IF(CO153="external",W153,0)</f>
        <v>0</v>
      </c>
      <c r="DP153" s="333">
        <f>IF(CO153="external",Z153,0)</f>
        <v>0</v>
      </c>
      <c r="DQ153" s="333">
        <f>IF(CO153="external",AC153,0)</f>
        <v>0</v>
      </c>
      <c r="DR153" s="333">
        <f>IF(CO153="external",AF153,0)</f>
        <v>0</v>
      </c>
      <c r="DS153" s="200">
        <f>IF(CO153="external",AI153,0)</f>
        <v>0</v>
      </c>
      <c r="DT153" s="198"/>
      <c r="DU153" s="200">
        <f>IF(CO153="internal",T153,0)</f>
        <v>0</v>
      </c>
      <c r="DV153" s="200">
        <f>IF(CO153="internal",W153,0)</f>
        <v>0</v>
      </c>
      <c r="DW153" s="200">
        <f>IF(CO153="internal",Z153,0)</f>
        <v>0</v>
      </c>
      <c r="DX153" s="200">
        <f>IF(CO153="internal",AC153,0)</f>
        <v>0</v>
      </c>
      <c r="DY153" s="200">
        <f>IF(CO153="internal",AF153,0)</f>
        <v>0</v>
      </c>
      <c r="DZ153" s="200">
        <f>IF(CO153="internal",AI153,0)</f>
        <v>0</v>
      </c>
    </row>
    <row r="154" spans="1:130" s="189" customFormat="1" ht="15" thickBot="1" x14ac:dyDescent="0.35">
      <c r="B154" s="335">
        <f>+CI154</f>
        <v>139</v>
      </c>
      <c r="C154" s="336">
        <f t="shared" si="271"/>
        <v>0</v>
      </c>
      <c r="D154" s="336">
        <f t="shared" si="271"/>
        <v>103</v>
      </c>
      <c r="E154" s="336" t="str">
        <f t="shared" si="271"/>
        <v>--</v>
      </c>
      <c r="F154" s="336">
        <f>+CM154</f>
        <v>203</v>
      </c>
      <c r="G154" s="337" t="str">
        <f t="shared" si="272"/>
        <v>Min Fx</v>
      </c>
      <c r="H154" s="336" t="str">
        <f t="shared" si="272"/>
        <v>External</v>
      </c>
      <c r="I154" s="338">
        <v>0</v>
      </c>
      <c r="J154" s="339">
        <f t="shared" si="273"/>
        <v>282.60192414163123</v>
      </c>
      <c r="K154" s="339">
        <f t="shared" si="273"/>
        <v>-67.638796228042338</v>
      </c>
      <c r="L154" s="339">
        <f t="shared" si="273"/>
        <v>207.29089695580828</v>
      </c>
      <c r="M154" s="339">
        <f t="shared" si="273"/>
        <v>-48.358144055237062</v>
      </c>
      <c r="N154" s="339">
        <f>IF(I154*J154&gt;=0,J154*$J$19+I154*$J$18,J154)</f>
        <v>282.60192414163123</v>
      </c>
      <c r="O154" s="339">
        <f>(K154)*$J$19</f>
        <v>-67.638796228042338</v>
      </c>
      <c r="P154" s="340">
        <f>IF(I154*L154&gt;=0,(L154)+I154,L154)</f>
        <v>207.29089695580828</v>
      </c>
      <c r="Q154" s="341">
        <f>(M154)</f>
        <v>-48.358144055237062</v>
      </c>
      <c r="R154" s="342">
        <f t="shared" si="274"/>
        <v>600</v>
      </c>
      <c r="S154" s="343"/>
      <c r="T154" s="344">
        <v>25</v>
      </c>
      <c r="U154" s="345"/>
      <c r="V154" s="345"/>
      <c r="W154" s="344"/>
      <c r="X154" s="345"/>
      <c r="Y154" s="345"/>
      <c r="Z154" s="344"/>
      <c r="AA154" s="345"/>
      <c r="AB154" s="345"/>
      <c r="AC154" s="344"/>
      <c r="AD154" s="345"/>
      <c r="AE154" s="345"/>
      <c r="AF154" s="344"/>
      <c r="AG154" s="345"/>
      <c r="AH154" s="345"/>
      <c r="AI154" s="346"/>
      <c r="AJ154" s="336">
        <f>PI()/4*T154^2*$O$12/$AX$16</f>
        <v>3272.4923474893681</v>
      </c>
      <c r="AK154" s="345" t="str">
        <f>IF(W154=0,"","+")</f>
        <v/>
      </c>
      <c r="AL154" s="336">
        <f>PI()/4*W154^2*$O$12/$AX$16</f>
        <v>0</v>
      </c>
      <c r="AM154" s="345" t="str">
        <f>IF(Z154=0,"","+")</f>
        <v/>
      </c>
      <c r="AN154" s="336">
        <f>PI()/4*Z154^2*$O$12/$AX$16</f>
        <v>0</v>
      </c>
      <c r="AO154" s="345" t="str">
        <f>IF(AC154=0,"","+")</f>
        <v/>
      </c>
      <c r="AP154" s="336">
        <f>PI()/4*AC154^2*$O$12/$AX$16</f>
        <v>0</v>
      </c>
      <c r="AQ154" s="345" t="str">
        <f>IF(AF154=0,"","+")</f>
        <v/>
      </c>
      <c r="AR154" s="336">
        <f>PI()/4*AF154^2*$O$12/$AX$16</f>
        <v>0</v>
      </c>
      <c r="AS154" s="345" t="str">
        <f>IF(AI154=0,"","+")</f>
        <v/>
      </c>
      <c r="AT154" s="336">
        <f>PI()/4*AI154^2*$O$12/$AX$16</f>
        <v>0</v>
      </c>
      <c r="AU154" s="345" t="s">
        <v>24</v>
      </c>
      <c r="AV154" s="347">
        <f>VALUE(AJ154)+VALUE(AL154)+VALUE(AN154)+VALUE(AP154)+VALUE(AR154)+VALUE(AT154)</f>
        <v>3272.4923474893681</v>
      </c>
      <c r="AW154" s="348">
        <f>MAX(0.3*$AJ$14^(2/3)/$AJ$16*0.26*100,0.13)</f>
        <v>0.15723814702688016</v>
      </c>
      <c r="AX154" s="336">
        <f>AW154/100*$O$12*BK154</f>
        <v>793.26645175061049</v>
      </c>
      <c r="AY154" s="336"/>
      <c r="AZ154" s="336"/>
      <c r="BA154" s="349" t="str">
        <f>IF(BB154=0,"","+")</f>
        <v/>
      </c>
      <c r="BB154" s="349"/>
      <c r="BC154" s="345" t="s">
        <v>24</v>
      </c>
      <c r="BD154" s="347">
        <f>AX154+AZ154+BB154</f>
        <v>793.26645175061049</v>
      </c>
      <c r="BE154" s="350">
        <f>(R154-($AX$14+$O$16+T154/2))</f>
        <v>504.5</v>
      </c>
      <c r="BF154" s="341">
        <f>IF(W154=0,0,(R154-($AX$14+T154/2+$O$16+$BI$16)))</f>
        <v>0</v>
      </c>
      <c r="BG154" s="341">
        <f>IF(Z154=0,0,(R154-($AX$14+T154/2+$BI$16+$O$16+$BI$17)))</f>
        <v>0</v>
      </c>
      <c r="BH154" s="341">
        <f>IF(AC154=0,0,(R154-($AX$14+T154/2+$O$16+$BI$16+$BI$17+$BI$18)))</f>
        <v>0</v>
      </c>
      <c r="BI154" s="341">
        <f>IF(AF154=0,0,(R154-($AX$14+T154/2+$O$16+$BI$16+$BI$17+$BI$18+$BL$16)))</f>
        <v>0</v>
      </c>
      <c r="BJ154" s="341">
        <f>IF(AI154=0,0,(R154-($AX$14+T154/2+$O$16+$BI$16+$BI$17+$BI$18+$BL$16+$BL$17)))</f>
        <v>0</v>
      </c>
      <c r="BK154" s="336">
        <f>(BE154*AJ154+BF154*AL154+BG154*AN154+BH154*AP154+BI154*AR154+BJ154*AT154)/AV154</f>
        <v>504.5</v>
      </c>
      <c r="BL154" s="351">
        <f>ABS(N154)*1000000/$O$12/BK154^2</f>
        <v>1.1103317875164402</v>
      </c>
      <c r="BM154" s="351">
        <f>BL154/$AJ$14</f>
        <v>3.4697868359888757E-2</v>
      </c>
      <c r="BN154" s="352">
        <f>IF(BM154&lt;0.167,0.5+SQRT(0.25-(BM154/1.134)),0.82)</f>
        <v>0.96840392023004096</v>
      </c>
      <c r="BO154" s="347">
        <f>ABS(N154)/(0.87*$AJ$16*BN154*BK154)*10^6</f>
        <v>1329.7443328465561</v>
      </c>
      <c r="BP154" s="353">
        <v>176.92611729705357</v>
      </c>
      <c r="BQ154" s="351">
        <f>IF(Q154=0,2*ABS(P154*10^6)/$O$12/BP154/(BK154-BP154/3),Q154*BP154*1000/($O$12/2*BP154^2-(BE154-BP154)*AJ154*$AJ$18-(BF154-BP154)*AL154*$AJ$18-(BG154-BP154)*AN154*$AJ$18-(BH154-BP154)*AP154*$AJ$18-(BI154-BP154)*AR154*$AJ$18-(BJ154-BP154)*AT154*$AJ$18))</f>
        <v>5.008600245316531</v>
      </c>
      <c r="BR154" s="341">
        <f>0.5*$O$12*BP154*BQ154 /1000</f>
        <v>443.07609724846191</v>
      </c>
      <c r="BS154" s="341">
        <f>($BQ154/$BP154)*(BE154-$BP154)*$AJ$18*AJ154/1000</f>
        <v>491.43424130369903</v>
      </c>
      <c r="BT154" s="341">
        <f>($BQ154/$BP154)*(BF154-$BP154)*$AJ$18*AL154/1000</f>
        <v>0</v>
      </c>
      <c r="BU154" s="341">
        <f>($BQ154/$BP154)*(BG154-$BP154)*$AJ$18*AN154/1000</f>
        <v>0</v>
      </c>
      <c r="BV154" s="341">
        <f>($BQ154/$BP154)*(BH154-$BP154)*$AJ$18*AP154/1000</f>
        <v>0</v>
      </c>
      <c r="BW154" s="341">
        <f>($BQ154/$BP154)*(BI154-$BP154)*$AJ$18*AR154/1000</f>
        <v>0</v>
      </c>
      <c r="BX154" s="341">
        <f>($BQ154/$BP154)*(BJ154-$BP154)*$AJ$18*AT154/1000</f>
        <v>0</v>
      </c>
      <c r="BY154" s="351">
        <f>IF(Q154=0,0,(0.5*$O$12*BP154*BQ154/1000*(R154/2-$BP154/3)+BS154*(BE154-R154/2)+BT154*(BF154-R154/2)+BU154*(BG154-R154/2)+BV154*(BH154-R154/2)+BW154*(BI154-R154/2)+BX154*(BJ154-R154/2))/1000-ABS(P154))</f>
        <v>-3.4328576393249932E-4</v>
      </c>
      <c r="BZ154" s="339"/>
      <c r="CA154" s="354">
        <f>ABS(P154)/(BK154-BP154/3)/AV154*10^6-Q154*(R154/2-BP154/3)/(BK154-BP154/3)/AV154*1000</f>
        <v>150.17147777320591</v>
      </c>
      <c r="CB154" s="355">
        <f>(AV154/($O$12*MIN(2.5*(R154-BK154),(R154-BP154)/3,R154/2)-AV154))</f>
        <v>2.3756382013673878E-2</v>
      </c>
      <c r="CC154" s="355">
        <f>3.4*($O$16+$AX$14)+0.425*0.8*0.5*(T154^2+W154^2+Z154^2+AC154^2+AF154^2+AI154^2)/(T154+W154+Z154+AC154+AF154+AI154)/CB154</f>
        <v>461.09929525269263</v>
      </c>
      <c r="CD154" s="355">
        <f>MAX(0.6*CA154/$AJ$17,(CA154-0.4*0.3*$AJ$14^(2/3)/CB154*(1+$AJ$17/$AJ$15*CB154))/$AJ$17)</f>
        <v>0.45051443331961771</v>
      </c>
      <c r="CE154" s="356">
        <f>CC154*CD154/1000</f>
        <v>0.20773188770484191</v>
      </c>
      <c r="CF154" s="343" t="str">
        <f>IF(AND(AV154&gt;=BD154,AV154&gt;=BO154,CE154&lt;=(+IF(CO154="External",0.25,0.3))),"O.K", "Not O.K")</f>
        <v>O.K</v>
      </c>
      <c r="CG154" s="345"/>
      <c r="CH154" s="357" t="str">
        <f>IF(O154&lt;0.2*$AJ$14*R154*$O$12/1000,"N &lt; 0.2fckAc - OK!","TBA")</f>
        <v>N &lt; 0.2fckAc - OK!</v>
      </c>
      <c r="CI154" s="321">
        <v>139</v>
      </c>
      <c r="CJ154" s="330"/>
      <c r="CK154" s="196">
        <f>CU154</f>
        <v>103</v>
      </c>
      <c r="CL154" s="191" t="s">
        <v>72</v>
      </c>
      <c r="CM154" s="196">
        <f>CV154</f>
        <v>203</v>
      </c>
      <c r="CN154" s="331" t="s">
        <v>146</v>
      </c>
      <c r="CO154" s="15" t="str">
        <f>IF(VLOOKUP(CI154,'Summary-input'!A:C,3,0)="Outward",
IF(CP154&lt;0,"External","Internal"),
IF(CP154&lt;0,"Internal","External")
)</f>
        <v>External</v>
      </c>
      <c r="CP154">
        <v>282.60192414163123</v>
      </c>
      <c r="CQ154">
        <v>-67.638796228042338</v>
      </c>
      <c r="CR154" s="314">
        <v>207.29089695580828</v>
      </c>
      <c r="CS154" s="314">
        <v>-48.358144055237062</v>
      </c>
      <c r="CT154" s="315">
        <v>600</v>
      </c>
      <c r="CU154" s="322">
        <v>103</v>
      </c>
      <c r="CV154" s="319">
        <v>203</v>
      </c>
      <c r="CW154" s="196"/>
      <c r="CX154" s="332"/>
      <c r="CY154" s="196"/>
      <c r="CZ154" s="196"/>
      <c r="DA154" s="196"/>
      <c r="DB154" s="196"/>
      <c r="DC154" s="196"/>
      <c r="DD154" s="196"/>
      <c r="DE154" s="196"/>
      <c r="DF154" s="196"/>
      <c r="DG154" s="196"/>
      <c r="DH154" s="196"/>
      <c r="DI154" s="196"/>
      <c r="DJ154" s="334"/>
      <c r="DK154" s="194"/>
      <c r="DL154" s="194"/>
      <c r="DM154" s="197"/>
      <c r="DN154" s="333">
        <f>IF(CO154="external",T154,0)</f>
        <v>25</v>
      </c>
      <c r="DO154" s="333">
        <f>IF(CO154="external",W154,0)</f>
        <v>0</v>
      </c>
      <c r="DP154" s="333">
        <f>IF(CO154="external",Z154,0)</f>
        <v>0</v>
      </c>
      <c r="DQ154" s="333">
        <f>IF(CO154="external",AC154,0)</f>
        <v>0</v>
      </c>
      <c r="DR154" s="333">
        <f>IF(CO154="external",AF154,0)</f>
        <v>0</v>
      </c>
      <c r="DS154" s="200">
        <f>IF(CO154="external",AI154,0)</f>
        <v>0</v>
      </c>
      <c r="DT154" s="198"/>
      <c r="DU154" s="200">
        <f>IF(CO154="internal",T154,0)</f>
        <v>0</v>
      </c>
      <c r="DV154" s="200">
        <f>IF(CO154="internal",W154,0)</f>
        <v>0</v>
      </c>
      <c r="DW154" s="200">
        <f>IF(CO154="internal",Z154,0)</f>
        <v>0</v>
      </c>
      <c r="DX154" s="200">
        <f>IF(CO154="internal",AC154,0)</f>
        <v>0</v>
      </c>
      <c r="DY154" s="200">
        <f>IF(CO154="internal",AF154,0)</f>
        <v>0</v>
      </c>
      <c r="DZ154" s="200">
        <f>IF(CO154="internal",AI154,0)</f>
        <v>0</v>
      </c>
    </row>
    <row r="155" spans="1:130" x14ac:dyDescent="0.3">
      <c r="CP155"/>
      <c r="CQ155"/>
    </row>
    <row r="156" spans="1:130" x14ac:dyDescent="0.3">
      <c r="CP156"/>
      <c r="CQ156"/>
    </row>
    <row r="157" spans="1:130" x14ac:dyDescent="0.3">
      <c r="CP157"/>
      <c r="CQ157"/>
    </row>
    <row r="158" spans="1:130" x14ac:dyDescent="0.3">
      <c r="CP158"/>
      <c r="CQ158"/>
    </row>
    <row r="159" spans="1:130" x14ac:dyDescent="0.3">
      <c r="CP159"/>
      <c r="CQ159"/>
    </row>
    <row r="160" spans="1:130" x14ac:dyDescent="0.3">
      <c r="CP160"/>
      <c r="CQ160"/>
    </row>
    <row r="239" spans="93:93" x14ac:dyDescent="0.3">
      <c r="CO239" s="45" t="s">
        <v>105</v>
      </c>
    </row>
    <row r="240" spans="93:93" x14ac:dyDescent="0.3">
      <c r="CO240" s="45" t="s">
        <v>105</v>
      </c>
    </row>
    <row r="241" spans="93:93" x14ac:dyDescent="0.3">
      <c r="CO241" s="45" t="s">
        <v>105</v>
      </c>
    </row>
    <row r="242" spans="93:93" x14ac:dyDescent="0.3">
      <c r="CO242" s="45" t="s">
        <v>105</v>
      </c>
    </row>
    <row r="336" spans="93:93" x14ac:dyDescent="0.3">
      <c r="CO336" s="45" t="s">
        <v>105</v>
      </c>
    </row>
    <row r="337" spans="93:93" x14ac:dyDescent="0.3">
      <c r="CO337" s="45" t="s">
        <v>105</v>
      </c>
    </row>
    <row r="338" spans="93:93" x14ac:dyDescent="0.3">
      <c r="CO338" s="45" t="s">
        <v>105</v>
      </c>
    </row>
    <row r="339" spans="93:93" x14ac:dyDescent="0.3">
      <c r="CO339" s="45" t="s">
        <v>105</v>
      </c>
    </row>
    <row r="433" spans="93:93" x14ac:dyDescent="0.3">
      <c r="CO433" s="45" t="s">
        <v>105</v>
      </c>
    </row>
    <row r="434" spans="93:93" x14ac:dyDescent="0.3">
      <c r="CO434" s="45" t="s">
        <v>105</v>
      </c>
    </row>
    <row r="435" spans="93:93" x14ac:dyDescent="0.3">
      <c r="CO435" s="45" t="s">
        <v>105</v>
      </c>
    </row>
    <row r="436" spans="93:93" x14ac:dyDescent="0.3">
      <c r="CO436" s="45" t="s">
        <v>105</v>
      </c>
    </row>
    <row r="530" spans="93:93" x14ac:dyDescent="0.3">
      <c r="CO530" s="45" t="s">
        <v>105</v>
      </c>
    </row>
    <row r="531" spans="93:93" x14ac:dyDescent="0.3">
      <c r="CO531" s="45" t="s">
        <v>105</v>
      </c>
    </row>
    <row r="532" spans="93:93" x14ac:dyDescent="0.3">
      <c r="CO532" s="45" t="s">
        <v>105</v>
      </c>
    </row>
    <row r="533" spans="93:93" x14ac:dyDescent="0.3">
      <c r="CO533" s="45" t="s">
        <v>105</v>
      </c>
    </row>
    <row r="627" spans="93:93" x14ac:dyDescent="0.3">
      <c r="CO627" s="45" t="s">
        <v>105</v>
      </c>
    </row>
    <row r="628" spans="93:93" x14ac:dyDescent="0.3">
      <c r="CO628" s="45" t="s">
        <v>105</v>
      </c>
    </row>
    <row r="629" spans="93:93" x14ac:dyDescent="0.3">
      <c r="CO629" s="45" t="s">
        <v>105</v>
      </c>
    </row>
    <row r="630" spans="93:93" x14ac:dyDescent="0.3">
      <c r="CO630" s="45" t="s">
        <v>105</v>
      </c>
    </row>
    <row r="724" spans="93:93" x14ac:dyDescent="0.3">
      <c r="CO724" s="45" t="s">
        <v>105</v>
      </c>
    </row>
    <row r="725" spans="93:93" x14ac:dyDescent="0.3">
      <c r="CO725" s="45" t="s">
        <v>105</v>
      </c>
    </row>
    <row r="726" spans="93:93" x14ac:dyDescent="0.3">
      <c r="CO726" s="45" t="s">
        <v>105</v>
      </c>
    </row>
    <row r="727" spans="93:93" x14ac:dyDescent="0.3">
      <c r="CO727" s="45" t="s">
        <v>105</v>
      </c>
    </row>
    <row r="821" spans="93:93" x14ac:dyDescent="0.3">
      <c r="CO821" s="45" t="s">
        <v>105</v>
      </c>
    </row>
    <row r="822" spans="93:93" x14ac:dyDescent="0.3">
      <c r="CO822" s="45" t="s">
        <v>105</v>
      </c>
    </row>
    <row r="823" spans="93:93" x14ac:dyDescent="0.3">
      <c r="CO823" s="45" t="s">
        <v>105</v>
      </c>
    </row>
    <row r="824" spans="93:93" x14ac:dyDescent="0.3">
      <c r="CO824" s="45" t="s">
        <v>105</v>
      </c>
    </row>
    <row r="918" spans="93:93" x14ac:dyDescent="0.3">
      <c r="CO918" s="45" t="s">
        <v>105</v>
      </c>
    </row>
    <row r="919" spans="93:93" x14ac:dyDescent="0.3">
      <c r="CO919" s="45" t="s">
        <v>105</v>
      </c>
    </row>
    <row r="920" spans="93:93" x14ac:dyDescent="0.3">
      <c r="CO920" s="45" t="s">
        <v>105</v>
      </c>
    </row>
    <row r="921" spans="93:93" x14ac:dyDescent="0.3">
      <c r="CO921" s="45" t="s">
        <v>105</v>
      </c>
    </row>
    <row r="1015" spans="93:93" x14ac:dyDescent="0.3">
      <c r="CO1015" s="45" t="s">
        <v>105</v>
      </c>
    </row>
    <row r="1016" spans="93:93" x14ac:dyDescent="0.3">
      <c r="CO1016" s="45" t="s">
        <v>105</v>
      </c>
    </row>
    <row r="1017" spans="93:93" x14ac:dyDescent="0.3">
      <c r="CO1017" s="45" t="s">
        <v>105</v>
      </c>
    </row>
    <row r="1018" spans="93:93" x14ac:dyDescent="0.3">
      <c r="CO1018" s="45" t="s">
        <v>105</v>
      </c>
    </row>
    <row r="1112" spans="93:93" x14ac:dyDescent="0.3">
      <c r="CO1112" s="45" t="s">
        <v>105</v>
      </c>
    </row>
    <row r="1113" spans="93:93" x14ac:dyDescent="0.3">
      <c r="CO1113" s="45" t="s">
        <v>105</v>
      </c>
    </row>
    <row r="1114" spans="93:93" x14ac:dyDescent="0.3">
      <c r="CO1114" s="45" t="s">
        <v>105</v>
      </c>
    </row>
    <row r="1115" spans="93:93" x14ac:dyDescent="0.3">
      <c r="CO1115" s="45" t="s">
        <v>105</v>
      </c>
    </row>
    <row r="1209" spans="93:93" x14ac:dyDescent="0.3">
      <c r="CO1209" s="45" t="s">
        <v>105</v>
      </c>
    </row>
    <row r="1210" spans="93:93" x14ac:dyDescent="0.3">
      <c r="CO1210" s="45" t="s">
        <v>105</v>
      </c>
    </row>
    <row r="1211" spans="93:93" x14ac:dyDescent="0.3">
      <c r="CO1211" s="45" t="s">
        <v>105</v>
      </c>
    </row>
    <row r="1212" spans="93:93" x14ac:dyDescent="0.3">
      <c r="CO1212" s="45" t="s">
        <v>105</v>
      </c>
    </row>
    <row r="1306" spans="93:93" x14ac:dyDescent="0.3">
      <c r="CO1306" s="45" t="s">
        <v>105</v>
      </c>
    </row>
    <row r="1307" spans="93:93" x14ac:dyDescent="0.3">
      <c r="CO1307" s="45" t="s">
        <v>105</v>
      </c>
    </row>
    <row r="1308" spans="93:93" x14ac:dyDescent="0.3">
      <c r="CO1308" s="45" t="s">
        <v>105</v>
      </c>
    </row>
    <row r="1309" spans="93:93" x14ac:dyDescent="0.3">
      <c r="CO1309" s="45" t="s">
        <v>105</v>
      </c>
    </row>
    <row r="1403" spans="93:93" x14ac:dyDescent="0.3">
      <c r="CO1403" s="45" t="s">
        <v>105</v>
      </c>
    </row>
    <row r="1404" spans="93:93" x14ac:dyDescent="0.3">
      <c r="CO1404" s="45" t="s">
        <v>105</v>
      </c>
    </row>
    <row r="1405" spans="93:93" x14ac:dyDescent="0.3">
      <c r="CO1405" s="45" t="s">
        <v>105</v>
      </c>
    </row>
    <row r="1406" spans="93:93" x14ac:dyDescent="0.3">
      <c r="CO1406" s="45" t="s">
        <v>105</v>
      </c>
    </row>
    <row r="1500" spans="93:93" x14ac:dyDescent="0.3">
      <c r="CO1500" s="45" t="s">
        <v>105</v>
      </c>
    </row>
    <row r="1501" spans="93:93" x14ac:dyDescent="0.3">
      <c r="CO1501" s="45" t="s">
        <v>105</v>
      </c>
    </row>
    <row r="1502" spans="93:93" x14ac:dyDescent="0.3">
      <c r="CO1502" s="45" t="s">
        <v>105</v>
      </c>
    </row>
    <row r="1503" spans="93:93" x14ac:dyDescent="0.3">
      <c r="CO1503" s="45" t="s">
        <v>105</v>
      </c>
    </row>
    <row r="1597" spans="93:93" x14ac:dyDescent="0.3">
      <c r="CO1597" s="45" t="s">
        <v>105</v>
      </c>
    </row>
    <row r="1598" spans="93:93" x14ac:dyDescent="0.3">
      <c r="CO1598" s="45" t="s">
        <v>105</v>
      </c>
    </row>
    <row r="1599" spans="93:93" x14ac:dyDescent="0.3">
      <c r="CO1599" s="45" t="s">
        <v>105</v>
      </c>
    </row>
    <row r="1600" spans="93:93" x14ac:dyDescent="0.3">
      <c r="CO1600" s="45" t="s">
        <v>105</v>
      </c>
    </row>
    <row r="1694" spans="93:93" x14ac:dyDescent="0.3">
      <c r="CO1694" s="45" t="s">
        <v>105</v>
      </c>
    </row>
    <row r="1695" spans="93:93" x14ac:dyDescent="0.3">
      <c r="CO1695" s="45" t="s">
        <v>105</v>
      </c>
    </row>
    <row r="1696" spans="93:93" x14ac:dyDescent="0.3">
      <c r="CO1696" s="45" t="s">
        <v>105</v>
      </c>
    </row>
    <row r="1697" spans="93:93" x14ac:dyDescent="0.3">
      <c r="CO1697" s="45" t="s">
        <v>105</v>
      </c>
    </row>
  </sheetData>
  <mergeCells count="37">
    <mergeCell ref="C21:C22"/>
    <mergeCell ref="E21:E22"/>
    <mergeCell ref="CU20:CV20"/>
    <mergeCell ref="CU21:CV21"/>
    <mergeCell ref="CJ21:CJ22"/>
    <mergeCell ref="CL21:CL22"/>
    <mergeCell ref="AX21:BD21"/>
    <mergeCell ref="S20:AV20"/>
    <mergeCell ref="BR21:BX21"/>
    <mergeCell ref="BP20:CE20"/>
    <mergeCell ref="AW20:BD20"/>
    <mergeCell ref="BM4:BN4"/>
    <mergeCell ref="BM6:BN6"/>
    <mergeCell ref="BM7:BN7"/>
    <mergeCell ref="J21:K21"/>
    <mergeCell ref="I20:Q20"/>
    <mergeCell ref="L21:M21"/>
    <mergeCell ref="S21:AI21"/>
    <mergeCell ref="AJ21:AV21"/>
    <mergeCell ref="BE21:BK21"/>
    <mergeCell ref="BE20:BO20"/>
    <mergeCell ref="L15:N15"/>
    <mergeCell ref="L16:N16"/>
    <mergeCell ref="L17:P17"/>
    <mergeCell ref="L14:N14"/>
    <mergeCell ref="N21:O21"/>
    <mergeCell ref="P21:Q21"/>
    <mergeCell ref="CX1:CX2"/>
    <mergeCell ref="CY1:CY2"/>
    <mergeCell ref="CD22:CD23"/>
    <mergeCell ref="CX21:DK21"/>
    <mergeCell ref="CY23:DD23"/>
    <mergeCell ref="DF23:DK23"/>
    <mergeCell ref="CP20:CS20"/>
    <mergeCell ref="CP21:CQ21"/>
    <mergeCell ref="CR21:CS21"/>
    <mergeCell ref="CF21:CH21"/>
  </mergeCells>
  <phoneticPr fontId="0" type="noConversion"/>
  <printOptions horizontalCentered="1"/>
  <pageMargins left="0.23622047244094491" right="0.23622047244094491" top="0.74803149606299213" bottom="0.74803149606299213" header="0.31496062992125984" footer="0.31496062992125984"/>
  <pageSetup paperSize="8" scale="41" fitToHeight="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solve">
                <anchor moveWithCells="1" sizeWithCells="1">
                  <from>
                    <xdr:col>73</xdr:col>
                    <xdr:colOff>129540</xdr:colOff>
                    <xdr:row>15</xdr:row>
                    <xdr:rowOff>38100</xdr:rowOff>
                  </from>
                  <to>
                    <xdr:col>74</xdr:col>
                    <xdr:colOff>327660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84" r:id="rId5" name="Button 40">
              <controlPr defaultSize="0" print="0" autoFill="0" autoPict="0" macro="[0]!GET_FORCES">
                <anchor moveWithCells="1" sizeWithCells="1">
                  <from>
                    <xdr:col>98</xdr:col>
                    <xdr:colOff>304800</xdr:colOff>
                    <xdr:row>0</xdr:row>
                    <xdr:rowOff>114300</xdr:rowOff>
                  </from>
                  <to>
                    <xdr:col>99</xdr:col>
                    <xdr:colOff>480060</xdr:colOff>
                    <xdr:row>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85" r:id="rId6" name="Button 41">
              <controlPr defaultSize="0" print="0" autoFill="0" autoPict="0" macro="[0]!modifyLCs">
                <anchor moveWithCells="1" sizeWithCells="1">
                  <from>
                    <xdr:col>70</xdr:col>
                    <xdr:colOff>289560</xdr:colOff>
                    <xdr:row>15</xdr:row>
                    <xdr:rowOff>30480</xdr:rowOff>
                  </from>
                  <to>
                    <xdr:col>71</xdr:col>
                    <xdr:colOff>403860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4" r:id="rId7" name="Button 6184">
              <controlPr defaultSize="0" print="0" autoFill="0" autoPict="0" macro="[0]!design">
                <anchor moveWithCells="1" sizeWithCells="1">
                  <from>
                    <xdr:col>7</xdr:col>
                    <xdr:colOff>518160</xdr:colOff>
                    <xdr:row>5</xdr:row>
                    <xdr:rowOff>60960</xdr:rowOff>
                  </from>
                  <to>
                    <xdr:col>11</xdr:col>
                    <xdr:colOff>182880</xdr:colOff>
                    <xdr:row>10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061902-AC70-40DF-A64A-AFDA3DFA51F9}">
  <sheetPr codeName="Sheet2"/>
  <dimension ref="A1:EA1677"/>
  <sheetViews>
    <sheetView showZeros="0" view="pageBreakPreview" topLeftCell="BP8" zoomScale="85" zoomScaleNormal="75" zoomScaleSheetLayoutView="85" workbookViewId="0">
      <selection activeCell="BU39" sqref="BU39:CV40"/>
    </sheetView>
  </sheetViews>
  <sheetFormatPr defaultColWidth="9.21875" defaultRowHeight="14.4" x14ac:dyDescent="0.3"/>
  <cols>
    <col min="1" max="1" width="0.21875" style="47" customWidth="1"/>
    <col min="2" max="2" width="10.21875" style="182" customWidth="1"/>
    <col min="3" max="3" width="3.21875" style="183" customWidth="1"/>
    <col min="4" max="4" width="7.21875" style="182" customWidth="1"/>
    <col min="5" max="5" width="2.77734375" style="183" customWidth="1"/>
    <col min="6" max="6" width="5.77734375" style="183" customWidth="1"/>
    <col min="7" max="7" width="20.77734375" style="184" customWidth="1"/>
    <col min="8" max="8" width="9.21875" style="58" customWidth="1"/>
    <col min="9" max="9" width="15.21875" style="58" hidden="1" customWidth="1"/>
    <col min="10" max="10" width="9.5546875" style="58" customWidth="1"/>
    <col min="11" max="11" width="7.77734375" style="58" customWidth="1"/>
    <col min="12" max="12" width="9.44140625" style="58" customWidth="1"/>
    <col min="13" max="13" width="7.77734375" style="58" customWidth="1"/>
    <col min="14" max="14" width="13.77734375" style="58" customWidth="1"/>
    <col min="15" max="16" width="10.5546875" style="58" customWidth="1"/>
    <col min="17" max="17" width="9" style="58" customWidth="1"/>
    <col min="18" max="18" width="7.77734375" style="58" customWidth="1"/>
    <col min="19" max="19" width="1.77734375" style="58" customWidth="1"/>
    <col min="20" max="20" width="5.21875" style="180" customWidth="1"/>
    <col min="21" max="22" width="1.77734375" style="58" customWidth="1"/>
    <col min="23" max="23" width="5" style="180" customWidth="1"/>
    <col min="24" max="25" width="1.77734375" style="58" customWidth="1"/>
    <col min="26" max="26" width="5.21875" style="58" customWidth="1"/>
    <col min="27" max="27" width="2" style="58" customWidth="1"/>
    <col min="28" max="28" width="2.21875" style="58" customWidth="1"/>
    <col min="29" max="29" width="6.21875" style="58" customWidth="1"/>
    <col min="30" max="30" width="1.5546875" style="58" customWidth="1"/>
    <col min="31" max="31" width="2.21875" style="58" customWidth="1"/>
    <col min="32" max="32" width="6.21875" style="58" customWidth="1"/>
    <col min="33" max="33" width="2.21875" style="58" customWidth="1"/>
    <col min="34" max="34" width="1.77734375" style="58" customWidth="1"/>
    <col min="35" max="35" width="5.21875" style="181" customWidth="1"/>
    <col min="36" max="36" width="7" style="58" customWidth="1"/>
    <col min="37" max="37" width="1.77734375" style="58" customWidth="1"/>
    <col min="38" max="38" width="7" style="58" customWidth="1"/>
    <col min="39" max="39" width="1.77734375" style="58" customWidth="1"/>
    <col min="40" max="40" width="7" style="58" customWidth="1"/>
    <col min="41" max="41" width="1.77734375" style="58" hidden="1" customWidth="1"/>
    <col min="42" max="42" width="7" style="58" hidden="1" customWidth="1"/>
    <col min="43" max="43" width="2.21875" style="58" hidden="1" customWidth="1"/>
    <col min="44" max="44" width="7" style="58" hidden="1" customWidth="1"/>
    <col min="45" max="45" width="2" style="58" hidden="1" customWidth="1"/>
    <col min="46" max="46" width="7" style="58" hidden="1" customWidth="1"/>
    <col min="47" max="47" width="1.77734375" style="58" customWidth="1"/>
    <col min="48" max="48" width="8.21875" style="58" customWidth="1"/>
    <col min="49" max="49" width="11.44140625" style="58" customWidth="1"/>
    <col min="50" max="50" width="6.5546875" style="58" customWidth="1"/>
    <col min="51" max="51" width="1.77734375" style="58" customWidth="1"/>
    <col min="52" max="52" width="5.77734375" style="58" customWidth="1"/>
    <col min="53" max="53" width="1.77734375" style="58" customWidth="1"/>
    <col min="54" max="54" width="5.77734375" style="58" customWidth="1"/>
    <col min="55" max="55" width="1.77734375" style="58" customWidth="1"/>
    <col min="56" max="56" width="9.21875" style="58" customWidth="1"/>
    <col min="57" max="57" width="6.44140625" style="58" customWidth="1"/>
    <col min="58" max="58" width="6.77734375" style="58" customWidth="1"/>
    <col min="59" max="59" width="7" style="58" customWidth="1"/>
    <col min="60" max="62" width="7" style="58" hidden="1" customWidth="1"/>
    <col min="63" max="64" width="7" style="58" customWidth="1"/>
    <col min="65" max="65" width="6.44140625" style="58" customWidth="1"/>
    <col min="66" max="66" width="7.77734375" style="58" bestFit="1" customWidth="1"/>
    <col min="67" max="67" width="19" style="58" customWidth="1"/>
    <col min="68" max="68" width="16.44140625" style="58" customWidth="1"/>
    <col min="69" max="69" width="8.77734375" style="58" bestFit="1" customWidth="1"/>
    <col min="70" max="70" width="7" style="58" customWidth="1"/>
    <col min="71" max="71" width="7.5546875" style="58" customWidth="1"/>
    <col min="72" max="73" width="5.77734375" style="58" customWidth="1"/>
    <col min="74" max="75" width="5.77734375" style="58" hidden="1" customWidth="1"/>
    <col min="76" max="76" width="6.44140625" style="58" hidden="1" customWidth="1"/>
    <col min="77" max="77" width="10" style="58" customWidth="1"/>
    <col min="78" max="78" width="14.77734375" style="58" hidden="1" customWidth="1"/>
    <col min="79" max="79" width="16" style="58" bestFit="1" customWidth="1"/>
    <col min="80" max="80" width="16.21875" style="58" bestFit="1" customWidth="1"/>
    <col min="81" max="82" width="12.77734375" style="58" customWidth="1"/>
    <col min="83" max="83" width="13.44140625" style="58" customWidth="1"/>
    <col min="84" max="84" width="8" style="47" customWidth="1"/>
    <col min="85" max="85" width="1.21875" style="47" customWidth="1"/>
    <col min="86" max="86" width="19.77734375" style="47" customWidth="1"/>
    <col min="87" max="87" width="9.5546875" style="41" customWidth="1"/>
    <col min="88" max="88" width="6.5546875" style="42" customWidth="1"/>
    <col min="89" max="89" width="6.77734375" style="43" customWidth="1"/>
    <col min="90" max="90" width="2.77734375" style="43" customWidth="1"/>
    <col min="91" max="91" width="5.44140625" style="43" customWidth="1"/>
    <col min="92" max="92" width="22.44140625" style="44" customWidth="1"/>
    <col min="93" max="93" width="9.21875" style="45" customWidth="1"/>
    <col min="94" max="94" width="10.77734375" style="46" customWidth="1"/>
    <col min="95" max="95" width="6.21875" style="46" customWidth="1"/>
    <col min="96" max="96" width="10.77734375" style="46" customWidth="1"/>
    <col min="97" max="97" width="7.77734375" style="46" customWidth="1"/>
    <col min="98" max="98" width="7.21875" style="47" customWidth="1"/>
    <col min="99" max="100" width="8.21875" style="47" customWidth="1"/>
    <col min="101" max="101" width="11" style="271" customWidth="1"/>
    <col min="102" max="102" width="11" style="279" bestFit="1" customWidth="1"/>
    <col min="103" max="103" width="9.77734375" style="189" bestFit="1" customWidth="1"/>
    <col min="104" max="104" width="7.5546875" style="189" bestFit="1" customWidth="1"/>
    <col min="105" max="107" width="7.5546875" style="189" customWidth="1"/>
    <col min="108" max="108" width="7.5546875" style="189" bestFit="1" customWidth="1"/>
    <col min="109" max="109" width="2.77734375" style="189" customWidth="1"/>
    <col min="110" max="110" width="9.21875" style="189" bestFit="1" customWidth="1"/>
    <col min="111" max="111" width="7.5546875" style="189" bestFit="1" customWidth="1"/>
    <col min="112" max="113" width="7.5546875" style="189" customWidth="1"/>
    <col min="114" max="114" width="7.5546875" style="210" customWidth="1"/>
    <col min="115" max="115" width="7.5546875" style="189" bestFit="1" customWidth="1"/>
    <col min="116" max="116" width="3.5546875" style="189" customWidth="1"/>
    <col min="117" max="117" width="11" style="190" bestFit="1" customWidth="1"/>
    <col min="118" max="118" width="9.77734375" style="191" bestFit="1" customWidth="1"/>
    <col min="119" max="123" width="9.21875" style="191"/>
    <col min="124" max="124" width="4.21875" style="192" customWidth="1"/>
    <col min="125" max="125" width="9.21875" style="191" bestFit="1" customWidth="1"/>
    <col min="126" max="130" width="9.21875" style="191"/>
    <col min="131" max="131" width="9.21875" style="189"/>
    <col min="132" max="16384" width="9.21875" style="47"/>
  </cols>
  <sheetData>
    <row r="1" spans="2:131" s="7" customFormat="1" ht="15.75" customHeight="1" x14ac:dyDescent="0.3">
      <c r="B1" s="30"/>
      <c r="C1" s="307"/>
      <c r="D1" s="30"/>
      <c r="E1" s="307"/>
      <c r="F1" s="307"/>
      <c r="G1" s="32"/>
      <c r="H1" s="33"/>
      <c r="I1" s="33"/>
      <c r="J1" s="33"/>
      <c r="K1" s="33"/>
      <c r="L1" s="33"/>
      <c r="M1" s="33"/>
      <c r="N1" s="33"/>
      <c r="O1" s="33"/>
      <c r="P1" s="33"/>
      <c r="Q1" s="33"/>
      <c r="R1" s="307"/>
      <c r="S1" s="34"/>
      <c r="T1" s="35"/>
      <c r="U1" s="34"/>
      <c r="V1" s="34"/>
      <c r="W1" s="35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5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  <c r="AW1" s="34"/>
      <c r="AX1" s="34"/>
      <c r="AY1" s="34"/>
      <c r="AZ1" s="34"/>
      <c r="BA1" s="34"/>
      <c r="BB1" s="34"/>
      <c r="BC1" s="34"/>
      <c r="BD1" s="34"/>
      <c r="BE1" s="34"/>
      <c r="BF1" s="34"/>
      <c r="BG1" s="34"/>
      <c r="BH1" s="34"/>
      <c r="BI1" s="34"/>
      <c r="BJ1" s="34"/>
      <c r="BK1" s="34"/>
      <c r="BL1" s="34"/>
      <c r="BM1" s="34"/>
      <c r="BN1" s="18"/>
      <c r="BO1" s="36"/>
      <c r="BP1" s="36"/>
      <c r="BQ1" s="36"/>
      <c r="BR1" s="36"/>
      <c r="BS1" s="36"/>
      <c r="BT1" s="36"/>
      <c r="BU1" s="36"/>
      <c r="BV1" s="36"/>
      <c r="BW1" s="36"/>
      <c r="BX1" s="36"/>
      <c r="BY1" s="36"/>
      <c r="BZ1" s="36"/>
      <c r="CA1" s="36"/>
      <c r="CB1" s="36"/>
      <c r="CC1" s="36"/>
      <c r="CD1" s="36"/>
      <c r="CE1" s="36"/>
      <c r="CF1" s="18"/>
      <c r="CG1" s="18"/>
      <c r="CH1" s="18"/>
      <c r="CI1" s="6"/>
      <c r="CJ1" s="13"/>
      <c r="CK1" s="13"/>
      <c r="CL1" s="38"/>
      <c r="CM1" s="38"/>
      <c r="CN1" s="39"/>
      <c r="CO1" s="40"/>
      <c r="CP1" s="13"/>
      <c r="CQ1" s="13"/>
      <c r="CR1" s="13"/>
      <c r="CS1" s="13"/>
      <c r="CW1" s="282">
        <f>COUNTA(CW3:CW65536)</f>
        <v>18</v>
      </c>
      <c r="CX1" s="365" t="s">
        <v>152</v>
      </c>
      <c r="CY1" s="366" t="s">
        <v>153</v>
      </c>
      <c r="CZ1" s="282">
        <f>COUNTA(CZ3:CZ12)</f>
        <v>10</v>
      </c>
      <c r="DA1" s="282">
        <f>COUNTA(DA3:DA12)</f>
        <v>10</v>
      </c>
      <c r="DB1" s="272"/>
      <c r="DC1" s="185"/>
      <c r="DD1" s="185"/>
      <c r="DE1" s="185"/>
      <c r="DF1" s="185"/>
      <c r="DG1" s="185"/>
      <c r="DH1" s="185"/>
      <c r="DI1" s="185"/>
      <c r="DJ1" s="209"/>
      <c r="DK1" s="185"/>
      <c r="DL1" s="185"/>
      <c r="DM1" s="186"/>
      <c r="DN1" s="187"/>
      <c r="DO1" s="187"/>
      <c r="DP1" s="187"/>
      <c r="DQ1" s="187"/>
      <c r="DR1" s="187"/>
      <c r="DS1" s="187"/>
      <c r="DT1" s="188"/>
      <c r="DU1" s="187"/>
      <c r="DV1" s="187"/>
      <c r="DW1" s="187"/>
      <c r="DX1" s="187"/>
      <c r="DY1" s="187"/>
      <c r="DZ1" s="187"/>
      <c r="EA1" s="185"/>
    </row>
    <row r="2" spans="2:131" ht="14.25" customHeight="1" x14ac:dyDescent="0.3">
      <c r="B2" s="30"/>
      <c r="C2" s="307"/>
      <c r="D2" s="30"/>
      <c r="E2" s="307"/>
      <c r="F2" s="307"/>
      <c r="G2" s="32"/>
      <c r="H2" s="33"/>
      <c r="I2" s="33"/>
      <c r="J2" s="33"/>
      <c r="K2" s="33"/>
      <c r="L2" s="33"/>
      <c r="M2" s="33"/>
      <c r="N2" s="33"/>
      <c r="O2" s="33"/>
      <c r="P2" s="33"/>
      <c r="Q2" s="33"/>
      <c r="R2" s="307"/>
      <c r="S2" s="34"/>
      <c r="T2" s="35"/>
      <c r="U2" s="34"/>
      <c r="V2" s="34"/>
      <c r="W2" s="35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5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  <c r="AW2" s="34"/>
      <c r="AX2" s="34"/>
      <c r="AY2" s="34"/>
      <c r="AZ2" s="34"/>
      <c r="BA2" s="34"/>
      <c r="BB2" s="34"/>
      <c r="BC2" s="34"/>
      <c r="BD2" s="34"/>
      <c r="BE2" s="34"/>
      <c r="BF2" s="34"/>
      <c r="BG2" s="34"/>
      <c r="BH2" s="34"/>
      <c r="BI2" s="34"/>
      <c r="BJ2" s="34"/>
      <c r="BK2" s="34"/>
      <c r="BL2" s="34"/>
      <c r="BM2" s="34"/>
      <c r="BN2" s="18"/>
      <c r="BO2" s="36"/>
      <c r="BP2" s="36"/>
      <c r="BQ2" s="36"/>
      <c r="BR2" s="36"/>
      <c r="BS2" s="36"/>
      <c r="BT2" s="36"/>
      <c r="BU2" s="36"/>
      <c r="BV2" s="36"/>
      <c r="BW2" s="36"/>
      <c r="BX2" s="36"/>
      <c r="BY2" s="18"/>
      <c r="BZ2" s="18"/>
      <c r="CA2" s="18"/>
      <c r="CB2" s="18"/>
      <c r="CC2" s="18"/>
      <c r="CD2" s="18"/>
      <c r="CE2" s="36"/>
      <c r="CF2" s="18"/>
      <c r="CG2" s="18"/>
      <c r="CH2" s="18"/>
      <c r="CW2" s="283" t="s">
        <v>149</v>
      </c>
      <c r="CX2" s="365"/>
      <c r="CY2" s="366"/>
      <c r="CZ2" s="284" t="s">
        <v>150</v>
      </c>
      <c r="DA2" s="284" t="s">
        <v>151</v>
      </c>
      <c r="DB2" s="273"/>
    </row>
    <row r="3" spans="2:131" x14ac:dyDescent="0.3">
      <c r="B3" s="30"/>
      <c r="C3" s="307"/>
      <c r="D3" s="30"/>
      <c r="E3" s="307"/>
      <c r="F3" s="307"/>
      <c r="G3" s="32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  <c r="T3" s="35"/>
      <c r="U3" s="34"/>
      <c r="V3" s="34"/>
      <c r="W3" s="35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5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4"/>
      <c r="AZ3" s="34"/>
      <c r="BA3" s="34"/>
      <c r="BB3" s="34"/>
      <c r="BC3" s="34"/>
      <c r="BD3" s="34"/>
      <c r="BE3" s="34"/>
      <c r="BF3" s="34"/>
      <c r="BG3" s="34"/>
      <c r="BH3" s="34"/>
      <c r="BI3" s="34"/>
      <c r="BJ3" s="34"/>
      <c r="BK3" s="34"/>
      <c r="BL3" s="34"/>
      <c r="BM3" s="34"/>
      <c r="BN3" s="18"/>
      <c r="BO3" s="36"/>
      <c r="BP3" s="36"/>
      <c r="BQ3" s="36"/>
      <c r="BR3" s="36"/>
      <c r="BS3" s="36"/>
      <c r="BT3" s="36"/>
      <c r="BU3" s="36"/>
      <c r="BV3" s="36"/>
      <c r="BW3" s="36"/>
      <c r="BX3" s="36"/>
      <c r="BY3" s="18"/>
      <c r="BZ3" s="18"/>
      <c r="CA3" s="18"/>
      <c r="CB3" s="18"/>
      <c r="CC3" s="18"/>
      <c r="CD3" s="18"/>
      <c r="CE3" s="36"/>
      <c r="CF3" s="18"/>
      <c r="CG3" s="18"/>
      <c r="CH3" s="18"/>
      <c r="CJ3" s="268"/>
      <c r="CK3" s="270"/>
      <c r="CW3" s="283">
        <v>14</v>
      </c>
      <c r="CX3" s="285" t="s">
        <v>154</v>
      </c>
      <c r="CY3" s="286">
        <v>1000</v>
      </c>
      <c r="CZ3" s="284">
        <v>101</v>
      </c>
      <c r="DA3" s="284">
        <v>201</v>
      </c>
    </row>
    <row r="4" spans="2:131" ht="15.6" x14ac:dyDescent="0.3">
      <c r="B4" s="48" t="s">
        <v>68</v>
      </c>
      <c r="C4" s="49"/>
      <c r="D4" s="50"/>
      <c r="E4" s="49"/>
      <c r="F4" s="49">
        <v>101</v>
      </c>
      <c r="G4" s="51"/>
      <c r="H4" s="34"/>
      <c r="J4" s="223" t="s">
        <v>132</v>
      </c>
      <c r="K4" s="34"/>
      <c r="L4" s="34"/>
      <c r="M4" s="34"/>
      <c r="N4" s="34"/>
      <c r="O4" s="34"/>
      <c r="P4" s="34"/>
      <c r="Q4" s="34"/>
      <c r="R4" s="34"/>
      <c r="S4" s="34"/>
      <c r="T4" s="35"/>
      <c r="U4" s="34"/>
      <c r="V4" s="34"/>
      <c r="W4" s="35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5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  <c r="AW4" s="34"/>
      <c r="AX4" s="34"/>
      <c r="AY4" s="34"/>
      <c r="AZ4" s="34"/>
      <c r="BA4" s="34"/>
      <c r="BB4" s="34"/>
      <c r="BC4" s="34"/>
      <c r="BD4" s="34"/>
      <c r="BE4" s="34"/>
      <c r="BF4" s="52"/>
      <c r="BG4" s="52"/>
      <c r="BH4" s="52"/>
      <c r="BI4" s="52"/>
      <c r="BJ4" s="52"/>
      <c r="BK4" s="52"/>
      <c r="BL4" s="53" t="s">
        <v>6</v>
      </c>
      <c r="BM4" s="382">
        <f ca="1">TODAY()</f>
        <v>45183</v>
      </c>
      <c r="BN4" s="382"/>
      <c r="BO4" s="18"/>
      <c r="BP4" s="36"/>
      <c r="BQ4" s="36"/>
      <c r="BR4" s="36"/>
      <c r="BS4" s="36"/>
      <c r="BT4" s="36"/>
      <c r="BU4" s="36"/>
      <c r="BV4" s="36"/>
      <c r="BW4" s="36"/>
      <c r="BX4" s="36"/>
      <c r="BY4" s="18"/>
      <c r="BZ4" s="18"/>
      <c r="CA4" s="18"/>
      <c r="CB4" s="18"/>
      <c r="CC4" s="18"/>
      <c r="CD4" s="18"/>
      <c r="CE4" s="36"/>
      <c r="CF4" s="18"/>
      <c r="CG4" s="18"/>
      <c r="CH4" s="18"/>
      <c r="CJ4" s="268"/>
      <c r="CK4" s="270"/>
      <c r="CW4" s="283">
        <v>18</v>
      </c>
      <c r="CX4" s="285" t="s">
        <v>154</v>
      </c>
      <c r="CY4" s="286">
        <v>1000</v>
      </c>
      <c r="CZ4" s="284">
        <v>102</v>
      </c>
      <c r="DA4" s="284">
        <v>202</v>
      </c>
    </row>
    <row r="5" spans="2:131" x14ac:dyDescent="0.3">
      <c r="B5" s="54"/>
      <c r="C5" s="307"/>
      <c r="D5" s="30"/>
      <c r="E5" s="307"/>
      <c r="F5" s="307"/>
      <c r="G5" s="32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  <c r="T5" s="55"/>
      <c r="U5" s="34"/>
      <c r="V5" s="34"/>
      <c r="W5" s="35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5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  <c r="AW5" s="34"/>
      <c r="AX5" s="34"/>
      <c r="AY5" s="34"/>
      <c r="AZ5" s="34"/>
      <c r="BA5" s="34"/>
      <c r="BB5" s="34"/>
      <c r="BC5" s="34"/>
      <c r="BD5" s="34"/>
      <c r="BE5" s="34"/>
      <c r="BF5" s="52"/>
      <c r="BG5" s="52"/>
      <c r="BH5" s="52"/>
      <c r="BI5" s="52"/>
      <c r="BJ5" s="52"/>
      <c r="BK5" s="52"/>
      <c r="BL5" s="53"/>
      <c r="BM5" s="56"/>
      <c r="BN5" s="56"/>
      <c r="BO5" s="18"/>
      <c r="BP5" s="36"/>
      <c r="BQ5" s="36"/>
      <c r="BR5" s="36"/>
      <c r="BS5" s="36"/>
      <c r="BT5" s="36"/>
      <c r="BU5" s="36"/>
      <c r="BV5" s="36"/>
      <c r="BW5" s="36"/>
      <c r="BX5" s="36"/>
      <c r="BY5" s="18"/>
      <c r="BZ5" s="18"/>
      <c r="CA5" s="18"/>
      <c r="CB5" s="18"/>
      <c r="CC5" s="18"/>
      <c r="CD5" s="18"/>
      <c r="CE5" s="36"/>
      <c r="CF5" s="18"/>
      <c r="CG5" s="18"/>
      <c r="CH5" s="18"/>
      <c r="CJ5" s="268"/>
      <c r="CK5" s="270"/>
      <c r="CW5" s="283">
        <v>53</v>
      </c>
      <c r="CX5" s="285" t="s">
        <v>154</v>
      </c>
      <c r="CY5" s="286">
        <v>1000</v>
      </c>
      <c r="CZ5" s="284">
        <v>103</v>
      </c>
      <c r="DA5" s="284">
        <v>203</v>
      </c>
    </row>
    <row r="6" spans="2:131" x14ac:dyDescent="0.3">
      <c r="B6" s="54" t="s">
        <v>38</v>
      </c>
      <c r="C6" s="307"/>
      <c r="D6" s="30"/>
      <c r="E6" s="307"/>
      <c r="F6" s="307"/>
      <c r="G6" s="220" t="s">
        <v>157</v>
      </c>
      <c r="I6" s="59"/>
      <c r="J6" s="60"/>
      <c r="K6" s="60"/>
      <c r="L6" s="60"/>
      <c r="M6" s="60"/>
      <c r="N6" s="61"/>
      <c r="O6" s="34"/>
      <c r="P6" s="34"/>
      <c r="Q6" s="34"/>
      <c r="R6" s="34"/>
      <c r="S6" s="34"/>
      <c r="T6" s="35"/>
      <c r="U6" s="34"/>
      <c r="V6" s="34"/>
      <c r="W6" s="35"/>
      <c r="X6" s="34"/>
      <c r="Y6" s="34"/>
      <c r="Z6" s="34"/>
      <c r="AA6" s="34"/>
      <c r="AB6" s="34"/>
      <c r="AC6" s="34"/>
      <c r="AD6" s="34"/>
      <c r="AE6" s="34"/>
      <c r="AF6" s="34"/>
      <c r="AG6" s="34"/>
      <c r="AH6" s="34"/>
      <c r="AI6" s="35"/>
      <c r="AJ6" s="34"/>
      <c r="AK6" s="34"/>
      <c r="AL6" s="34"/>
      <c r="AM6" s="34"/>
      <c r="AN6" s="34"/>
      <c r="AO6" s="34"/>
      <c r="AP6" s="34"/>
      <c r="AQ6" s="34"/>
      <c r="AR6" s="34"/>
      <c r="AS6" s="34"/>
      <c r="AT6" s="34"/>
      <c r="AU6" s="34"/>
      <c r="AV6" s="34"/>
      <c r="AW6" s="34"/>
      <c r="AX6" s="34"/>
      <c r="AY6" s="34"/>
      <c r="AZ6" s="34"/>
      <c r="BA6" s="34"/>
      <c r="BB6" s="34"/>
      <c r="BC6" s="34"/>
      <c r="BD6" s="34"/>
      <c r="BE6" s="34"/>
      <c r="BF6" s="52"/>
      <c r="BG6" s="52"/>
      <c r="BH6" s="52"/>
      <c r="BI6" s="52"/>
      <c r="BJ6" s="52"/>
      <c r="BK6" s="52"/>
      <c r="BL6" s="53" t="s">
        <v>13</v>
      </c>
      <c r="BM6" s="383" t="s">
        <v>165</v>
      </c>
      <c r="BN6" s="383"/>
      <c r="BO6" s="18"/>
      <c r="BP6" s="36"/>
      <c r="BQ6" s="36"/>
      <c r="BR6" s="36"/>
      <c r="BS6" s="36"/>
      <c r="BT6" s="36"/>
      <c r="BU6" s="36"/>
      <c r="BV6" s="36"/>
      <c r="BW6" s="36"/>
      <c r="BX6" s="36"/>
      <c r="BY6" s="18"/>
      <c r="BZ6" s="18"/>
      <c r="CA6" s="18"/>
      <c r="CB6" s="18"/>
      <c r="CC6" s="18"/>
      <c r="CD6" s="18"/>
      <c r="CE6" s="36"/>
      <c r="CF6" s="18"/>
      <c r="CG6" s="18"/>
      <c r="CH6" s="18"/>
      <c r="CJ6" s="268"/>
      <c r="CK6" s="270"/>
      <c r="CW6" s="283">
        <v>50</v>
      </c>
      <c r="CX6" s="285" t="s">
        <v>154</v>
      </c>
      <c r="CY6" s="286">
        <v>1000</v>
      </c>
      <c r="CZ6" s="284">
        <v>104</v>
      </c>
      <c r="DA6" s="284">
        <v>204</v>
      </c>
    </row>
    <row r="7" spans="2:131" x14ac:dyDescent="0.3">
      <c r="B7" s="54" t="s">
        <v>37</v>
      </c>
      <c r="C7" s="307"/>
      <c r="D7" s="30"/>
      <c r="E7" s="307"/>
      <c r="F7" s="307"/>
      <c r="G7" s="220"/>
      <c r="I7" s="62"/>
      <c r="J7" s="63"/>
      <c r="K7" s="63"/>
      <c r="L7" s="63"/>
      <c r="M7" s="63"/>
      <c r="N7" s="61"/>
      <c r="O7" s="34"/>
      <c r="P7" s="34"/>
      <c r="Q7" s="307"/>
      <c r="R7" s="307"/>
      <c r="S7" s="57"/>
      <c r="T7" s="35"/>
      <c r="U7" s="18"/>
      <c r="V7" s="18"/>
      <c r="W7" s="35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64"/>
      <c r="AJ7" s="18"/>
      <c r="AK7" s="18"/>
      <c r="AL7" s="18"/>
      <c r="AM7" s="18"/>
      <c r="AN7" s="18"/>
      <c r="AO7" s="18"/>
      <c r="AP7" s="18"/>
      <c r="AQ7" s="18"/>
      <c r="AR7" s="18"/>
      <c r="AS7" s="18"/>
      <c r="AT7" s="18"/>
      <c r="AU7" s="18"/>
      <c r="AV7" s="18"/>
      <c r="AW7" s="18"/>
      <c r="AX7" s="18"/>
      <c r="AY7" s="18"/>
      <c r="AZ7" s="18"/>
      <c r="BA7" s="18"/>
      <c r="BB7" s="18"/>
      <c r="BC7" s="18"/>
      <c r="BD7" s="18"/>
      <c r="BE7" s="34"/>
      <c r="BF7" s="52"/>
      <c r="BG7" s="52"/>
      <c r="BH7" s="52"/>
      <c r="BI7" s="52"/>
      <c r="BJ7" s="52"/>
      <c r="BK7" s="52"/>
      <c r="BL7" s="53" t="s">
        <v>14</v>
      </c>
      <c r="BM7" s="383" t="s">
        <v>166</v>
      </c>
      <c r="BN7" s="383"/>
      <c r="BO7" s="18"/>
      <c r="BP7" s="36"/>
      <c r="BQ7" s="36"/>
      <c r="BR7" s="36"/>
      <c r="BS7" s="36"/>
      <c r="BT7" s="36"/>
      <c r="BU7" s="36"/>
      <c r="BV7" s="36"/>
      <c r="BW7" s="36"/>
      <c r="BX7" s="36"/>
      <c r="BY7" s="36"/>
      <c r="BZ7" s="36"/>
      <c r="CA7" s="36"/>
      <c r="CB7" s="36"/>
      <c r="CC7" s="36"/>
      <c r="CD7" s="36"/>
      <c r="CE7" s="36"/>
      <c r="CF7" s="18"/>
      <c r="CG7" s="18"/>
      <c r="CH7" s="18"/>
      <c r="CJ7" s="268"/>
      <c r="CK7" s="270"/>
      <c r="CW7" s="283">
        <v>85</v>
      </c>
      <c r="CX7" s="285" t="s">
        <v>154</v>
      </c>
      <c r="CY7" s="286">
        <v>1000</v>
      </c>
      <c r="CZ7" s="284">
        <v>105</v>
      </c>
      <c r="DA7" s="284">
        <v>205</v>
      </c>
    </row>
    <row r="8" spans="2:131" x14ac:dyDescent="0.3">
      <c r="B8" s="54" t="s">
        <v>66</v>
      </c>
      <c r="C8" s="307"/>
      <c r="D8" s="30"/>
      <c r="E8" s="307"/>
      <c r="F8" s="307"/>
      <c r="G8" s="220"/>
      <c r="H8" s="65"/>
      <c r="I8" s="59"/>
      <c r="J8" s="60"/>
      <c r="K8" s="60"/>
      <c r="L8" s="60"/>
      <c r="M8" s="60"/>
      <c r="N8" s="61"/>
      <c r="O8" s="34"/>
      <c r="P8" s="34"/>
      <c r="Q8" s="307"/>
      <c r="R8" s="307"/>
      <c r="S8" s="57"/>
      <c r="T8" s="35"/>
      <c r="U8" s="18"/>
      <c r="V8" s="18"/>
      <c r="W8" s="35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64"/>
      <c r="AJ8" s="18"/>
      <c r="AK8" s="18"/>
      <c r="AL8" s="18"/>
      <c r="AM8" s="18"/>
      <c r="AN8" s="18"/>
      <c r="AO8" s="18"/>
      <c r="AP8" s="18"/>
      <c r="AQ8" s="18"/>
      <c r="AR8" s="18"/>
      <c r="AS8" s="18"/>
      <c r="AT8" s="18"/>
      <c r="AU8" s="18"/>
      <c r="AV8" s="18"/>
      <c r="AW8" s="18"/>
      <c r="AX8" s="18"/>
      <c r="AY8" s="18"/>
      <c r="AZ8" s="18"/>
      <c r="BA8" s="18"/>
      <c r="BB8" s="18"/>
      <c r="BC8" s="18"/>
      <c r="BD8" s="18"/>
      <c r="BE8" s="34"/>
      <c r="BF8" s="34"/>
      <c r="BG8" s="34"/>
      <c r="BH8" s="34"/>
      <c r="BI8" s="34"/>
      <c r="BJ8" s="34"/>
      <c r="BK8" s="34"/>
      <c r="BL8" s="34"/>
      <c r="BM8" s="34"/>
      <c r="BN8" s="18"/>
      <c r="BO8" s="36"/>
      <c r="BP8" s="36"/>
      <c r="BQ8" s="36"/>
      <c r="BR8" s="36"/>
      <c r="BS8" s="36"/>
      <c r="BT8" s="36"/>
      <c r="BU8" s="36"/>
      <c r="BV8" s="36"/>
      <c r="BW8" s="36"/>
      <c r="BX8" s="36"/>
      <c r="BY8" s="36"/>
      <c r="BZ8" s="36"/>
      <c r="CA8" s="36"/>
      <c r="CB8" s="36"/>
      <c r="CC8" s="36"/>
      <c r="CD8" s="36"/>
      <c r="CE8" s="36"/>
      <c r="CF8" s="18"/>
      <c r="CG8" s="18"/>
      <c r="CH8" s="18"/>
      <c r="CJ8" s="268"/>
      <c r="CK8" s="270"/>
      <c r="CW8" s="283">
        <v>2</v>
      </c>
      <c r="CX8" s="285" t="s">
        <v>154</v>
      </c>
      <c r="CY8" s="286">
        <v>1000</v>
      </c>
      <c r="CZ8" s="284">
        <v>106</v>
      </c>
      <c r="DA8" s="284">
        <v>206</v>
      </c>
    </row>
    <row r="9" spans="2:131" x14ac:dyDescent="0.3">
      <c r="B9" s="52"/>
      <c r="C9" s="5"/>
      <c r="D9" s="5"/>
      <c r="E9" s="5"/>
      <c r="F9" s="5"/>
      <c r="G9" s="52"/>
      <c r="H9" s="52"/>
      <c r="I9" s="52"/>
      <c r="J9" s="52"/>
      <c r="K9" s="52"/>
      <c r="L9" s="52"/>
      <c r="M9" s="52"/>
      <c r="N9" s="52"/>
      <c r="O9" s="52"/>
      <c r="P9" s="52"/>
      <c r="Q9" s="40"/>
      <c r="R9" s="52"/>
      <c r="S9" s="52"/>
      <c r="T9" s="5"/>
      <c r="U9" s="52"/>
      <c r="V9" s="52"/>
      <c r="W9" s="5"/>
      <c r="X9" s="52"/>
      <c r="Y9" s="52"/>
      <c r="Z9" s="52"/>
      <c r="AA9" s="52"/>
      <c r="AB9" s="52"/>
      <c r="AC9" s="52"/>
      <c r="AD9" s="52"/>
      <c r="AE9" s="52"/>
      <c r="AF9" s="52"/>
      <c r="AG9" s="52"/>
      <c r="AH9" s="52"/>
      <c r="AI9" s="52"/>
      <c r="AJ9" s="52"/>
      <c r="AK9" s="52"/>
      <c r="AL9" s="52"/>
      <c r="AM9" s="52"/>
      <c r="AN9" s="52"/>
      <c r="AO9" s="52"/>
      <c r="AP9" s="52"/>
      <c r="AQ9" s="52"/>
      <c r="AR9" s="52"/>
      <c r="AS9" s="52"/>
      <c r="AT9" s="52"/>
      <c r="AU9" s="52"/>
      <c r="AV9" s="52"/>
      <c r="AW9" s="52"/>
      <c r="AX9" s="52"/>
      <c r="AY9" s="52"/>
      <c r="AZ9" s="52"/>
      <c r="BA9" s="52"/>
      <c r="BB9" s="52"/>
      <c r="BC9" s="52"/>
      <c r="BD9" s="52"/>
      <c r="BE9" s="52"/>
      <c r="BF9" s="52"/>
      <c r="BG9" s="52"/>
      <c r="BH9" s="52"/>
      <c r="BI9" s="52"/>
      <c r="BJ9" s="52"/>
      <c r="BK9" s="52"/>
      <c r="BL9" s="52"/>
      <c r="BM9" s="52"/>
      <c r="BN9" s="52"/>
      <c r="BO9" s="52"/>
      <c r="BP9" s="52"/>
      <c r="BQ9" s="52"/>
      <c r="BR9" s="52"/>
      <c r="BS9" s="52"/>
      <c r="BT9" s="52"/>
      <c r="BU9" s="52"/>
      <c r="BV9" s="52"/>
      <c r="BW9" s="52"/>
      <c r="BX9" s="52"/>
      <c r="BY9" s="52"/>
      <c r="BZ9" s="52"/>
      <c r="CA9" s="52"/>
      <c r="CB9" s="52"/>
      <c r="CC9" s="52"/>
      <c r="CD9" s="52"/>
      <c r="CE9" s="52"/>
      <c r="CF9" s="52"/>
      <c r="CG9" s="52"/>
      <c r="CH9" s="52"/>
      <c r="CI9" s="6"/>
      <c r="CJ9" s="74"/>
      <c r="CK9" s="74"/>
      <c r="CL9" s="5"/>
      <c r="CM9" s="5"/>
      <c r="CN9" s="5"/>
      <c r="CO9" s="5"/>
      <c r="CP9" s="5"/>
      <c r="CQ9" s="5"/>
      <c r="CR9" s="5"/>
      <c r="CS9" s="5"/>
      <c r="CT9" s="6"/>
      <c r="CU9" s="5"/>
      <c r="CV9" s="5"/>
      <c r="CW9" s="283">
        <v>7</v>
      </c>
      <c r="CX9" s="285" t="s">
        <v>154</v>
      </c>
      <c r="CY9" s="286">
        <v>1000</v>
      </c>
      <c r="CZ9" s="284">
        <v>111</v>
      </c>
      <c r="DA9" s="284">
        <v>211</v>
      </c>
    </row>
    <row r="10" spans="2:131" x14ac:dyDescent="0.3">
      <c r="B10" s="54" t="s">
        <v>87</v>
      </c>
      <c r="C10" s="307"/>
      <c r="D10" s="30"/>
      <c r="E10" s="307"/>
      <c r="F10" s="307"/>
      <c r="G10" s="32" t="s">
        <v>158</v>
      </c>
      <c r="H10" s="66"/>
      <c r="I10" s="66"/>
      <c r="J10" s="66"/>
      <c r="K10" s="66"/>
      <c r="L10" s="66"/>
      <c r="M10" s="66"/>
      <c r="N10" s="67"/>
      <c r="O10" s="307"/>
      <c r="P10" s="34"/>
      <c r="Q10" s="34"/>
      <c r="R10" s="34"/>
      <c r="S10" s="57"/>
      <c r="T10" s="35"/>
      <c r="U10" s="18"/>
      <c r="V10" s="18"/>
      <c r="W10" s="35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64"/>
      <c r="AJ10" s="18"/>
      <c r="AK10" s="18"/>
      <c r="AL10" s="18"/>
      <c r="AM10" s="18"/>
      <c r="AN10" s="18"/>
      <c r="AO10" s="18"/>
      <c r="AP10" s="18"/>
      <c r="AQ10" s="18"/>
      <c r="AR10" s="18"/>
      <c r="AS10" s="18"/>
      <c r="AT10" s="18"/>
      <c r="AU10" s="18"/>
      <c r="AV10" s="18"/>
      <c r="AW10" s="18"/>
      <c r="AX10" s="18"/>
      <c r="AY10" s="18"/>
      <c r="AZ10" s="18"/>
      <c r="BA10" s="18"/>
      <c r="BB10" s="18"/>
      <c r="BC10" s="18"/>
      <c r="BD10" s="18"/>
      <c r="BE10" s="34"/>
      <c r="BF10" s="34"/>
      <c r="BG10" s="34"/>
      <c r="BH10" s="34"/>
      <c r="BI10" s="34"/>
      <c r="BJ10" s="34"/>
      <c r="BK10" s="34"/>
      <c r="BL10" s="34"/>
      <c r="BM10" s="34"/>
      <c r="BN10" s="18"/>
      <c r="BO10" s="36"/>
      <c r="BP10" s="36"/>
      <c r="BQ10" s="36"/>
      <c r="BR10" s="36"/>
      <c r="BS10" s="36"/>
      <c r="BT10" s="36"/>
      <c r="BU10" s="36"/>
      <c r="BV10" s="36"/>
      <c r="BW10" s="36"/>
      <c r="BX10" s="36"/>
      <c r="BY10" s="36"/>
      <c r="BZ10" s="36"/>
      <c r="CA10" s="36"/>
      <c r="CB10" s="36"/>
      <c r="CC10" s="36"/>
      <c r="CD10" s="36"/>
      <c r="CE10" s="36"/>
      <c r="CF10" s="18"/>
      <c r="CG10" s="18"/>
      <c r="CH10" s="18"/>
      <c r="CJ10" s="268"/>
      <c r="CK10" s="74"/>
      <c r="CW10" s="283">
        <v>24</v>
      </c>
      <c r="CX10" s="285" t="s">
        <v>155</v>
      </c>
      <c r="CY10" s="286">
        <v>1000</v>
      </c>
      <c r="CZ10" s="284">
        <v>112</v>
      </c>
      <c r="DA10" s="284">
        <v>212</v>
      </c>
    </row>
    <row r="11" spans="2:131" x14ac:dyDescent="0.3">
      <c r="B11" s="54" t="s">
        <v>73</v>
      </c>
      <c r="C11" s="307"/>
      <c r="D11" s="30"/>
      <c r="E11" s="307"/>
      <c r="F11" s="307"/>
      <c r="G11" s="32"/>
      <c r="J11" s="59"/>
      <c r="K11" s="59"/>
      <c r="L11" s="59"/>
      <c r="M11" s="59"/>
      <c r="P11" s="57"/>
      <c r="Q11" s="57"/>
      <c r="R11" s="57"/>
      <c r="S11" s="57"/>
      <c r="T11" s="35"/>
      <c r="U11" s="18"/>
      <c r="V11" s="18"/>
      <c r="W11" s="35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64"/>
      <c r="AJ11" s="18"/>
      <c r="AK11" s="18"/>
      <c r="AL11" s="18"/>
      <c r="AM11" s="18"/>
      <c r="AN11" s="18"/>
      <c r="AO11" s="18"/>
      <c r="AP11" s="18"/>
      <c r="AQ11" s="18"/>
      <c r="AR11" s="18"/>
      <c r="AS11" s="18"/>
      <c r="AT11" s="18"/>
      <c r="AU11" s="18"/>
      <c r="AV11" s="18"/>
      <c r="AW11" s="18"/>
      <c r="AX11" s="18"/>
      <c r="AY11" s="18"/>
      <c r="AZ11" s="18"/>
      <c r="BA11" s="18"/>
      <c r="BB11" s="18"/>
      <c r="BC11" s="18"/>
      <c r="BD11" s="18"/>
      <c r="BE11" s="34"/>
      <c r="BF11" s="34"/>
      <c r="BG11" s="34"/>
      <c r="BH11" s="34"/>
      <c r="BI11" s="34"/>
      <c r="BJ11" s="34"/>
      <c r="BK11" s="34"/>
      <c r="BL11" s="34"/>
      <c r="BM11" s="34"/>
      <c r="BN11" s="18"/>
      <c r="BO11" s="36"/>
      <c r="BP11" s="36"/>
      <c r="BQ11" s="36"/>
      <c r="BR11" s="36"/>
      <c r="BS11" s="36"/>
      <c r="BT11" s="36"/>
      <c r="BU11" s="36"/>
      <c r="BV11" s="36"/>
      <c r="BW11" s="36"/>
      <c r="BX11" s="36"/>
      <c r="BY11" s="36"/>
      <c r="BZ11" s="36"/>
      <c r="CA11" s="36"/>
      <c r="CB11" s="36"/>
      <c r="CC11" s="36"/>
      <c r="CD11" s="36"/>
      <c r="CE11" s="36"/>
      <c r="CF11" s="18"/>
      <c r="CG11" s="18"/>
      <c r="CH11" s="18"/>
      <c r="CJ11" s="268"/>
      <c r="CK11" s="74"/>
      <c r="CW11" s="283">
        <v>27</v>
      </c>
      <c r="CX11" s="285" t="s">
        <v>155</v>
      </c>
      <c r="CY11" s="286">
        <v>1000</v>
      </c>
      <c r="CZ11" s="284">
        <v>113</v>
      </c>
      <c r="DA11" s="284">
        <v>213</v>
      </c>
    </row>
    <row r="12" spans="2:131" s="7" customFormat="1" x14ac:dyDescent="0.3">
      <c r="B12" s="54"/>
      <c r="C12" s="54"/>
      <c r="D12" s="54"/>
      <c r="E12" s="54"/>
      <c r="F12" s="54"/>
      <c r="G12" s="54"/>
      <c r="H12" s="54" t="s">
        <v>102</v>
      </c>
      <c r="I12" s="54"/>
      <c r="J12" s="54"/>
      <c r="K12" s="54"/>
      <c r="L12" s="54"/>
      <c r="M12" s="54"/>
      <c r="N12" s="229" t="s">
        <v>159</v>
      </c>
      <c r="O12" s="75">
        <v>1000</v>
      </c>
      <c r="P12" s="54"/>
      <c r="Q12" s="54"/>
      <c r="R12" s="54"/>
      <c r="S12" s="54"/>
      <c r="T12" s="54"/>
      <c r="U12" s="54"/>
      <c r="V12" s="54"/>
      <c r="W12" s="54"/>
      <c r="X12" s="54"/>
      <c r="Y12" s="54"/>
      <c r="Z12" s="54"/>
      <c r="AA12" s="54"/>
      <c r="AB12" s="57"/>
      <c r="AC12" s="18"/>
      <c r="AD12" s="18"/>
      <c r="AE12" s="18"/>
      <c r="AF12" s="18"/>
      <c r="AG12" s="18"/>
      <c r="AH12" s="18"/>
      <c r="AI12" s="221" t="s">
        <v>144</v>
      </c>
      <c r="AJ12" s="230">
        <v>1.7</v>
      </c>
      <c r="AK12" s="54"/>
      <c r="AL12" s="54"/>
      <c r="AM12" s="54"/>
      <c r="AN12" s="54"/>
      <c r="AO12" s="54"/>
      <c r="AP12" s="54"/>
      <c r="AQ12" s="54"/>
      <c r="AR12" s="54"/>
      <c r="AS12" s="54"/>
      <c r="AT12" s="54"/>
      <c r="AU12" s="54"/>
      <c r="AV12" s="54"/>
      <c r="AW12" s="54"/>
      <c r="AX12" s="54"/>
      <c r="AY12" s="54"/>
      <c r="AZ12" s="54"/>
      <c r="BA12" s="54"/>
      <c r="BB12" s="54"/>
      <c r="BC12" s="54"/>
      <c r="BD12" s="54"/>
      <c r="BE12" s="54"/>
      <c r="BF12" s="54"/>
      <c r="BG12" s="54"/>
      <c r="BH12" s="54"/>
      <c r="BI12" s="54"/>
      <c r="BJ12" s="54"/>
      <c r="BK12" s="54"/>
      <c r="BL12" s="54"/>
      <c r="BM12" s="54"/>
      <c r="BN12" s="54"/>
      <c r="BO12" s="54"/>
      <c r="BP12" s="54"/>
      <c r="BQ12" s="54"/>
      <c r="BR12" s="54"/>
      <c r="BS12" s="54"/>
      <c r="BT12" s="54"/>
      <c r="BU12" s="54"/>
      <c r="BV12" s="54"/>
      <c r="BW12" s="54"/>
      <c r="BX12" s="54"/>
      <c r="BY12" s="54"/>
      <c r="BZ12" s="54"/>
      <c r="CA12" s="54"/>
      <c r="CB12" s="69"/>
      <c r="CC12" s="54"/>
      <c r="CD12" s="54"/>
      <c r="CE12" s="54"/>
      <c r="CF12" s="54"/>
      <c r="CG12" s="54"/>
      <c r="CH12" s="54"/>
      <c r="CI12" s="6"/>
      <c r="CJ12" s="269"/>
      <c r="CK12" s="74"/>
      <c r="CL12" s="38"/>
      <c r="CM12" s="38"/>
      <c r="CN12" s="39"/>
      <c r="CO12" s="40"/>
      <c r="CP12" s="13"/>
      <c r="CQ12" s="13"/>
      <c r="CR12" s="13"/>
      <c r="CS12" s="13"/>
      <c r="CW12" s="283">
        <v>31</v>
      </c>
      <c r="CX12" s="287" t="s">
        <v>154</v>
      </c>
      <c r="CY12" s="288">
        <v>1000</v>
      </c>
      <c r="CZ12" s="284">
        <v>114</v>
      </c>
      <c r="DA12" s="284">
        <v>214</v>
      </c>
      <c r="DB12" s="185"/>
      <c r="DC12" s="185"/>
      <c r="DD12" s="185"/>
      <c r="DE12" s="185"/>
      <c r="DF12" s="185"/>
      <c r="DG12" s="185"/>
      <c r="DH12" s="185"/>
      <c r="DI12" s="185"/>
      <c r="DJ12" s="209"/>
      <c r="DK12" s="185"/>
      <c r="DL12" s="185"/>
      <c r="DM12" s="186"/>
      <c r="DN12" s="187"/>
      <c r="DO12" s="187"/>
      <c r="DP12" s="187"/>
      <c r="DQ12" s="187"/>
      <c r="DR12" s="187"/>
      <c r="DS12" s="187"/>
      <c r="DT12" s="188"/>
      <c r="DU12" s="187"/>
      <c r="DV12" s="187"/>
      <c r="DW12" s="187"/>
      <c r="DX12" s="187"/>
      <c r="DY12" s="187"/>
      <c r="DZ12" s="187"/>
      <c r="EA12" s="185"/>
    </row>
    <row r="13" spans="2:131" x14ac:dyDescent="0.3">
      <c r="B13" s="52"/>
      <c r="C13" s="34"/>
      <c r="D13" s="5"/>
      <c r="E13" s="34"/>
      <c r="F13" s="34"/>
      <c r="G13" s="68"/>
      <c r="I13" s="57"/>
      <c r="J13" s="57"/>
      <c r="K13" s="57"/>
      <c r="L13" s="57"/>
      <c r="M13" s="57"/>
      <c r="N13" s="34"/>
      <c r="O13" s="34"/>
      <c r="P13" s="34"/>
      <c r="Q13" s="34"/>
      <c r="R13" s="34"/>
      <c r="S13" s="18"/>
      <c r="T13" s="69" t="s">
        <v>7</v>
      </c>
      <c r="U13" s="57"/>
      <c r="V13" s="57"/>
      <c r="W13" s="55"/>
      <c r="X13" s="57"/>
      <c r="Y13" s="57"/>
      <c r="Z13" s="57"/>
      <c r="AA13" s="57"/>
      <c r="AB13" s="57"/>
      <c r="AC13" s="18"/>
      <c r="AD13" s="18"/>
      <c r="AE13" s="18"/>
      <c r="AF13" s="18"/>
      <c r="AG13" s="18"/>
      <c r="AH13" s="18"/>
      <c r="AI13" s="221" t="s">
        <v>143</v>
      </c>
      <c r="AJ13" s="231">
        <f>22*((AJ14+8)/10)^0.3</f>
        <v>33.345764463228754</v>
      </c>
      <c r="AK13" s="18"/>
      <c r="AL13" s="18"/>
      <c r="AN13" s="57" t="s">
        <v>10</v>
      </c>
      <c r="AO13" s="57"/>
      <c r="AP13" s="57"/>
      <c r="AQ13" s="57"/>
      <c r="AR13" s="57"/>
      <c r="AS13" s="57"/>
      <c r="AT13" s="57"/>
      <c r="AU13" s="18"/>
      <c r="AV13" s="18"/>
      <c r="AW13" s="5"/>
      <c r="AX13" s="5"/>
      <c r="AY13" s="18"/>
      <c r="AZ13" s="18"/>
      <c r="BA13" s="60"/>
      <c r="BB13" s="52"/>
      <c r="BC13" s="52"/>
      <c r="BD13" s="18"/>
      <c r="BE13" s="18"/>
      <c r="BF13" s="18"/>
      <c r="BG13" s="70"/>
      <c r="BH13" s="70"/>
      <c r="BI13" s="70"/>
      <c r="BJ13" s="70"/>
      <c r="BK13" s="18"/>
      <c r="BL13" s="53"/>
      <c r="BM13" s="67"/>
      <c r="BN13" s="18"/>
      <c r="BO13" s="36"/>
      <c r="BP13" s="36"/>
      <c r="BQ13" s="36"/>
      <c r="BR13" s="36"/>
      <c r="BS13" s="36"/>
      <c r="BT13" s="36"/>
      <c r="BU13" s="36"/>
      <c r="BV13" s="36"/>
      <c r="BW13" s="36"/>
      <c r="BX13" s="36"/>
      <c r="BY13" s="36"/>
      <c r="BZ13" s="36"/>
      <c r="CA13" s="36"/>
      <c r="CB13" s="36"/>
      <c r="CC13" s="36"/>
      <c r="CD13" s="36"/>
      <c r="CE13" s="36"/>
      <c r="CF13" s="18"/>
      <c r="CG13" s="18"/>
      <c r="CH13" s="18"/>
      <c r="CW13" s="303">
        <v>56</v>
      </c>
      <c r="CX13" s="285" t="s">
        <v>155</v>
      </c>
      <c r="CY13" s="286">
        <v>1000</v>
      </c>
      <c r="CZ13" s="286"/>
      <c r="DA13" s="286"/>
    </row>
    <row r="14" spans="2:131" x14ac:dyDescent="0.3">
      <c r="B14" s="52"/>
      <c r="C14" s="34"/>
      <c r="D14" s="5"/>
      <c r="E14" s="34"/>
      <c r="F14" s="34"/>
      <c r="G14" s="68"/>
      <c r="H14" s="18"/>
      <c r="I14" s="18"/>
      <c r="J14" s="18"/>
      <c r="K14" s="18"/>
      <c r="L14" s="395" t="s">
        <v>160</v>
      </c>
      <c r="M14" s="395"/>
      <c r="N14" s="395"/>
      <c r="O14" s="293" t="s">
        <v>105</v>
      </c>
      <c r="P14" s="294" t="s">
        <v>106</v>
      </c>
      <c r="Q14" s="71"/>
      <c r="R14" s="213"/>
      <c r="S14" s="18"/>
      <c r="T14" s="35"/>
      <c r="U14" s="34"/>
      <c r="V14" s="34"/>
      <c r="W14" s="35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221" t="s">
        <v>131</v>
      </c>
      <c r="AJ14" s="73">
        <v>32</v>
      </c>
      <c r="AK14" s="18"/>
      <c r="AL14" s="18"/>
      <c r="AN14" s="18" t="s">
        <v>100</v>
      </c>
      <c r="AO14" s="18"/>
      <c r="AP14" s="18"/>
      <c r="AQ14" s="18"/>
      <c r="AR14" s="18"/>
      <c r="AS14" s="18"/>
      <c r="AT14" s="18"/>
      <c r="AU14" s="18"/>
      <c r="AV14" s="18"/>
      <c r="AW14" s="74"/>
      <c r="AX14" s="73">
        <v>13</v>
      </c>
      <c r="AY14" s="18"/>
      <c r="AZ14" s="18"/>
      <c r="BA14" s="5"/>
      <c r="BB14" s="60"/>
      <c r="BC14" s="52"/>
      <c r="BD14" s="52"/>
      <c r="BE14" s="18"/>
      <c r="BF14" s="18"/>
      <c r="BG14" s="18"/>
      <c r="BH14" s="18"/>
      <c r="BI14" s="18"/>
      <c r="BJ14" s="18"/>
      <c r="BK14" s="18"/>
      <c r="BL14" s="18"/>
      <c r="BM14" s="18"/>
      <c r="BN14" s="18"/>
      <c r="BO14" s="18"/>
      <c r="BP14" s="18"/>
      <c r="BQ14" s="18"/>
      <c r="BR14" s="18"/>
      <c r="BS14" s="18"/>
      <c r="BT14" s="18"/>
      <c r="BU14" s="18"/>
      <c r="BV14" s="18"/>
      <c r="BW14" s="18"/>
      <c r="BX14" s="18"/>
      <c r="BY14" s="18"/>
      <c r="BZ14" s="18"/>
      <c r="CA14" s="18"/>
      <c r="CB14" s="18"/>
      <c r="CC14" s="18"/>
      <c r="CD14" s="18"/>
      <c r="CE14" s="18"/>
      <c r="CF14" s="18"/>
      <c r="CG14" s="18"/>
      <c r="CH14" s="18"/>
      <c r="CW14" s="303">
        <v>57</v>
      </c>
      <c r="CX14" s="285" t="s">
        <v>155</v>
      </c>
      <c r="CY14" s="286">
        <v>1000</v>
      </c>
      <c r="CZ14" s="286"/>
      <c r="DA14" s="286"/>
    </row>
    <row r="15" spans="2:131" x14ac:dyDescent="0.3">
      <c r="B15" s="52"/>
      <c r="C15" s="34"/>
      <c r="D15" s="5"/>
      <c r="E15" s="34"/>
      <c r="F15" s="34"/>
      <c r="G15" s="68"/>
      <c r="H15" s="18"/>
      <c r="I15" s="18"/>
      <c r="J15" s="18"/>
      <c r="K15" s="18"/>
      <c r="L15" s="394" t="s">
        <v>16</v>
      </c>
      <c r="M15" s="394"/>
      <c r="N15" s="394"/>
      <c r="O15" s="295">
        <v>45</v>
      </c>
      <c r="P15" s="296">
        <v>40</v>
      </c>
      <c r="Q15" s="71"/>
      <c r="R15" s="213"/>
      <c r="S15" s="18"/>
      <c r="T15" s="35"/>
      <c r="U15" s="34"/>
      <c r="V15" s="34"/>
      <c r="W15" s="35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221" t="s">
        <v>142</v>
      </c>
      <c r="AJ15" s="231">
        <f>AJ13/(1+AJ12)</f>
        <v>12.350283134529167</v>
      </c>
      <c r="AK15" s="18"/>
      <c r="AL15" s="18"/>
      <c r="AN15" s="54" t="s">
        <v>101</v>
      </c>
      <c r="AO15" s="54"/>
      <c r="AP15" s="54"/>
      <c r="AQ15" s="54"/>
      <c r="AR15" s="54"/>
      <c r="AS15" s="54"/>
      <c r="AT15" s="54"/>
      <c r="AU15" s="18"/>
      <c r="AV15" s="18"/>
      <c r="AW15" s="18"/>
      <c r="AX15" s="18"/>
      <c r="AY15" s="18"/>
      <c r="AZ15" s="18"/>
      <c r="BA15" s="5"/>
      <c r="BB15" s="60"/>
      <c r="BC15" s="52"/>
      <c r="BD15" s="52"/>
      <c r="BE15" s="18"/>
      <c r="BF15" s="18"/>
      <c r="BG15" s="18"/>
      <c r="BH15" s="18"/>
      <c r="BI15" s="18"/>
      <c r="BJ15" s="18"/>
      <c r="BK15" s="18"/>
      <c r="BL15" s="18"/>
      <c r="BM15" s="18"/>
      <c r="BN15" s="36"/>
      <c r="BO15" s="18"/>
      <c r="BP15" s="18"/>
      <c r="BQ15" s="18"/>
      <c r="BR15" s="18"/>
      <c r="BS15" s="18"/>
      <c r="BT15" s="18"/>
      <c r="BU15" s="18"/>
      <c r="BV15" s="18"/>
      <c r="BW15" s="18"/>
      <c r="BX15" s="18"/>
      <c r="BY15" s="18"/>
      <c r="BZ15" s="18"/>
      <c r="CA15" s="18"/>
      <c r="CB15" s="18"/>
      <c r="CC15" s="18"/>
      <c r="CD15" s="18"/>
      <c r="CE15" s="18"/>
      <c r="CF15" s="18"/>
      <c r="CG15" s="18"/>
      <c r="CH15" s="18"/>
      <c r="CW15" s="303">
        <v>58</v>
      </c>
      <c r="CX15" s="285" t="s">
        <v>155</v>
      </c>
      <c r="CY15" s="286">
        <v>2100</v>
      </c>
      <c r="CZ15" s="286"/>
      <c r="DA15" s="286"/>
    </row>
    <row r="16" spans="2:131" x14ac:dyDescent="0.3">
      <c r="B16" s="52"/>
      <c r="C16" s="34"/>
      <c r="D16" s="5"/>
      <c r="E16" s="34"/>
      <c r="F16" s="34"/>
      <c r="G16" s="68"/>
      <c r="H16" s="34"/>
      <c r="I16" s="34"/>
      <c r="J16" s="34"/>
      <c r="K16" s="34"/>
      <c r="L16" s="394" t="s">
        <v>15</v>
      </c>
      <c r="M16" s="394"/>
      <c r="N16" s="394"/>
      <c r="O16" s="295">
        <v>70</v>
      </c>
      <c r="P16" s="296">
        <v>70</v>
      </c>
      <c r="Q16" s="71"/>
      <c r="R16" s="213"/>
      <c r="S16" s="18"/>
      <c r="T16" s="35"/>
      <c r="U16" s="34"/>
      <c r="V16" s="34"/>
      <c r="W16" s="35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72" t="s">
        <v>8</v>
      </c>
      <c r="AJ16" s="5">
        <v>500</v>
      </c>
      <c r="AK16" s="18"/>
      <c r="AL16" s="18"/>
      <c r="AM16" s="34"/>
      <c r="AN16" s="76"/>
      <c r="AO16" s="76"/>
      <c r="AP16" s="76"/>
      <c r="AQ16" s="76"/>
      <c r="AR16" s="76"/>
      <c r="AS16" s="76"/>
      <c r="AT16" s="76"/>
      <c r="AU16" s="18"/>
      <c r="AV16" s="18"/>
      <c r="AW16" s="77" t="s">
        <v>69</v>
      </c>
      <c r="AX16" s="73">
        <v>150</v>
      </c>
      <c r="AY16" s="18"/>
      <c r="AZ16" s="18"/>
      <c r="BA16" s="5"/>
      <c r="BB16" s="71" t="s">
        <v>122</v>
      </c>
      <c r="BC16" s="34"/>
      <c r="BD16" s="5">
        <f>AX16</f>
        <v>150</v>
      </c>
      <c r="BE16" s="53"/>
      <c r="BF16" s="73"/>
      <c r="BG16" s="53"/>
      <c r="BH16" s="53" t="s">
        <v>70</v>
      </c>
      <c r="BI16" s="73">
        <v>80</v>
      </c>
      <c r="BJ16" s="73"/>
      <c r="BK16" s="74" t="s">
        <v>126</v>
      </c>
      <c r="BL16" s="5">
        <f>BI16</f>
        <v>80</v>
      </c>
      <c r="BM16" s="71"/>
      <c r="BN16" s="73"/>
      <c r="BO16" s="18"/>
      <c r="BP16" s="18"/>
      <c r="BQ16" s="18"/>
      <c r="BR16" s="18"/>
      <c r="BS16" s="18"/>
      <c r="BT16" s="18"/>
      <c r="BU16" s="18"/>
      <c r="BV16" s="18"/>
      <c r="BW16" s="18"/>
      <c r="BX16" s="18"/>
      <c r="BY16" s="18"/>
      <c r="BZ16" s="18"/>
      <c r="CA16" s="18"/>
      <c r="CB16" s="18"/>
      <c r="CC16" s="18"/>
      <c r="CD16" s="18"/>
      <c r="CE16" s="18"/>
      <c r="CF16" s="18"/>
      <c r="CG16" s="18"/>
      <c r="CH16" s="18"/>
      <c r="CW16" s="303">
        <v>61</v>
      </c>
      <c r="CX16" s="285" t="s">
        <v>155</v>
      </c>
      <c r="CY16" s="286">
        <v>2100</v>
      </c>
      <c r="CZ16" s="286"/>
      <c r="DA16" s="286"/>
    </row>
    <row r="17" spans="1:131" x14ac:dyDescent="0.3">
      <c r="B17" s="52"/>
      <c r="C17" s="34"/>
      <c r="D17" s="5"/>
      <c r="E17" s="34"/>
      <c r="F17" s="34"/>
      <c r="G17" s="68"/>
      <c r="H17" s="34"/>
      <c r="I17" s="34"/>
      <c r="J17" s="34"/>
      <c r="K17" s="34"/>
      <c r="L17" s="394" t="s">
        <v>36</v>
      </c>
      <c r="M17" s="394"/>
      <c r="N17" s="394"/>
      <c r="O17" s="394"/>
      <c r="P17" s="394"/>
      <c r="Q17" s="71"/>
      <c r="R17" s="213"/>
      <c r="S17" s="18"/>
      <c r="T17" s="35"/>
      <c r="U17" s="34"/>
      <c r="V17" s="34"/>
      <c r="W17" s="35"/>
      <c r="X17" s="18"/>
      <c r="Y17" s="18"/>
      <c r="Z17" s="18"/>
      <c r="AA17" s="18"/>
      <c r="AB17" s="18"/>
      <c r="AC17" s="18"/>
      <c r="AD17" s="18"/>
      <c r="AE17" s="18"/>
      <c r="AF17" s="18"/>
      <c r="AG17" s="18"/>
      <c r="AH17" s="18"/>
      <c r="AI17" s="72" t="s">
        <v>9</v>
      </c>
      <c r="AJ17" s="5">
        <v>200</v>
      </c>
      <c r="AK17" s="18"/>
      <c r="AL17" s="18"/>
      <c r="AM17" s="34"/>
      <c r="AN17" s="36"/>
      <c r="AO17" s="36"/>
      <c r="AP17" s="36"/>
      <c r="AQ17" s="36"/>
      <c r="AR17" s="36"/>
      <c r="AS17" s="36"/>
      <c r="AT17" s="36"/>
      <c r="AU17" s="18"/>
      <c r="AV17" s="18"/>
      <c r="AW17" s="74" t="s">
        <v>26</v>
      </c>
      <c r="AX17" s="5">
        <f>AX16</f>
        <v>150</v>
      </c>
      <c r="AY17" s="18"/>
      <c r="AZ17" s="18"/>
      <c r="BA17" s="5"/>
      <c r="BB17" s="71" t="s">
        <v>123</v>
      </c>
      <c r="BC17" s="34"/>
      <c r="BD17" s="5">
        <f>AX16</f>
        <v>150</v>
      </c>
      <c r="BE17" s="74"/>
      <c r="BF17" s="5"/>
      <c r="BG17" s="74"/>
      <c r="BH17" s="74" t="s">
        <v>27</v>
      </c>
      <c r="BI17" s="5">
        <f>BI16</f>
        <v>80</v>
      </c>
      <c r="BJ17" s="5"/>
      <c r="BK17" s="74" t="s">
        <v>127</v>
      </c>
      <c r="BL17" s="5">
        <f>BI16</f>
        <v>80</v>
      </c>
      <c r="BM17" s="18"/>
      <c r="BN17" s="36"/>
      <c r="BO17" s="18"/>
      <c r="BP17" s="18"/>
      <c r="BQ17" s="18"/>
      <c r="BR17" s="18"/>
      <c r="BS17" s="18"/>
      <c r="BT17" s="18"/>
      <c r="BU17" s="18"/>
      <c r="BV17" s="18"/>
      <c r="BW17" s="18"/>
      <c r="BX17" s="18"/>
      <c r="BY17" s="18"/>
      <c r="BZ17" s="18"/>
      <c r="CA17" s="18"/>
      <c r="CB17" s="18"/>
      <c r="CC17" s="18"/>
      <c r="CD17" s="18"/>
      <c r="CE17" s="18"/>
      <c r="CF17" s="18"/>
      <c r="CG17" s="18"/>
      <c r="CH17" s="18"/>
      <c r="CW17" s="303">
        <v>62</v>
      </c>
      <c r="CX17" s="285" t="s">
        <v>155</v>
      </c>
      <c r="CY17" s="286">
        <v>1000</v>
      </c>
      <c r="CZ17" s="286"/>
      <c r="DA17" s="286"/>
    </row>
    <row r="18" spans="1:131" x14ac:dyDescent="0.3">
      <c r="B18" s="54"/>
      <c r="C18" s="34"/>
      <c r="D18" s="78"/>
      <c r="E18" s="34"/>
      <c r="F18" s="34"/>
      <c r="G18" s="68"/>
      <c r="H18" s="18"/>
      <c r="J18" s="75"/>
      <c r="K18" s="18"/>
      <c r="L18" s="18"/>
      <c r="M18" s="18"/>
      <c r="N18" s="18"/>
      <c r="O18" s="18"/>
      <c r="P18" s="18"/>
      <c r="Q18" s="18"/>
      <c r="R18" s="18"/>
      <c r="S18" s="18"/>
      <c r="T18" s="35"/>
      <c r="U18" s="34"/>
      <c r="V18" s="34"/>
      <c r="W18" s="35"/>
      <c r="X18" s="18"/>
      <c r="Y18" s="18"/>
      <c r="Z18" s="18"/>
      <c r="AA18" s="18"/>
      <c r="AB18" s="18"/>
      <c r="AC18" s="18"/>
      <c r="AD18" s="18"/>
      <c r="AE18" s="18"/>
      <c r="AF18" s="18"/>
      <c r="AG18" s="18"/>
      <c r="AH18" s="18"/>
      <c r="AI18" s="221" t="s">
        <v>136</v>
      </c>
      <c r="AJ18" s="70">
        <f>(AJ17/AJ15)</f>
        <v>16.193960723121887</v>
      </c>
      <c r="AK18" s="18"/>
      <c r="AL18" s="18"/>
      <c r="AM18" s="34"/>
      <c r="AN18" s="36"/>
      <c r="AO18" s="36"/>
      <c r="AP18" s="36"/>
      <c r="AQ18" s="36"/>
      <c r="AR18" s="36"/>
      <c r="AS18" s="36"/>
      <c r="AT18" s="36"/>
      <c r="AU18" s="18"/>
      <c r="AV18" s="18"/>
      <c r="AW18" s="79" t="s">
        <v>28</v>
      </c>
      <c r="AX18" s="5">
        <f>AX17</f>
        <v>150</v>
      </c>
      <c r="AY18" s="18"/>
      <c r="AZ18" s="18"/>
      <c r="BA18" s="5"/>
      <c r="BB18" s="71" t="s">
        <v>124</v>
      </c>
      <c r="BC18" s="18"/>
      <c r="BD18" s="5">
        <f>AX16</f>
        <v>150</v>
      </c>
      <c r="BE18" s="52"/>
      <c r="BF18" s="52"/>
      <c r="BG18" s="52"/>
      <c r="BH18" s="74" t="s">
        <v>125</v>
      </c>
      <c r="BI18" s="5">
        <f>BI16</f>
        <v>80</v>
      </c>
      <c r="BJ18" s="52"/>
      <c r="BK18" s="52"/>
      <c r="BL18" s="52"/>
      <c r="BM18" s="18"/>
      <c r="BN18" s="36"/>
      <c r="BO18" s="18"/>
      <c r="BP18" s="18"/>
      <c r="BQ18" s="18"/>
      <c r="BR18" s="18"/>
      <c r="BS18" s="18"/>
      <c r="BT18" s="18"/>
      <c r="BU18" s="18"/>
      <c r="BV18" s="18"/>
      <c r="BW18" s="18"/>
      <c r="BX18" s="18"/>
      <c r="BY18" s="18"/>
      <c r="BZ18" s="18"/>
      <c r="CA18" s="18"/>
      <c r="CB18" s="18"/>
      <c r="CC18" s="18"/>
      <c r="CD18" s="18"/>
      <c r="CE18" s="18"/>
      <c r="CF18" s="18"/>
      <c r="CG18" s="18"/>
      <c r="CH18" s="18"/>
      <c r="CW18" s="303">
        <v>63</v>
      </c>
      <c r="CX18" s="285" t="s">
        <v>155</v>
      </c>
      <c r="CY18" s="286">
        <v>1000</v>
      </c>
      <c r="CZ18" s="286"/>
      <c r="DA18" s="286"/>
    </row>
    <row r="19" spans="1:131" ht="17.25" customHeight="1" thickBot="1" x14ac:dyDescent="0.4">
      <c r="B19" s="80" t="s">
        <v>96</v>
      </c>
      <c r="C19" s="307"/>
      <c r="D19" s="78"/>
      <c r="E19" s="307"/>
      <c r="F19" s="307"/>
      <c r="G19" s="32"/>
      <c r="J19" s="81">
        <v>1</v>
      </c>
      <c r="K19" s="82"/>
      <c r="L19" s="82"/>
      <c r="M19" s="82"/>
      <c r="N19" s="67"/>
      <c r="O19" s="307"/>
      <c r="P19" s="307"/>
      <c r="Q19" s="83"/>
      <c r="R19" s="83"/>
      <c r="S19" s="83"/>
      <c r="T19" s="55"/>
      <c r="U19" s="83"/>
      <c r="V19" s="83"/>
      <c r="W19" s="55"/>
      <c r="X19" s="83"/>
      <c r="Y19" s="83"/>
      <c r="Z19" s="83"/>
      <c r="AA19" s="83"/>
      <c r="AB19" s="83"/>
      <c r="AC19" s="83"/>
      <c r="AD19" s="83"/>
      <c r="AE19" s="83"/>
      <c r="AF19" s="83"/>
      <c r="AG19" s="83"/>
      <c r="AH19" s="83"/>
      <c r="AI19" s="84"/>
      <c r="AJ19" s="83"/>
      <c r="AK19" s="83"/>
      <c r="AL19" s="83"/>
      <c r="AM19" s="83"/>
      <c r="AN19" s="83"/>
      <c r="AO19" s="83"/>
      <c r="AP19" s="83"/>
      <c r="AQ19" s="83"/>
      <c r="AR19" s="83"/>
      <c r="AS19" s="83"/>
      <c r="AT19" s="83"/>
      <c r="AU19" s="83"/>
      <c r="AV19" s="83"/>
      <c r="AW19" s="83"/>
      <c r="AX19" s="83"/>
      <c r="AY19" s="83"/>
      <c r="AZ19" s="83"/>
      <c r="BA19" s="83"/>
      <c r="BB19" s="83"/>
      <c r="BC19" s="83"/>
      <c r="BD19" s="83"/>
      <c r="BE19" s="83"/>
      <c r="BF19" s="83"/>
      <c r="BG19" s="83"/>
      <c r="BH19" s="83"/>
      <c r="BI19" s="83"/>
      <c r="BJ19" s="83"/>
      <c r="BK19" s="83"/>
      <c r="BL19" s="83"/>
      <c r="BM19" s="83"/>
      <c r="BN19" s="83"/>
      <c r="BO19" s="83"/>
      <c r="BP19" s="83"/>
      <c r="BQ19" s="83"/>
      <c r="BR19" s="83"/>
      <c r="BS19" s="83"/>
      <c r="BT19" s="83"/>
      <c r="BU19" s="83"/>
      <c r="BV19" s="83"/>
      <c r="BW19" s="83"/>
      <c r="BX19" s="83"/>
      <c r="BY19" s="83"/>
      <c r="BZ19" s="83"/>
      <c r="CA19" s="83"/>
      <c r="CB19" s="83"/>
      <c r="CC19" s="83"/>
      <c r="CD19" s="83"/>
      <c r="CE19" s="83"/>
      <c r="CF19" s="18"/>
      <c r="CG19" s="18"/>
      <c r="CH19" s="85"/>
      <c r="CW19" s="303">
        <v>89</v>
      </c>
      <c r="CX19" s="285" t="s">
        <v>155</v>
      </c>
      <c r="CY19" s="286">
        <v>1000</v>
      </c>
      <c r="CZ19" s="286"/>
      <c r="DA19" s="286"/>
    </row>
    <row r="20" spans="1:131" ht="17.399999999999999" x14ac:dyDescent="0.3">
      <c r="B20" s="86"/>
      <c r="C20" s="87"/>
      <c r="D20" s="88"/>
      <c r="E20" s="87"/>
      <c r="F20" s="87"/>
      <c r="G20" s="89"/>
      <c r="H20" s="90"/>
      <c r="I20" s="372" t="s">
        <v>44</v>
      </c>
      <c r="J20" s="386"/>
      <c r="K20" s="386"/>
      <c r="L20" s="386"/>
      <c r="M20" s="386"/>
      <c r="N20" s="386"/>
      <c r="O20" s="386"/>
      <c r="P20" s="386"/>
      <c r="Q20" s="387"/>
      <c r="R20" s="301"/>
      <c r="S20" s="372" t="s">
        <v>19</v>
      </c>
      <c r="T20" s="373"/>
      <c r="U20" s="373"/>
      <c r="V20" s="373"/>
      <c r="W20" s="373"/>
      <c r="X20" s="373"/>
      <c r="Y20" s="373"/>
      <c r="Z20" s="373"/>
      <c r="AA20" s="373"/>
      <c r="AB20" s="373"/>
      <c r="AC20" s="373"/>
      <c r="AD20" s="373"/>
      <c r="AE20" s="373"/>
      <c r="AF20" s="373"/>
      <c r="AG20" s="373"/>
      <c r="AH20" s="373"/>
      <c r="AI20" s="373"/>
      <c r="AJ20" s="373"/>
      <c r="AK20" s="373"/>
      <c r="AL20" s="373"/>
      <c r="AM20" s="373"/>
      <c r="AN20" s="373"/>
      <c r="AO20" s="373"/>
      <c r="AP20" s="373"/>
      <c r="AQ20" s="373"/>
      <c r="AR20" s="373"/>
      <c r="AS20" s="373"/>
      <c r="AT20" s="373"/>
      <c r="AU20" s="373"/>
      <c r="AV20" s="374"/>
      <c r="AW20" s="372" t="s">
        <v>67</v>
      </c>
      <c r="AX20" s="373"/>
      <c r="AY20" s="373"/>
      <c r="AZ20" s="373"/>
      <c r="BA20" s="373"/>
      <c r="BB20" s="373"/>
      <c r="BC20" s="373"/>
      <c r="BD20" s="374"/>
      <c r="BE20" s="372" t="s">
        <v>29</v>
      </c>
      <c r="BF20" s="373"/>
      <c r="BG20" s="373"/>
      <c r="BH20" s="373"/>
      <c r="BI20" s="373"/>
      <c r="BJ20" s="373"/>
      <c r="BK20" s="373"/>
      <c r="BL20" s="373"/>
      <c r="BM20" s="373"/>
      <c r="BN20" s="373"/>
      <c r="BO20" s="374"/>
      <c r="BP20" s="372" t="s">
        <v>39</v>
      </c>
      <c r="BQ20" s="373"/>
      <c r="BR20" s="373"/>
      <c r="BS20" s="373"/>
      <c r="BT20" s="373"/>
      <c r="BU20" s="373"/>
      <c r="BV20" s="373"/>
      <c r="BW20" s="373"/>
      <c r="BX20" s="373"/>
      <c r="BY20" s="373"/>
      <c r="BZ20" s="373"/>
      <c r="CA20" s="373"/>
      <c r="CB20" s="373"/>
      <c r="CC20" s="373"/>
      <c r="CD20" s="373"/>
      <c r="CE20" s="374"/>
      <c r="CF20" s="299"/>
      <c r="CG20" s="90"/>
      <c r="CH20" s="93"/>
      <c r="CI20" s="94"/>
      <c r="CJ20" s="95"/>
      <c r="CK20" s="96"/>
      <c r="CL20" s="96"/>
      <c r="CM20" s="96"/>
      <c r="CN20" s="97"/>
      <c r="CO20" s="98"/>
      <c r="CP20" s="372" t="s">
        <v>44</v>
      </c>
      <c r="CQ20" s="373"/>
      <c r="CR20" s="373"/>
      <c r="CS20" s="374"/>
      <c r="CT20" s="214"/>
      <c r="CU20" s="400" t="s">
        <v>75</v>
      </c>
      <c r="CV20" s="401"/>
      <c r="CW20" s="303">
        <v>95</v>
      </c>
      <c r="CX20" s="290" t="s">
        <v>156</v>
      </c>
      <c r="CY20" s="291">
        <v>1000</v>
      </c>
      <c r="CZ20" s="292"/>
      <c r="DA20" s="292"/>
      <c r="DB20" s="274"/>
      <c r="DC20" s="274"/>
      <c r="DD20" s="274"/>
      <c r="DE20" s="274"/>
      <c r="DF20" s="274"/>
      <c r="DG20" s="274"/>
      <c r="DH20" s="274"/>
      <c r="DI20" s="274"/>
      <c r="DJ20" s="274"/>
      <c r="DK20" s="274"/>
    </row>
    <row r="21" spans="1:131" ht="16.8" x14ac:dyDescent="0.3">
      <c r="B21" s="99" t="s">
        <v>81</v>
      </c>
      <c r="C21" s="398" t="s">
        <v>72</v>
      </c>
      <c r="D21" s="30" t="s">
        <v>76</v>
      </c>
      <c r="E21" s="398" t="s">
        <v>72</v>
      </c>
      <c r="F21" s="307" t="s">
        <v>77</v>
      </c>
      <c r="G21" s="100" t="s">
        <v>84</v>
      </c>
      <c r="H21" s="30" t="str">
        <f>CO21</f>
        <v>Re-Bar</v>
      </c>
      <c r="I21" s="101" t="s">
        <v>98</v>
      </c>
      <c r="J21" s="384" t="s">
        <v>90</v>
      </c>
      <c r="K21" s="385"/>
      <c r="L21" s="384" t="s">
        <v>91</v>
      </c>
      <c r="M21" s="385"/>
      <c r="N21" s="396" t="s">
        <v>85</v>
      </c>
      <c r="O21" s="396"/>
      <c r="P21" s="396" t="s">
        <v>86</v>
      </c>
      <c r="Q21" s="397"/>
      <c r="R21" s="300" t="s">
        <v>61</v>
      </c>
      <c r="S21" s="388" t="s">
        <v>54</v>
      </c>
      <c r="T21" s="389"/>
      <c r="U21" s="389"/>
      <c r="V21" s="389"/>
      <c r="W21" s="389"/>
      <c r="X21" s="389"/>
      <c r="Y21" s="389"/>
      <c r="Z21" s="389"/>
      <c r="AA21" s="389"/>
      <c r="AB21" s="389"/>
      <c r="AC21" s="389"/>
      <c r="AD21" s="389"/>
      <c r="AE21" s="389"/>
      <c r="AF21" s="389"/>
      <c r="AG21" s="389"/>
      <c r="AH21" s="389"/>
      <c r="AI21" s="390"/>
      <c r="AJ21" s="391"/>
      <c r="AK21" s="389"/>
      <c r="AL21" s="389"/>
      <c r="AM21" s="389"/>
      <c r="AN21" s="389"/>
      <c r="AO21" s="389"/>
      <c r="AP21" s="389"/>
      <c r="AQ21" s="389"/>
      <c r="AR21" s="389"/>
      <c r="AS21" s="389"/>
      <c r="AT21" s="389"/>
      <c r="AU21" s="389"/>
      <c r="AV21" s="392"/>
      <c r="AW21" s="104"/>
      <c r="AX21" s="377" t="s">
        <v>55</v>
      </c>
      <c r="AY21" s="393"/>
      <c r="AZ21" s="393"/>
      <c r="BA21" s="393"/>
      <c r="BB21" s="393"/>
      <c r="BC21" s="393"/>
      <c r="BD21" s="378"/>
      <c r="BE21" s="375" t="s">
        <v>18</v>
      </c>
      <c r="BF21" s="393"/>
      <c r="BG21" s="393"/>
      <c r="BH21" s="393"/>
      <c r="BI21" s="393"/>
      <c r="BJ21" s="393"/>
      <c r="BK21" s="376"/>
      <c r="BL21" s="105" t="s">
        <v>33</v>
      </c>
      <c r="BM21" s="100"/>
      <c r="BN21" s="100"/>
      <c r="BO21" s="106"/>
      <c r="BP21" s="107" t="s">
        <v>40</v>
      </c>
      <c r="BQ21" s="100" t="s">
        <v>63</v>
      </c>
      <c r="BR21" s="391" t="s">
        <v>44</v>
      </c>
      <c r="BS21" s="389"/>
      <c r="BT21" s="389"/>
      <c r="BU21" s="389"/>
      <c r="BV21" s="389"/>
      <c r="BW21" s="389"/>
      <c r="BX21" s="390"/>
      <c r="BY21" s="108" t="s">
        <v>64</v>
      </c>
      <c r="BZ21" s="226"/>
      <c r="CA21" s="226" t="s">
        <v>138</v>
      </c>
      <c r="CB21" s="226" t="s">
        <v>140</v>
      </c>
      <c r="CC21" s="226" t="s">
        <v>134</v>
      </c>
      <c r="CD21" s="225" t="s">
        <v>71</v>
      </c>
      <c r="CE21" s="106" t="s">
        <v>4</v>
      </c>
      <c r="CF21" s="379" t="s">
        <v>60</v>
      </c>
      <c r="CG21" s="380"/>
      <c r="CH21" s="381"/>
      <c r="CI21" s="218" t="s">
        <v>81</v>
      </c>
      <c r="CJ21" s="403" t="s">
        <v>72</v>
      </c>
      <c r="CK21" s="30" t="s">
        <v>76</v>
      </c>
      <c r="CL21" s="403" t="s">
        <v>72</v>
      </c>
      <c r="CM21" s="30" t="s">
        <v>77</v>
      </c>
      <c r="CN21" s="111" t="s">
        <v>84</v>
      </c>
      <c r="CO21" s="112" t="s">
        <v>83</v>
      </c>
      <c r="CP21" s="375" t="s">
        <v>88</v>
      </c>
      <c r="CQ21" s="376"/>
      <c r="CR21" s="377" t="s">
        <v>89</v>
      </c>
      <c r="CS21" s="378"/>
      <c r="CT21" s="215" t="s">
        <v>61</v>
      </c>
      <c r="CU21" s="388" t="s">
        <v>74</v>
      </c>
      <c r="CV21" s="402"/>
      <c r="CX21" s="369" t="s">
        <v>103</v>
      </c>
      <c r="CY21" s="369"/>
      <c r="CZ21" s="369"/>
      <c r="DA21" s="369"/>
      <c r="DB21" s="369"/>
      <c r="DC21" s="369"/>
      <c r="DD21" s="369"/>
      <c r="DE21" s="369"/>
      <c r="DF21" s="369"/>
      <c r="DG21" s="369"/>
      <c r="DH21" s="369"/>
      <c r="DI21" s="369"/>
      <c r="DJ21" s="369"/>
      <c r="DK21" s="369"/>
    </row>
    <row r="22" spans="1:131" ht="16.2" x14ac:dyDescent="0.35">
      <c r="B22" s="99" t="s">
        <v>80</v>
      </c>
      <c r="C22" s="399"/>
      <c r="D22" s="30" t="s">
        <v>78</v>
      </c>
      <c r="E22" s="399"/>
      <c r="F22" s="307" t="s">
        <v>78</v>
      </c>
      <c r="G22" s="113"/>
      <c r="H22" s="30" t="s">
        <v>79</v>
      </c>
      <c r="I22" s="114" t="s">
        <v>99</v>
      </c>
      <c r="J22" s="105" t="s">
        <v>11</v>
      </c>
      <c r="K22" s="105" t="s">
        <v>57</v>
      </c>
      <c r="L22" s="307" t="s">
        <v>92</v>
      </c>
      <c r="M22" s="108" t="s">
        <v>93</v>
      </c>
      <c r="N22" s="108" t="s">
        <v>97</v>
      </c>
      <c r="O22" s="219" t="s">
        <v>94</v>
      </c>
      <c r="P22" s="219" t="s">
        <v>95</v>
      </c>
      <c r="Q22" s="123" t="s">
        <v>93</v>
      </c>
      <c r="R22" s="115" t="s">
        <v>62</v>
      </c>
      <c r="S22" s="306"/>
      <c r="T22" s="55" t="s">
        <v>50</v>
      </c>
      <c r="U22" s="307" t="s">
        <v>23</v>
      </c>
      <c r="V22" s="307"/>
      <c r="W22" s="55" t="s">
        <v>20</v>
      </c>
      <c r="X22" s="307" t="s">
        <v>23</v>
      </c>
      <c r="Y22" s="307"/>
      <c r="Z22" s="307" t="s">
        <v>51</v>
      </c>
      <c r="AA22" s="307" t="s">
        <v>23</v>
      </c>
      <c r="AB22" s="307"/>
      <c r="AC22" s="307" t="s">
        <v>110</v>
      </c>
      <c r="AD22" s="307" t="s">
        <v>23</v>
      </c>
      <c r="AE22" s="307"/>
      <c r="AF22" s="307" t="s">
        <v>111</v>
      </c>
      <c r="AG22" s="307" t="s">
        <v>23</v>
      </c>
      <c r="AH22" s="307"/>
      <c r="AI22" s="116" t="s">
        <v>112</v>
      </c>
      <c r="AJ22" s="307" t="s">
        <v>21</v>
      </c>
      <c r="AK22" s="307" t="s">
        <v>23</v>
      </c>
      <c r="AL22" s="307" t="s">
        <v>52</v>
      </c>
      <c r="AM22" s="307" t="s">
        <v>23</v>
      </c>
      <c r="AN22" s="307" t="s">
        <v>53</v>
      </c>
      <c r="AO22" s="307" t="s">
        <v>23</v>
      </c>
      <c r="AP22" s="307" t="s">
        <v>113</v>
      </c>
      <c r="AQ22" s="307" t="s">
        <v>23</v>
      </c>
      <c r="AR22" s="307" t="s">
        <v>114</v>
      </c>
      <c r="AS22" s="307" t="s">
        <v>23</v>
      </c>
      <c r="AT22" s="307" t="s">
        <v>115</v>
      </c>
      <c r="AU22" s="18" t="s">
        <v>24</v>
      </c>
      <c r="AV22" s="308" t="s">
        <v>25</v>
      </c>
      <c r="AW22" s="117" t="s">
        <v>65</v>
      </c>
      <c r="AX22" s="307" t="s">
        <v>21</v>
      </c>
      <c r="AY22" s="307" t="s">
        <v>23</v>
      </c>
      <c r="AZ22" s="307" t="s">
        <v>52</v>
      </c>
      <c r="BA22" s="307" t="s">
        <v>23</v>
      </c>
      <c r="BB22" s="307" t="s">
        <v>53</v>
      </c>
      <c r="BC22" s="18" t="s">
        <v>24</v>
      </c>
      <c r="BD22" s="118" t="s">
        <v>25</v>
      </c>
      <c r="BE22" s="119" t="s">
        <v>30</v>
      </c>
      <c r="BF22" s="105" t="s">
        <v>31</v>
      </c>
      <c r="BG22" s="100" t="s">
        <v>32</v>
      </c>
      <c r="BH22" s="100" t="s">
        <v>116</v>
      </c>
      <c r="BI22" s="100" t="s">
        <v>117</v>
      </c>
      <c r="BJ22" s="100" t="s">
        <v>118</v>
      </c>
      <c r="BK22" s="108" t="s">
        <v>0</v>
      </c>
      <c r="BL22" s="105" t="s">
        <v>34</v>
      </c>
      <c r="BM22" s="100" t="s">
        <v>2</v>
      </c>
      <c r="BN22" s="100" t="s">
        <v>3</v>
      </c>
      <c r="BO22" s="106" t="s">
        <v>56</v>
      </c>
      <c r="BP22" s="107" t="s">
        <v>35</v>
      </c>
      <c r="BQ22" s="100" t="s">
        <v>42</v>
      </c>
      <c r="BR22" s="100" t="s">
        <v>45</v>
      </c>
      <c r="BS22" s="100" t="s">
        <v>46</v>
      </c>
      <c r="BT22" s="100" t="s">
        <v>47</v>
      </c>
      <c r="BU22" s="100" t="s">
        <v>48</v>
      </c>
      <c r="BV22" s="100" t="s">
        <v>119</v>
      </c>
      <c r="BW22" s="100" t="s">
        <v>120</v>
      </c>
      <c r="BX22" s="100" t="s">
        <v>121</v>
      </c>
      <c r="BY22" s="100" t="s">
        <v>1</v>
      </c>
      <c r="BZ22" s="304"/>
      <c r="CA22" s="304" t="s">
        <v>139</v>
      </c>
      <c r="CB22" s="304" t="s">
        <v>137</v>
      </c>
      <c r="CC22" s="304" t="s">
        <v>135</v>
      </c>
      <c r="CD22" s="367" t="s">
        <v>133</v>
      </c>
      <c r="CE22" s="106" t="s">
        <v>5</v>
      </c>
      <c r="CF22" s="306"/>
      <c r="CG22" s="18"/>
      <c r="CH22" s="120"/>
      <c r="CI22" s="218" t="s">
        <v>80</v>
      </c>
      <c r="CJ22" s="404"/>
      <c r="CK22" s="30" t="s">
        <v>78</v>
      </c>
      <c r="CL22" s="404"/>
      <c r="CM22" s="30" t="s">
        <v>78</v>
      </c>
      <c r="CN22" s="121">
        <v>0</v>
      </c>
      <c r="CO22" s="112" t="s">
        <v>82</v>
      </c>
      <c r="CP22" s="30" t="s">
        <v>58</v>
      </c>
      <c r="CQ22" s="122" t="s">
        <v>59</v>
      </c>
      <c r="CR22" s="30" t="s">
        <v>58</v>
      </c>
      <c r="CS22" s="122" t="s">
        <v>59</v>
      </c>
      <c r="CT22" s="115" t="s">
        <v>62</v>
      </c>
      <c r="CU22" s="119" t="s">
        <v>76</v>
      </c>
      <c r="CV22" s="123" t="s">
        <v>77</v>
      </c>
      <c r="CW22" s="41"/>
      <c r="CX22" s="275"/>
      <c r="CY22" s="281"/>
      <c r="CZ22" s="193"/>
      <c r="DA22" s="193"/>
      <c r="DB22" s="193"/>
      <c r="DC22" s="193"/>
      <c r="DD22" s="193"/>
      <c r="DE22" s="193"/>
      <c r="DF22" s="193"/>
      <c r="DG22" s="193"/>
      <c r="DH22" s="193"/>
      <c r="DI22" s="193"/>
      <c r="DJ22" s="211"/>
      <c r="DK22" s="194"/>
      <c r="DL22" s="194"/>
      <c r="DM22" s="195"/>
      <c r="DN22" s="196"/>
    </row>
    <row r="23" spans="1:131" ht="16.5" customHeight="1" x14ac:dyDescent="0.25">
      <c r="B23" s="124"/>
      <c r="C23" s="302"/>
      <c r="D23" s="125"/>
      <c r="E23" s="302"/>
      <c r="F23" s="302"/>
      <c r="G23" s="126"/>
      <c r="H23" s="127"/>
      <c r="I23" s="128" t="s">
        <v>12</v>
      </c>
      <c r="J23" s="128" t="s">
        <v>12</v>
      </c>
      <c r="K23" s="128" t="s">
        <v>41</v>
      </c>
      <c r="L23" s="128" t="s">
        <v>12</v>
      </c>
      <c r="M23" s="128" t="s">
        <v>41</v>
      </c>
      <c r="N23" s="140" t="s">
        <v>12</v>
      </c>
      <c r="O23" s="128" t="s">
        <v>41</v>
      </c>
      <c r="P23" s="128" t="s">
        <v>12</v>
      </c>
      <c r="Q23" s="143" t="s">
        <v>41</v>
      </c>
      <c r="R23" s="130" t="s">
        <v>17</v>
      </c>
      <c r="S23" s="131"/>
      <c r="T23" s="132" t="s">
        <v>17</v>
      </c>
      <c r="U23" s="133"/>
      <c r="V23" s="133"/>
      <c r="W23" s="132" t="s">
        <v>17</v>
      </c>
      <c r="X23" s="133"/>
      <c r="Y23" s="133"/>
      <c r="Z23" s="132" t="s">
        <v>17</v>
      </c>
      <c r="AA23" s="133"/>
      <c r="AB23" s="133"/>
      <c r="AC23" s="132" t="s">
        <v>17</v>
      </c>
      <c r="AD23" s="133"/>
      <c r="AE23" s="133"/>
      <c r="AF23" s="132" t="s">
        <v>17</v>
      </c>
      <c r="AG23" s="133"/>
      <c r="AH23" s="133"/>
      <c r="AI23" s="134" t="s">
        <v>17</v>
      </c>
      <c r="AJ23" s="133" t="s">
        <v>22</v>
      </c>
      <c r="AK23" s="133"/>
      <c r="AL23" s="133" t="s">
        <v>22</v>
      </c>
      <c r="AM23" s="133"/>
      <c r="AN23" s="133" t="s">
        <v>22</v>
      </c>
      <c r="AO23" s="133"/>
      <c r="AP23" s="133" t="s">
        <v>22</v>
      </c>
      <c r="AQ23" s="133"/>
      <c r="AR23" s="133" t="s">
        <v>22</v>
      </c>
      <c r="AS23" s="133"/>
      <c r="AT23" s="133" t="s">
        <v>22</v>
      </c>
      <c r="AU23" s="133"/>
      <c r="AV23" s="135" t="s">
        <v>22</v>
      </c>
      <c r="AW23" s="136"/>
      <c r="AX23" s="137" t="s">
        <v>22</v>
      </c>
      <c r="AY23" s="137"/>
      <c r="AZ23" s="137" t="s">
        <v>22</v>
      </c>
      <c r="BA23" s="137"/>
      <c r="BB23" s="137" t="s">
        <v>22</v>
      </c>
      <c r="BC23" s="302"/>
      <c r="BD23" s="138" t="s">
        <v>22</v>
      </c>
      <c r="BE23" s="139" t="s">
        <v>17</v>
      </c>
      <c r="BF23" s="128" t="s">
        <v>17</v>
      </c>
      <c r="BG23" s="140" t="s">
        <v>17</v>
      </c>
      <c r="BH23" s="140" t="s">
        <v>17</v>
      </c>
      <c r="BI23" s="140" t="s">
        <v>17</v>
      </c>
      <c r="BJ23" s="140" t="s">
        <v>17</v>
      </c>
      <c r="BK23" s="140" t="s">
        <v>17</v>
      </c>
      <c r="BL23" s="141"/>
      <c r="BM23" s="142"/>
      <c r="BN23" s="142"/>
      <c r="BO23" s="143" t="s">
        <v>22</v>
      </c>
      <c r="BP23" s="139" t="s">
        <v>17</v>
      </c>
      <c r="BQ23" s="144" t="s">
        <v>43</v>
      </c>
      <c r="BR23" s="140" t="s">
        <v>41</v>
      </c>
      <c r="BS23" s="128" t="s">
        <v>41</v>
      </c>
      <c r="BT23" s="140" t="s">
        <v>41</v>
      </c>
      <c r="BU23" s="140" t="s">
        <v>41</v>
      </c>
      <c r="BV23" s="140" t="s">
        <v>41</v>
      </c>
      <c r="BW23" s="140" t="s">
        <v>41</v>
      </c>
      <c r="BX23" s="140" t="s">
        <v>41</v>
      </c>
      <c r="BY23" s="144" t="s">
        <v>49</v>
      </c>
      <c r="BZ23" s="140"/>
      <c r="CA23" s="222" t="s">
        <v>43</v>
      </c>
      <c r="CB23" s="140"/>
      <c r="CC23" s="227" t="s">
        <v>17</v>
      </c>
      <c r="CD23" s="368"/>
      <c r="CE23" s="143" t="s">
        <v>17</v>
      </c>
      <c r="CF23" s="145"/>
      <c r="CG23" s="137"/>
      <c r="CH23" s="138"/>
      <c r="CI23" s="125"/>
      <c r="CJ23" s="302"/>
      <c r="CK23" s="146"/>
      <c r="CL23" s="146"/>
      <c r="CM23" s="146"/>
      <c r="CN23" s="147"/>
      <c r="CO23" s="148"/>
      <c r="CP23" s="149" t="s">
        <v>12</v>
      </c>
      <c r="CQ23" s="150" t="s">
        <v>41</v>
      </c>
      <c r="CR23" s="151" t="s">
        <v>12</v>
      </c>
      <c r="CS23" s="152" t="s">
        <v>41</v>
      </c>
      <c r="CT23" s="216" t="s">
        <v>17</v>
      </c>
      <c r="CU23" s="153"/>
      <c r="CV23" s="154"/>
      <c r="CW23" s="41"/>
      <c r="CX23" s="276" t="s">
        <v>104</v>
      </c>
      <c r="CY23" s="370" t="s">
        <v>105</v>
      </c>
      <c r="CZ23" s="370"/>
      <c r="DA23" s="370"/>
      <c r="DB23" s="370"/>
      <c r="DC23" s="370"/>
      <c r="DD23" s="370"/>
      <c r="DE23" s="198"/>
      <c r="DF23" s="371" t="s">
        <v>106</v>
      </c>
      <c r="DG23" s="371"/>
      <c r="DH23" s="371"/>
      <c r="DI23" s="371"/>
      <c r="DJ23" s="371"/>
      <c r="DK23" s="371"/>
      <c r="DL23" s="200"/>
      <c r="DM23" s="197" t="s">
        <v>104</v>
      </c>
      <c r="DN23" s="201" t="s">
        <v>105</v>
      </c>
      <c r="DO23" s="200"/>
      <c r="DP23" s="200"/>
      <c r="DQ23" s="200"/>
      <c r="DR23" s="200"/>
      <c r="DS23" s="200"/>
      <c r="DT23" s="198"/>
      <c r="DU23" s="305" t="s">
        <v>106</v>
      </c>
      <c r="DV23" s="200"/>
      <c r="DW23" s="200"/>
      <c r="DX23" s="200"/>
      <c r="DY23" s="200"/>
      <c r="DZ23" s="200"/>
    </row>
    <row r="24" spans="1:131" s="7" customFormat="1" ht="13.8" x14ac:dyDescent="0.25">
      <c r="B24" s="297" t="s">
        <v>161</v>
      </c>
      <c r="C24" s="5"/>
      <c r="D24" s="5"/>
      <c r="E24" s="5"/>
      <c r="F24" s="5"/>
      <c r="G24" s="155"/>
      <c r="H24" s="5"/>
      <c r="I24" s="156"/>
      <c r="J24" s="9"/>
      <c r="K24" s="10"/>
      <c r="L24" s="9"/>
      <c r="M24" s="10"/>
      <c r="N24" s="11"/>
      <c r="O24" s="11"/>
      <c r="P24" s="14"/>
      <c r="Q24" s="1"/>
      <c r="R24" s="16"/>
      <c r="S24" s="157"/>
      <c r="T24" s="12"/>
      <c r="U24" s="34"/>
      <c r="V24" s="158"/>
      <c r="W24" s="12"/>
      <c r="X24" s="34"/>
      <c r="Y24" s="158"/>
      <c r="Z24" s="158"/>
      <c r="AA24" s="158"/>
      <c r="AB24" s="158"/>
      <c r="AC24" s="158"/>
      <c r="AD24" s="158"/>
      <c r="AE24" s="158"/>
      <c r="AF24" s="158"/>
      <c r="AG24" s="158"/>
      <c r="AH24" s="158"/>
      <c r="AI24" s="29"/>
      <c r="AJ24" s="5"/>
      <c r="AK24" s="34"/>
      <c r="AL24" s="5"/>
      <c r="AM24" s="34"/>
      <c r="AN24" s="5"/>
      <c r="AO24" s="5"/>
      <c r="AP24" s="5"/>
      <c r="AQ24" s="5"/>
      <c r="AR24" s="5"/>
      <c r="AS24" s="5"/>
      <c r="AT24" s="5"/>
      <c r="AU24" s="34"/>
      <c r="AV24" s="159"/>
      <c r="AW24" s="160"/>
      <c r="AX24" s="5"/>
      <c r="AY24" s="5"/>
      <c r="AZ24" s="5"/>
      <c r="BA24" s="24"/>
      <c r="BB24" s="24"/>
      <c r="BC24" s="34"/>
      <c r="BD24" s="159"/>
      <c r="BE24" s="161"/>
      <c r="BF24" s="1"/>
      <c r="BG24" s="1"/>
      <c r="BH24" s="3"/>
      <c r="BI24" s="3"/>
      <c r="BJ24" s="3"/>
      <c r="BK24" s="5"/>
      <c r="BL24" s="162"/>
      <c r="BM24" s="162"/>
      <c r="BN24" s="17"/>
      <c r="BO24" s="159"/>
      <c r="BP24" s="4"/>
      <c r="BQ24" s="162"/>
      <c r="BR24" s="1"/>
      <c r="BS24" s="1"/>
      <c r="BT24" s="1"/>
      <c r="BU24" s="1"/>
      <c r="BV24" s="1"/>
      <c r="BW24" s="1"/>
      <c r="BX24" s="1"/>
      <c r="BY24" s="162"/>
      <c r="BZ24" s="11"/>
      <c r="CA24" s="163"/>
      <c r="CB24" s="164"/>
      <c r="CC24" s="164"/>
      <c r="CD24" s="164"/>
      <c r="CE24" s="165"/>
      <c r="CF24" s="157"/>
      <c r="CG24" s="34"/>
      <c r="CH24" s="129"/>
      <c r="CI24" s="166" t="s">
        <v>102</v>
      </c>
      <c r="CJ24" s="167"/>
      <c r="CK24" s="168"/>
      <c r="CL24" s="168"/>
      <c r="CM24" s="168"/>
      <c r="CN24" s="169"/>
      <c r="CO24" s="170"/>
      <c r="CP24" s="2"/>
      <c r="CQ24" s="6"/>
      <c r="CR24" s="171"/>
      <c r="CS24" s="15"/>
      <c r="CT24" s="217"/>
      <c r="CU24" s="172"/>
      <c r="CV24" s="173"/>
      <c r="CW24" s="6"/>
      <c r="CX24" s="277"/>
      <c r="CY24" s="206" t="s">
        <v>107</v>
      </c>
      <c r="CZ24" s="203" t="s">
        <v>108</v>
      </c>
      <c r="DA24" s="203" t="s">
        <v>109</v>
      </c>
      <c r="DB24" s="203" t="s">
        <v>128</v>
      </c>
      <c r="DC24" s="203" t="s">
        <v>129</v>
      </c>
      <c r="DD24" s="203" t="s">
        <v>130</v>
      </c>
      <c r="DE24" s="204"/>
      <c r="DF24" s="205" t="s">
        <v>107</v>
      </c>
      <c r="DG24" s="203" t="s">
        <v>108</v>
      </c>
      <c r="DH24" s="203" t="s">
        <v>109</v>
      </c>
      <c r="DI24" s="203" t="s">
        <v>128</v>
      </c>
      <c r="DJ24" s="203" t="s">
        <v>129</v>
      </c>
      <c r="DK24" s="203" t="s">
        <v>130</v>
      </c>
      <c r="DL24" s="203"/>
      <c r="DM24" s="202"/>
      <c r="DN24" s="205" t="s">
        <v>107</v>
      </c>
      <c r="DO24" s="203" t="s">
        <v>108</v>
      </c>
      <c r="DP24" s="203" t="s">
        <v>109</v>
      </c>
      <c r="DQ24" s="203" t="s">
        <v>128</v>
      </c>
      <c r="DR24" s="203" t="s">
        <v>129</v>
      </c>
      <c r="DS24" s="203" t="s">
        <v>130</v>
      </c>
      <c r="DT24" s="204"/>
      <c r="DU24" s="205" t="s">
        <v>107</v>
      </c>
      <c r="DV24" s="203" t="s">
        <v>108</v>
      </c>
      <c r="DW24" s="203" t="s">
        <v>109</v>
      </c>
      <c r="DX24" s="203" t="s">
        <v>128</v>
      </c>
      <c r="DY24" s="203" t="s">
        <v>129</v>
      </c>
      <c r="DZ24" s="203" t="s">
        <v>130</v>
      </c>
      <c r="EA24" s="185"/>
    </row>
    <row r="25" spans="1:131" s="7" customFormat="1" ht="13.8" x14ac:dyDescent="0.25">
      <c r="A25" s="7" t="s">
        <v>141</v>
      </c>
      <c r="B25" s="19">
        <f>+CI25</f>
        <v>14</v>
      </c>
      <c r="C25" s="6">
        <f t="shared" ref="C25:E28" si="0">CJ25</f>
        <v>0</v>
      </c>
      <c r="D25" s="6">
        <f t="shared" si="0"/>
        <v>103</v>
      </c>
      <c r="E25" s="6" t="str">
        <f t="shared" si="0"/>
        <v>--</v>
      </c>
      <c r="F25" s="6">
        <f>+CM25</f>
        <v>203</v>
      </c>
      <c r="G25" s="174" t="str">
        <f t="shared" ref="G25:H28" si="1">CN25</f>
        <v>Max Mz</v>
      </c>
      <c r="H25" s="6" t="str">
        <f t="shared" si="1"/>
        <v>External</v>
      </c>
      <c r="I25" s="156"/>
      <c r="J25" s="10">
        <f t="shared" ref="J25:M28" si="2">(CP25)</f>
        <v>2390</v>
      </c>
      <c r="K25" s="10">
        <f t="shared" si="2"/>
        <v>1480</v>
      </c>
      <c r="L25" s="10">
        <f t="shared" si="2"/>
        <v>1738</v>
      </c>
      <c r="M25" s="10">
        <f t="shared" si="2"/>
        <v>1076</v>
      </c>
      <c r="N25" s="10">
        <f>IF(I25*J25&gt;=0,J25*$J$19+I25*$J$18,J25)</f>
        <v>2390</v>
      </c>
      <c r="O25" s="10">
        <f>(K25)*$J$19</f>
        <v>1480</v>
      </c>
      <c r="P25" s="14">
        <f>IF(I25*L25&gt;=0,(L25)+I25,L25)</f>
        <v>1738</v>
      </c>
      <c r="Q25" s="3">
        <f>(M25)</f>
        <v>1076</v>
      </c>
      <c r="R25" s="20">
        <f>CT25</f>
        <v>1000</v>
      </c>
      <c r="S25" s="23"/>
      <c r="T25" s="12">
        <v>40</v>
      </c>
      <c r="U25" s="28"/>
      <c r="V25" s="28"/>
      <c r="W25" s="12">
        <v>25</v>
      </c>
      <c r="X25" s="28"/>
      <c r="Y25" s="28"/>
      <c r="Z25" s="12"/>
      <c r="AA25" s="28"/>
      <c r="AB25" s="28"/>
      <c r="AC25" s="158"/>
      <c r="AD25" s="28"/>
      <c r="AE25" s="28"/>
      <c r="AF25" s="158"/>
      <c r="AG25" s="28"/>
      <c r="AH25" s="28"/>
      <c r="AI25" s="29"/>
      <c r="AJ25" s="6">
        <f>PI()/4*T25^2*$O$12/$AX$16</f>
        <v>8377.5804095727817</v>
      </c>
      <c r="AK25" s="28" t="str">
        <f>IF(W25=0,"","+")</f>
        <v>+</v>
      </c>
      <c r="AL25" s="6">
        <f>PI()/4*W25^2*$O$12/$AX$16</f>
        <v>3272.4923474893681</v>
      </c>
      <c r="AM25" s="28" t="str">
        <f>IF(Z25=0,"","+")</f>
        <v/>
      </c>
      <c r="AN25" s="6">
        <f>PI()/4*Z25^2*$O$12/$AX$16</f>
        <v>0</v>
      </c>
      <c r="AO25" s="28" t="str">
        <f>IF(AC25=0,"","+")</f>
        <v/>
      </c>
      <c r="AP25" s="6">
        <f>PI()/4*AC25^2*$O$12/$AX$16</f>
        <v>0</v>
      </c>
      <c r="AQ25" s="28" t="str">
        <f>IF(AF25=0,"","+")</f>
        <v/>
      </c>
      <c r="AR25" s="6">
        <f>PI()/4*AF25^2*$O$12/$AX$16</f>
        <v>0</v>
      </c>
      <c r="AS25" s="28" t="str">
        <f>IF(AI25=0,"","+")</f>
        <v/>
      </c>
      <c r="AT25" s="6">
        <f>PI()/4*AI25^2*$O$12/$AX$16</f>
        <v>0</v>
      </c>
      <c r="AU25" s="28" t="s">
        <v>24</v>
      </c>
      <c r="AV25" s="15">
        <f>VALUE(AJ25)+VALUE(AL25)+VALUE(AN25)+VALUE(AP25)+VALUE(AR25)+VALUE(AT25)</f>
        <v>11650.072757062149</v>
      </c>
      <c r="AW25" s="228">
        <f>MAX(0.3*$AJ$14^(2/3)/$AJ$16*0.26*100,0.13)</f>
        <v>0.15723814702688016</v>
      </c>
      <c r="AX25" s="6">
        <f>AW25/100*$O$12*BK25</f>
        <v>1375.0917637688949</v>
      </c>
      <c r="AY25" s="6"/>
      <c r="AZ25" s="6"/>
      <c r="BA25" s="24" t="str">
        <f>IF(BB25=0,"","+")</f>
        <v/>
      </c>
      <c r="BB25" s="24"/>
      <c r="BC25" s="28" t="s">
        <v>24</v>
      </c>
      <c r="BD25" s="15">
        <f>AX25+AZ25+BB25</f>
        <v>1375.0917637688949</v>
      </c>
      <c r="BE25" s="2">
        <f>(R25-($AX$14+$O$16+T25/2))</f>
        <v>897</v>
      </c>
      <c r="BF25" s="3">
        <f>IF(W25=0,0,(R25-($AX$14+T25/2+$O$16+$BI$16)))</f>
        <v>817</v>
      </c>
      <c r="BG25" s="3">
        <f>IF(Z25=0,0,(R25-($AX$14+T25/2+$BI$16+$O$16+$BI$17)))</f>
        <v>0</v>
      </c>
      <c r="BH25" s="3">
        <f>IF(AC25=0,0,(R25-($AX$14+T25/2+$O$16+$BI$16+$BI$17+$BI$18)))</f>
        <v>0</v>
      </c>
      <c r="BI25" s="3">
        <f>IF(AF25=0,0,(R25-($AX$14+T25/2+$O$16+$BI$16+$BI$17+$BI$18+$BL$16)))</f>
        <v>0</v>
      </c>
      <c r="BJ25" s="3">
        <f>IF(AI25=0,0,(R25-($AX$14+T25/2+$O$16+$BI$16+$BI$17+$BI$18+$BL$16+$BL$17)))</f>
        <v>0</v>
      </c>
      <c r="BK25" s="6">
        <f>(BE25*AJ25+BF25*AL25+BG25*AN25+BH25*AP25+BI25*AR25+BJ25*AT25)/AV25</f>
        <v>874.52808988764048</v>
      </c>
      <c r="BL25" s="175">
        <f>ABS(N25)*1000000/$O$12/BK25^2</f>
        <v>3.1250025333337867</v>
      </c>
      <c r="BM25" s="175">
        <f>BL25/$AJ$14</f>
        <v>9.7656329166680836E-2</v>
      </c>
      <c r="BN25" s="21">
        <f>IF(BM25&lt;0.167,0.5+SQRT(0.25-(BM25/1.134)),0.82)</f>
        <v>0.90482503333311315</v>
      </c>
      <c r="BO25" s="15">
        <f>ABS(N25)/(0.87*$AJ$16*BN25*BK25)*10^6</f>
        <v>6943.369428310084</v>
      </c>
      <c r="BP25" s="22">
        <v>481.40073006607861</v>
      </c>
      <c r="BQ25" s="175">
        <f>IF(Q25=0,2*ABS(P25*10^6)/$O$12/BP25/(BK25-BP25/3),Q25*BP25*1000/($O$12/2*BP25^2-(BE25-BP25)*AJ25*$AJ$18-(BF25-BP25)*AL25*$AJ$18-(BG25-BP25)*AN25*$AJ$18-(BH25-BP25)*AP25*$AJ$18-(BI25-BP25)*AR25*$AJ$18-(BJ25-BP25)*AT25*$AJ$18))</f>
        <v>12.420086787175103</v>
      </c>
      <c r="BR25" s="3">
        <f>0.5*$O$12*BP25*BQ25 /1000</f>
        <v>2989.5194234150754</v>
      </c>
      <c r="BS25" s="3">
        <f>($BQ25/$BP25)*(BE25-$BP25)*$AJ$18*AJ25/1000</f>
        <v>1454.6695516936884</v>
      </c>
      <c r="BT25" s="3">
        <f>($BQ25/$BP25)*(BF25-$BP25)*$AJ$18*AL25/1000</f>
        <v>458.84987172138779</v>
      </c>
      <c r="BU25" s="3">
        <f>($BQ25/$BP25)*(BG25-$BP25)*$AJ$18*AN25/1000</f>
        <v>0</v>
      </c>
      <c r="BV25" s="3">
        <f>($BQ25/$BP25)*(BH25-$BP25)*$AJ$18*AP25/1000</f>
        <v>0</v>
      </c>
      <c r="BW25" s="3">
        <f>($BQ25/$BP25)*(BI25-$BP25)*$AJ$18*AR25/1000</f>
        <v>0</v>
      </c>
      <c r="BX25" s="3">
        <f>($BQ25/$BP25)*(BJ25-$BP25)*$AJ$18*AT25/1000</f>
        <v>0</v>
      </c>
      <c r="BY25" s="175">
        <f>IF(Q25=0,0,(0.5*$O$12*BP25*BQ25/1000*(R25/2-$BP25/3)+BS25*(BE25-R25/2)+BT25*(BF25-R25/2)+BU25*(BG25-R25/2)+BV25*(BH25-R25/2)+BW25*(BI25-R25/2)+BX25*(BJ25-R25/2))/1000-ABS(P25))</f>
        <v>-1.1260634664722602E-5</v>
      </c>
      <c r="BZ25" s="10"/>
      <c r="CA25" s="176">
        <f>ABS(P25)/(BK25-BP25/3)/AV25*10^6-Q25*(R25/2-BP25/3)/(BK25-BP25/3)/AV25*1000</f>
        <v>165.00597677025348</v>
      </c>
      <c r="CB25" s="177">
        <f>(AV25/($O$12*MIN(2.5*(R25-BK25),(R25-BP25)/3,R25/2)-AV25))</f>
        <v>7.2263593097166734E-2</v>
      </c>
      <c r="CC25" s="177">
        <f>3.4*($O$16+$AX$14)+0.425*0.8*0.5*(T25^2+W25^2+Z25^2+AC25^2+AF25^2+AI25^2)/(T25+W25+Z25+AC25+AF25+AI25)/CB25</f>
        <v>362.7278359381624</v>
      </c>
      <c r="CD25" s="177">
        <f>MAX(0.6*CA25/$AJ$17,(CA25-0.4*0.3*$AJ$14^(2/3)/CB25*(1+$AJ$17/$AJ$15*CB25))/$AJ$17)</f>
        <v>0.6434065939428415</v>
      </c>
      <c r="CE25" s="178">
        <f>CC25*CD25/1000</f>
        <v>0.23338148144923088</v>
      </c>
      <c r="CF25" s="23" t="str">
        <f>IF(AND(AV25&gt;=BD25,AV25&gt;=BO25,CE25&lt;=(+IF(CO25="External",0.25,0.3))),"O.K", "Not O.K")</f>
        <v>O.K</v>
      </c>
      <c r="CG25" s="28"/>
      <c r="CH25" s="179" t="str">
        <f>IF(O25&lt;0.2*$AJ$14*R25*$O$12/1000,"N &lt; 0.2fckAc - OK!","TBA")</f>
        <v>N &lt; 0.2fckAc - OK!</v>
      </c>
      <c r="CI25" s="24">
        <v>14</v>
      </c>
      <c r="CJ25" s="25"/>
      <c r="CK25" s="6">
        <f>CU25</f>
        <v>103</v>
      </c>
      <c r="CL25" s="8" t="s">
        <v>72</v>
      </c>
      <c r="CM25" s="6">
        <f>CV25</f>
        <v>203</v>
      </c>
      <c r="CN25" s="26" t="s">
        <v>147</v>
      </c>
      <c r="CO25" s="27" t="s">
        <v>105</v>
      </c>
      <c r="CP25" s="2">
        <v>2390</v>
      </c>
      <c r="CQ25" s="15">
        <v>1480</v>
      </c>
      <c r="CR25" s="3">
        <v>1738</v>
      </c>
      <c r="CS25" s="3">
        <v>1076</v>
      </c>
      <c r="CT25" s="20">
        <v>1000</v>
      </c>
      <c r="CU25" s="2">
        <v>103</v>
      </c>
      <c r="CV25" s="15">
        <v>203</v>
      </c>
      <c r="CW25" s="6"/>
      <c r="CX25" s="278">
        <f>CI25</f>
        <v>14</v>
      </c>
      <c r="CY25" s="6">
        <f t="shared" ref="CY25:DD25" si="3">MAX(DN25:DN28)</f>
        <v>40</v>
      </c>
      <c r="CZ25" s="6">
        <f t="shared" si="3"/>
        <v>25</v>
      </c>
      <c r="DA25" s="6">
        <f t="shared" si="3"/>
        <v>0</v>
      </c>
      <c r="DB25" s="6">
        <f t="shared" si="3"/>
        <v>0</v>
      </c>
      <c r="DC25" s="6">
        <f t="shared" si="3"/>
        <v>0</v>
      </c>
      <c r="DD25" s="6">
        <f t="shared" si="3"/>
        <v>0</v>
      </c>
      <c r="DE25" s="6"/>
      <c r="DF25" s="6">
        <f t="shared" ref="DF25:DK25" si="4">MAX(DU25:DU28)</f>
        <v>0</v>
      </c>
      <c r="DG25" s="6">
        <f t="shared" si="4"/>
        <v>0</v>
      </c>
      <c r="DH25" s="6">
        <f t="shared" si="4"/>
        <v>0</v>
      </c>
      <c r="DI25" s="6">
        <f t="shared" si="4"/>
        <v>0</v>
      </c>
      <c r="DJ25" s="6">
        <f t="shared" si="4"/>
        <v>0</v>
      </c>
      <c r="DK25" s="6">
        <f t="shared" si="4"/>
        <v>0</v>
      </c>
      <c r="DL25" s="13"/>
      <c r="DM25" s="202">
        <f>CI25</f>
        <v>14</v>
      </c>
      <c r="DN25" s="206">
        <f>IF(CO25="external",T25,0)</f>
        <v>40</v>
      </c>
      <c r="DO25" s="206">
        <f>IF(CO25="external",W25,0)</f>
        <v>25</v>
      </c>
      <c r="DP25" s="206">
        <f>IF(CO25="external",Z25,0)</f>
        <v>0</v>
      </c>
      <c r="DQ25" s="206">
        <f>IF(CO25="external",AC25,0)</f>
        <v>0</v>
      </c>
      <c r="DR25" s="206">
        <f>IF(CO25="external",AF25,0)</f>
        <v>0</v>
      </c>
      <c r="DS25" s="207">
        <f>IF(CO25="external",AI25,0)</f>
        <v>0</v>
      </c>
      <c r="DT25" s="208"/>
      <c r="DU25" s="207">
        <f>IF(CO25="internal",T25,0)</f>
        <v>0</v>
      </c>
      <c r="DV25" s="207">
        <f>IF(CO25="internal",W25,0)</f>
        <v>0</v>
      </c>
      <c r="DW25" s="207">
        <f>IF(CO25="internal",Z25,0)</f>
        <v>0</v>
      </c>
      <c r="DX25" s="207">
        <f>IF(CO25="internal",AC25,0)</f>
        <v>0</v>
      </c>
      <c r="DY25" s="207">
        <f>IF(CO25="internal",AF25,0)</f>
        <v>0</v>
      </c>
      <c r="DZ25" s="207">
        <f>IF(CO25="internal",AI25,0)</f>
        <v>0</v>
      </c>
    </row>
    <row r="26" spans="1:131" s="7" customFormat="1" x14ac:dyDescent="0.3">
      <c r="B26" s="19">
        <f>+CI26</f>
        <v>0</v>
      </c>
      <c r="C26" s="6">
        <f t="shared" si="0"/>
        <v>0</v>
      </c>
      <c r="D26" s="6">
        <f t="shared" si="0"/>
        <v>104</v>
      </c>
      <c r="E26" s="6" t="str">
        <f t="shared" si="0"/>
        <v>--</v>
      </c>
      <c r="F26" s="6">
        <f>+CM26</f>
        <v>204</v>
      </c>
      <c r="G26" s="174" t="str">
        <f t="shared" si="1"/>
        <v>Min Mz</v>
      </c>
      <c r="H26" s="6" t="str">
        <f t="shared" si="1"/>
        <v>External</v>
      </c>
      <c r="I26" s="156"/>
      <c r="J26" s="10">
        <f t="shared" si="2"/>
        <v>383</v>
      </c>
      <c r="K26" s="10">
        <f t="shared" si="2"/>
        <v>729</v>
      </c>
      <c r="L26" s="10">
        <f t="shared" si="2"/>
        <v>370</v>
      </c>
      <c r="M26" s="10">
        <f t="shared" si="2"/>
        <v>654</v>
      </c>
      <c r="N26" s="10">
        <f>IF(I26*J26&gt;=0,J26*$J$19+I26*$J$18,J26)</f>
        <v>383</v>
      </c>
      <c r="O26" s="10">
        <f>(K26)*$J$19</f>
        <v>729</v>
      </c>
      <c r="P26" s="14">
        <f>IF(I26*L26&gt;=0,(L26)+I26,L26)</f>
        <v>370</v>
      </c>
      <c r="Q26" s="3">
        <f>(M26)</f>
        <v>654</v>
      </c>
      <c r="R26" s="20">
        <f t="shared" ref="R26:R33" si="5">CT26</f>
        <v>1000</v>
      </c>
      <c r="S26" s="23"/>
      <c r="T26" s="12">
        <v>20</v>
      </c>
      <c r="U26" s="28"/>
      <c r="V26" s="28"/>
      <c r="W26" s="12"/>
      <c r="X26" s="28"/>
      <c r="Y26" s="28"/>
      <c r="Z26" s="12"/>
      <c r="AA26" s="28"/>
      <c r="AB26" s="28"/>
      <c r="AC26" s="158"/>
      <c r="AD26" s="28"/>
      <c r="AE26" s="28"/>
      <c r="AF26" s="158"/>
      <c r="AG26" s="28"/>
      <c r="AH26" s="28"/>
      <c r="AI26" s="29"/>
      <c r="AJ26" s="6">
        <f>PI()/4*T26^2*$O$12/$AX$16</f>
        <v>2094.3951023931954</v>
      </c>
      <c r="AK26" s="28" t="str">
        <f>IF(W26=0,"","+")</f>
        <v/>
      </c>
      <c r="AL26" s="6">
        <f>PI()/4*W26^2*$O$12/$AX$16</f>
        <v>0</v>
      </c>
      <c r="AM26" s="28" t="str">
        <f>IF(Z26=0,"","+")</f>
        <v/>
      </c>
      <c r="AN26" s="6">
        <f>PI()/4*Z26^2*$O$12/$AX$16</f>
        <v>0</v>
      </c>
      <c r="AO26" s="28" t="str">
        <f>IF(AC26=0,"","+")</f>
        <v/>
      </c>
      <c r="AP26" s="6">
        <f>PI()/4*AC26^2*$O$12/$AX$16</f>
        <v>0</v>
      </c>
      <c r="AQ26" s="28" t="str">
        <f>IF(AF26=0,"","+")</f>
        <v/>
      </c>
      <c r="AR26" s="6">
        <f>PI()/4*AF26^2*$O$12/$AX$16</f>
        <v>0</v>
      </c>
      <c r="AS26" s="28" t="str">
        <f>IF(AI26=0,"","+")</f>
        <v/>
      </c>
      <c r="AT26" s="6">
        <f>PI()/4*AI26^2*$O$12/$AX$16</f>
        <v>0</v>
      </c>
      <c r="AU26" s="28" t="s">
        <v>24</v>
      </c>
      <c r="AV26" s="15">
        <f>VALUE(AJ26)+VALUE(AL26)+VALUE(AN26)+VALUE(AP26)+VALUE(AR26)+VALUE(AT26)</f>
        <v>2094.3951023931954</v>
      </c>
      <c r="AW26" s="228">
        <f>MAX(0.3*$AJ$14^(2/3)/$AJ$16*0.26*100,0.13)</f>
        <v>0.15723814702688016</v>
      </c>
      <c r="AX26" s="6">
        <f>AW26/100*$O$12*BK26</f>
        <v>1426.1499935338031</v>
      </c>
      <c r="AY26" s="6"/>
      <c r="AZ26" s="6"/>
      <c r="BA26" s="24" t="str">
        <f>IF(BB26=0,"","+")</f>
        <v/>
      </c>
      <c r="BB26" s="24"/>
      <c r="BC26" s="28" t="s">
        <v>24</v>
      </c>
      <c r="BD26" s="15">
        <f>AX26+AZ26+BB26</f>
        <v>1426.1499935338031</v>
      </c>
      <c r="BE26" s="2">
        <f>(R26-($AX$14+$O$16+T26/2))</f>
        <v>907</v>
      </c>
      <c r="BF26" s="3">
        <f>IF(W26=0,0,(R26-($AX$14+T26/2+$O$16+$BI$16)))</f>
        <v>0</v>
      </c>
      <c r="BG26" s="3">
        <f>IF(Z26=0,0,(R26-($AX$14+T26/2+$BI$16+$O$16+$BI$17)))</f>
        <v>0</v>
      </c>
      <c r="BH26" s="3">
        <f>IF(AC26=0,0,(R26-($AX$14+T26/2+$O$16+$BI$16+$BI$17+$BI$18)))</f>
        <v>0</v>
      </c>
      <c r="BI26" s="3">
        <f>IF(AF26=0,0,(R26-($AX$14+T26/2+$O$16+$BI$16+$BI$17+$BI$18+$BL$16)))</f>
        <v>0</v>
      </c>
      <c r="BJ26" s="3">
        <f>IF(AI26=0,0,(R26-($AX$14+T26/2+$O$16+$BI$16+$BI$17+$BI$18+$BL$16+$BL$17)))</f>
        <v>0</v>
      </c>
      <c r="BK26" s="6">
        <f>(BE26*AJ26+BF26*AL26+BG26*AN26+BH26*AP26+BI26*AR26+BJ26*AT26)/AV26</f>
        <v>907</v>
      </c>
      <c r="BL26" s="175">
        <f>ABS(N26)*1000000/$O$12/BK26^2</f>
        <v>0.46556915525333403</v>
      </c>
      <c r="BM26" s="175">
        <f>BL26/$AJ$14</f>
        <v>1.4549036101666689E-2</v>
      </c>
      <c r="BN26" s="21">
        <f>IF(BM26&lt;0.167,0.5+SQRT(0.25-(BM26/1.134)),0.82)</f>
        <v>0.98700119318934165</v>
      </c>
      <c r="BO26" s="15">
        <f>ABS(N26)/(0.87*$AJ$16*BN26*BK26)*10^6</f>
        <v>983.523071957404</v>
      </c>
      <c r="BP26" s="22">
        <v>405.69246447820109</v>
      </c>
      <c r="BQ26" s="175">
        <f>IF(Q26=0,2*ABS(P26*10^6)/$O$12/BP26/(BK26-BP26/3),Q26*BP26*1000/($O$12/2*BP26^2-(BE26-BP26)*AJ26*$AJ$18-(BF26-BP26)*AL26*$AJ$18-(BG26-BP26)*AN26*$AJ$18-(BH26-BP26)*AP26*$AJ$18-(BI26-BP26)*AR26*$AJ$18-(BJ26-BP26)*AT26*$AJ$18))</f>
        <v>4.0637245635006893</v>
      </c>
      <c r="BR26" s="3">
        <f>0.5*$O$12*BP26*BQ26 /1000</f>
        <v>824.31121656359835</v>
      </c>
      <c r="BS26" s="3">
        <f>($BQ26/$BP26)*(BE26-$BP26)*$AJ$18*AJ26/1000</f>
        <v>170.31121656359844</v>
      </c>
      <c r="BT26" s="3">
        <f>($BQ26/$BP26)*(BF26-$BP26)*$AJ$18*AL26/1000</f>
        <v>0</v>
      </c>
      <c r="BU26" s="3">
        <f>($BQ26/$BP26)*(BG26-$BP26)*$AJ$18*AN26/1000</f>
        <v>0</v>
      </c>
      <c r="BV26" s="3">
        <f>($BQ26/$BP26)*(BH26-$BP26)*$AJ$18*AP26/1000</f>
        <v>0</v>
      </c>
      <c r="BW26" s="3">
        <f>($BQ26/$BP26)*(BI26-$BP26)*$AJ$18*AR26/1000</f>
        <v>0</v>
      </c>
      <c r="BX26" s="3">
        <f>($BQ26/$BP26)*(BJ26-$BP26)*$AJ$18*AT26/1000</f>
        <v>0</v>
      </c>
      <c r="BY26" s="175">
        <f>IF(Q26=0,0,(0.5*$O$12*BP26*BQ26/1000*(R26/2-$BP26/3)+BS26*(BE26-R26/2)+BT26*(BF26-R26/2)+BU26*(BG26-R26/2)+BV26*(BH26-R26/2)+BW26*(BI26-R26/2)+BX26*(BJ26-R26/2))/1000-ABS(P26))</f>
        <v>-9.5583863526371715E-6</v>
      </c>
      <c r="BZ26" s="10"/>
      <c r="CA26" s="176">
        <f>ABS(P26)/(BK26-BP26/3)/AV26*10^6-Q26*(R26/2-BP26/3)/(BK26-BP26/3)/AV26*1000</f>
        <v>81.317621853690355</v>
      </c>
      <c r="CB26" s="177">
        <f>(AV26/($O$12*MIN(2.5*(R26-BK26),(R26-BP26)/3,R26/2)-AV26))</f>
        <v>1.0685246801235913E-2</v>
      </c>
      <c r="CC26" s="177">
        <f>3.4*($O$16+$AX$14)+0.425*0.8*0.5*(T26^2+W26^2+Z26^2+AC26^2+AF26^2+AI26^2)/(T26+W26+Z26+AC26+AF26+AI26)/CB26</f>
        <v>600.39573878319197</v>
      </c>
      <c r="CD26" s="177">
        <f>MAX(0.6*CA26/$AJ$17,(CA26-0.4*0.3*$AJ$14^(2/3)/CB26*(1+$AJ$17/$AJ$15*CB26))/$AJ$17)</f>
        <v>0.24395286556107107</v>
      </c>
      <c r="CE26" s="178">
        <f>CC26*CD26/1000</f>
        <v>0.14646826094681598</v>
      </c>
      <c r="CF26" s="23" t="str">
        <f t="shared" ref="CF26:CF33" si="6">IF(AND(AV26&gt;=BD26,AV26&gt;=BO26,CE26&lt;=(+IF(CO26="External",0.25,0.3))),"O.K", "Not O.K")</f>
        <v>O.K</v>
      </c>
      <c r="CG26" s="28"/>
      <c r="CH26" s="179" t="str">
        <f>IF(O26&lt;0.2*$AJ$14*R26*$O$12/1000,"N &lt; 0.2fckAc - OK!","TBA")</f>
        <v>N &lt; 0.2fckAc - OK!</v>
      </c>
      <c r="CI26" s="24"/>
      <c r="CJ26" s="25"/>
      <c r="CK26" s="6">
        <f>CU26</f>
        <v>104</v>
      </c>
      <c r="CL26" s="8" t="s">
        <v>72</v>
      </c>
      <c r="CM26" s="6">
        <f>CV26</f>
        <v>204</v>
      </c>
      <c r="CN26" s="26" t="s">
        <v>148</v>
      </c>
      <c r="CO26" s="27" t="s">
        <v>105</v>
      </c>
      <c r="CP26" s="2">
        <v>383</v>
      </c>
      <c r="CQ26" s="15">
        <v>729</v>
      </c>
      <c r="CR26" s="3">
        <v>370</v>
      </c>
      <c r="CS26" s="15">
        <v>654</v>
      </c>
      <c r="CT26" s="20">
        <v>1000</v>
      </c>
      <c r="CU26" s="2">
        <v>104</v>
      </c>
      <c r="CV26" s="15">
        <v>204</v>
      </c>
      <c r="CW26" s="6"/>
      <c r="CX26" s="278"/>
      <c r="CY26" s="6"/>
      <c r="CZ26" s="6"/>
      <c r="DA26" s="6"/>
      <c r="DB26" s="6"/>
      <c r="DC26" s="6"/>
      <c r="DD26" s="6"/>
      <c r="DE26" s="6"/>
      <c r="DF26" s="6"/>
      <c r="DG26" s="6"/>
      <c r="DH26" s="6"/>
      <c r="DI26" s="6"/>
      <c r="DJ26" s="212"/>
      <c r="DK26" s="13"/>
      <c r="DL26" s="13"/>
      <c r="DM26" s="202"/>
      <c r="DN26" s="206">
        <f>IF(CO26="external",T26,0)</f>
        <v>20</v>
      </c>
      <c r="DO26" s="206">
        <f>IF(CO26="external",W26,0)</f>
        <v>0</v>
      </c>
      <c r="DP26" s="206">
        <f>IF(CO26="external",Z26,0)</f>
        <v>0</v>
      </c>
      <c r="DQ26" s="206">
        <f>IF(CO26="external",AC26,0)</f>
        <v>0</v>
      </c>
      <c r="DR26" s="206">
        <f>IF(CO26="external",AF26,0)</f>
        <v>0</v>
      </c>
      <c r="DS26" s="207">
        <f>IF(CO26="external",AI26,0)</f>
        <v>0</v>
      </c>
      <c r="DT26" s="208"/>
      <c r="DU26" s="207">
        <f>IF(CO26="internal",T26,0)</f>
        <v>0</v>
      </c>
      <c r="DV26" s="207">
        <f>IF(CO26="internal",W26,0)</f>
        <v>0</v>
      </c>
      <c r="DW26" s="207">
        <f>IF(CO26="internal",Z26,0)</f>
        <v>0</v>
      </c>
      <c r="DX26" s="207">
        <f>IF(CO26="internal",AC26,0)</f>
        <v>0</v>
      </c>
      <c r="DY26" s="207">
        <f>IF(CO26="internal",AF26,0)</f>
        <v>0</v>
      </c>
      <c r="DZ26" s="207">
        <f>IF(CO26="internal",AI26,0)</f>
        <v>0</v>
      </c>
    </row>
    <row r="27" spans="1:131" s="7" customFormat="1" x14ac:dyDescent="0.3">
      <c r="B27" s="19">
        <f>+CI27</f>
        <v>0</v>
      </c>
      <c r="C27" s="6">
        <f t="shared" si="0"/>
        <v>0</v>
      </c>
      <c r="D27" s="6">
        <f t="shared" si="0"/>
        <v>103</v>
      </c>
      <c r="E27" s="6" t="str">
        <f t="shared" si="0"/>
        <v>--</v>
      </c>
      <c r="F27" s="6">
        <f>+CM27</f>
        <v>203</v>
      </c>
      <c r="G27" s="174" t="str">
        <f t="shared" si="1"/>
        <v>Max Fx</v>
      </c>
      <c r="H27" s="6" t="str">
        <f t="shared" si="1"/>
        <v>External</v>
      </c>
      <c r="I27" s="156"/>
      <c r="J27" s="10">
        <f t="shared" si="2"/>
        <v>2390</v>
      </c>
      <c r="K27" s="10">
        <f t="shared" si="2"/>
        <v>1480</v>
      </c>
      <c r="L27" s="10">
        <f t="shared" si="2"/>
        <v>1738</v>
      </c>
      <c r="M27" s="10">
        <f t="shared" si="2"/>
        <v>1076</v>
      </c>
      <c r="N27" s="10">
        <f>IF(I27*J27&gt;=0,J27*$J$19+I27*$J$18,J27)</f>
        <v>2390</v>
      </c>
      <c r="O27" s="10">
        <f>(K27)*$J$19</f>
        <v>1480</v>
      </c>
      <c r="P27" s="14">
        <f>IF(I27*L27&gt;=0,(L27)+I27,L27)</f>
        <v>1738</v>
      </c>
      <c r="Q27" s="3">
        <f>(M27)</f>
        <v>1076</v>
      </c>
      <c r="R27" s="20">
        <f t="shared" si="5"/>
        <v>1000</v>
      </c>
      <c r="S27" s="23"/>
      <c r="T27" s="12">
        <v>40</v>
      </c>
      <c r="U27" s="28"/>
      <c r="V27" s="28"/>
      <c r="W27" s="12">
        <v>25</v>
      </c>
      <c r="X27" s="28"/>
      <c r="Y27" s="28"/>
      <c r="Z27" s="12"/>
      <c r="AA27" s="28"/>
      <c r="AB27" s="28"/>
      <c r="AC27" s="158"/>
      <c r="AD27" s="28"/>
      <c r="AE27" s="28"/>
      <c r="AF27" s="158"/>
      <c r="AG27" s="28"/>
      <c r="AH27" s="28"/>
      <c r="AI27" s="29"/>
      <c r="AJ27" s="6">
        <f>PI()/4*T27^2*$O$12/$AX$16</f>
        <v>8377.5804095727817</v>
      </c>
      <c r="AK27" s="28" t="str">
        <f>IF(W27=0,"","+")</f>
        <v>+</v>
      </c>
      <c r="AL27" s="6">
        <f>PI()/4*W27^2*$O$12/$AX$16</f>
        <v>3272.4923474893681</v>
      </c>
      <c r="AM27" s="28" t="str">
        <f>IF(Z27=0,"","+")</f>
        <v/>
      </c>
      <c r="AN27" s="6">
        <f>PI()/4*Z27^2*$O$12/$AX$16</f>
        <v>0</v>
      </c>
      <c r="AO27" s="28" t="str">
        <f>IF(AC27=0,"","+")</f>
        <v/>
      </c>
      <c r="AP27" s="6">
        <f>PI()/4*AC27^2*$O$12/$AX$16</f>
        <v>0</v>
      </c>
      <c r="AQ27" s="28" t="str">
        <f>IF(AF27=0,"","+")</f>
        <v/>
      </c>
      <c r="AR27" s="6">
        <f>PI()/4*AF27^2*$O$12/$AX$16</f>
        <v>0</v>
      </c>
      <c r="AS27" s="28" t="str">
        <f>IF(AI27=0,"","+")</f>
        <v/>
      </c>
      <c r="AT27" s="6">
        <f>PI()/4*AI27^2*$O$12/$AX$16</f>
        <v>0</v>
      </c>
      <c r="AU27" s="28" t="s">
        <v>24</v>
      </c>
      <c r="AV27" s="15">
        <f>VALUE(AJ27)+VALUE(AL27)+VALUE(AN27)+VALUE(AP27)+VALUE(AR27)+VALUE(AT27)</f>
        <v>11650.072757062149</v>
      </c>
      <c r="AW27" s="228">
        <f>MAX(0.3*$AJ$14^(2/3)/$AJ$16*0.26*100,0.13)</f>
        <v>0.15723814702688016</v>
      </c>
      <c r="AX27" s="6">
        <f>AW27/100*$O$12*BK27</f>
        <v>1375.0917637688949</v>
      </c>
      <c r="AY27" s="6"/>
      <c r="AZ27" s="6"/>
      <c r="BA27" s="24" t="str">
        <f>IF(BB27=0,"","+")</f>
        <v/>
      </c>
      <c r="BB27" s="24"/>
      <c r="BC27" s="28" t="s">
        <v>24</v>
      </c>
      <c r="BD27" s="15">
        <f>AX27+AZ27+BB27</f>
        <v>1375.0917637688949</v>
      </c>
      <c r="BE27" s="2">
        <f>(R27-($AX$14+$O$16+T27/2))</f>
        <v>897</v>
      </c>
      <c r="BF27" s="3">
        <f>IF(W27=0,0,(R27-($AX$14+T27/2+$O$16+$BI$16)))</f>
        <v>817</v>
      </c>
      <c r="BG27" s="3">
        <f>IF(Z27=0,0,(R27-($AX$14+T27/2+$BI$16+$O$16+$BI$17)))</f>
        <v>0</v>
      </c>
      <c r="BH27" s="3">
        <f>IF(AC27=0,0,(R27-($AX$14+T27/2+$O$16+$BI$16+$BI$17+$BI$18)))</f>
        <v>0</v>
      </c>
      <c r="BI27" s="3">
        <f>IF(AF27=0,0,(R27-($AX$14+T27/2+$O$16+$BI$16+$BI$17+$BI$18+$BL$16)))</f>
        <v>0</v>
      </c>
      <c r="BJ27" s="3">
        <f>IF(AI27=0,0,(R27-($AX$14+T27/2+$O$16+$BI$16+$BI$17+$BI$18+$BL$16+$BL$17)))</f>
        <v>0</v>
      </c>
      <c r="BK27" s="6">
        <f>(BE27*AJ27+BF27*AL27+BG27*AN27+BH27*AP27+BI27*AR27+BJ27*AT27)/AV27</f>
        <v>874.52808988764048</v>
      </c>
      <c r="BL27" s="175">
        <f>ABS(N27)*1000000/$O$12/BK27^2</f>
        <v>3.1250025333337867</v>
      </c>
      <c r="BM27" s="175">
        <f>BL27/$AJ$14</f>
        <v>9.7656329166680836E-2</v>
      </c>
      <c r="BN27" s="21">
        <f>IF(BM27&lt;0.167,0.5+SQRT(0.25-(BM27/1.134)),0.82)</f>
        <v>0.90482503333311315</v>
      </c>
      <c r="BO27" s="15">
        <f>ABS(N27)/(0.87*$AJ$16*BN27*BK27)*10^6</f>
        <v>6943.369428310084</v>
      </c>
      <c r="BP27" s="22">
        <v>481.40073006607861</v>
      </c>
      <c r="BQ27" s="175">
        <f>IF(Q27=0,2*ABS(P27*10^6)/$O$12/BP27/(BK27-BP27/3),Q27*BP27*1000/($O$12/2*BP27^2-(BE27-BP27)*AJ27*$AJ$18-(BF27-BP27)*AL27*$AJ$18-(BG27-BP27)*AN27*$AJ$18-(BH27-BP27)*AP27*$AJ$18-(BI27-BP27)*AR27*$AJ$18-(BJ27-BP27)*AT27*$AJ$18))</f>
        <v>12.420086787175103</v>
      </c>
      <c r="BR27" s="3">
        <f>0.5*$O$12*BP27*BQ27 /1000</f>
        <v>2989.5194234150754</v>
      </c>
      <c r="BS27" s="3">
        <f>($BQ27/$BP27)*(BE27-$BP27)*$AJ$18*AJ27/1000</f>
        <v>1454.6695516936884</v>
      </c>
      <c r="BT27" s="3">
        <f>($BQ27/$BP27)*(BF27-$BP27)*$AJ$18*AL27/1000</f>
        <v>458.84987172138779</v>
      </c>
      <c r="BU27" s="3">
        <f>($BQ27/$BP27)*(BG27-$BP27)*$AJ$18*AN27/1000</f>
        <v>0</v>
      </c>
      <c r="BV27" s="3">
        <f>($BQ27/$BP27)*(BH27-$BP27)*$AJ$18*AP27/1000</f>
        <v>0</v>
      </c>
      <c r="BW27" s="3">
        <f>($BQ27/$BP27)*(BI27-$BP27)*$AJ$18*AR27/1000</f>
        <v>0</v>
      </c>
      <c r="BX27" s="3">
        <f>($BQ27/$BP27)*(BJ27-$BP27)*$AJ$18*AT27/1000</f>
        <v>0</v>
      </c>
      <c r="BY27" s="175">
        <f>IF(Q27=0,0,(0.5*$O$12*BP27*BQ27/1000*(R27/2-$BP27/3)+BS27*(BE27-R27/2)+BT27*(BF27-R27/2)+BU27*(BG27-R27/2)+BV27*(BH27-R27/2)+BW27*(BI27-R27/2)+BX27*(BJ27-R27/2))/1000-ABS(P27))</f>
        <v>-1.1260634664722602E-5</v>
      </c>
      <c r="BZ27" s="10"/>
      <c r="CA27" s="176">
        <f>ABS(P27)/(BK27-BP27/3)/AV27*10^6-Q27*(R27/2-BP27/3)/(BK27-BP27/3)/AV27*1000</f>
        <v>165.00597677025348</v>
      </c>
      <c r="CB27" s="177">
        <f>(AV27/($O$12*MIN(2.5*(R27-BK27),(R27-BP27)/3,R27/2)-AV27))</f>
        <v>7.2263593097166734E-2</v>
      </c>
      <c r="CC27" s="177">
        <f>3.4*($O$16+$AX$14)+0.425*0.8*0.5*(T27^2+W27^2+Z27^2+AC27^2+AF27^2+AI27^2)/(T27+W27+Z27+AC27+AF27+AI27)/CB27</f>
        <v>362.7278359381624</v>
      </c>
      <c r="CD27" s="177">
        <f>MAX(0.6*CA27/$AJ$17,(CA27-0.4*0.3*$AJ$14^(2/3)/CB27*(1+$AJ$17/$AJ$15*CB27))/$AJ$17)</f>
        <v>0.6434065939428415</v>
      </c>
      <c r="CE27" s="178">
        <f>CC27*CD27/1000</f>
        <v>0.23338148144923088</v>
      </c>
      <c r="CF27" s="23" t="str">
        <f t="shared" si="6"/>
        <v>O.K</v>
      </c>
      <c r="CG27" s="28"/>
      <c r="CH27" s="179" t="str">
        <f>IF(O27&lt;0.2*$AJ$14*R27*$O$12/1000,"N &lt; 0.2fckAc - OK!","TBA")</f>
        <v>N &lt; 0.2fckAc - OK!</v>
      </c>
      <c r="CI27" s="24"/>
      <c r="CJ27" s="25"/>
      <c r="CK27" s="6">
        <f>CU27</f>
        <v>103</v>
      </c>
      <c r="CL27" s="8" t="s">
        <v>72</v>
      </c>
      <c r="CM27" s="6">
        <f>CV27</f>
        <v>203</v>
      </c>
      <c r="CN27" s="26" t="s">
        <v>145</v>
      </c>
      <c r="CO27" s="27" t="s">
        <v>105</v>
      </c>
      <c r="CP27" s="2">
        <v>2390</v>
      </c>
      <c r="CQ27" s="15">
        <v>1480</v>
      </c>
      <c r="CR27" s="3">
        <v>1738</v>
      </c>
      <c r="CS27" s="15">
        <v>1076</v>
      </c>
      <c r="CT27" s="20">
        <v>1000</v>
      </c>
      <c r="CU27" s="2">
        <v>103</v>
      </c>
      <c r="CV27" s="15">
        <v>203</v>
      </c>
      <c r="CW27" s="6"/>
      <c r="CX27" s="278"/>
      <c r="CY27" s="6"/>
      <c r="CZ27" s="6"/>
      <c r="DA27" s="6"/>
      <c r="DB27" s="6"/>
      <c r="DC27" s="6"/>
      <c r="DD27" s="6"/>
      <c r="DE27" s="6"/>
      <c r="DF27" s="6"/>
      <c r="DG27" s="6"/>
      <c r="DH27" s="6"/>
      <c r="DI27" s="6"/>
      <c r="DJ27" s="212"/>
      <c r="DK27" s="13"/>
      <c r="DL27" s="13"/>
      <c r="DM27" s="202"/>
      <c r="DN27" s="206">
        <f>IF(CO27="external",T27,0)</f>
        <v>40</v>
      </c>
      <c r="DO27" s="206">
        <f>IF(CO27="external",W27,0)</f>
        <v>25</v>
      </c>
      <c r="DP27" s="206">
        <f>IF(CO27="external",Z27,0)</f>
        <v>0</v>
      </c>
      <c r="DQ27" s="206">
        <f>IF(CO27="external",AC27,0)</f>
        <v>0</v>
      </c>
      <c r="DR27" s="206">
        <f>IF(CO27="external",AF27,0)</f>
        <v>0</v>
      </c>
      <c r="DS27" s="207">
        <f>IF(CO27="external",AI27,0)</f>
        <v>0</v>
      </c>
      <c r="DT27" s="208"/>
      <c r="DU27" s="207">
        <f>IF(CO27="internal",T27,0)</f>
        <v>0</v>
      </c>
      <c r="DV27" s="207">
        <f>IF(CO27="internal",W27,0)</f>
        <v>0</v>
      </c>
      <c r="DW27" s="207">
        <f>IF(CO27="internal",Z27,0)</f>
        <v>0</v>
      </c>
      <c r="DX27" s="207">
        <f>IF(CO27="internal",AC27,0)</f>
        <v>0</v>
      </c>
      <c r="DY27" s="207">
        <f>IF(CO27="internal",AF27,0)</f>
        <v>0</v>
      </c>
      <c r="DZ27" s="207">
        <f>IF(CO27="internal",AI27,0)</f>
        <v>0</v>
      </c>
    </row>
    <row r="28" spans="1:131" s="7" customFormat="1" x14ac:dyDescent="0.3">
      <c r="B28" s="19">
        <f>+CI28</f>
        <v>0</v>
      </c>
      <c r="C28" s="6">
        <f t="shared" si="0"/>
        <v>0</v>
      </c>
      <c r="D28" s="6">
        <f t="shared" si="0"/>
        <v>104</v>
      </c>
      <c r="E28" s="6" t="str">
        <f t="shared" si="0"/>
        <v>--</v>
      </c>
      <c r="F28" s="6">
        <f>+CM28</f>
        <v>204</v>
      </c>
      <c r="G28" s="174" t="str">
        <f t="shared" si="1"/>
        <v>Min Fx</v>
      </c>
      <c r="H28" s="6" t="str">
        <f t="shared" si="1"/>
        <v>External</v>
      </c>
      <c r="I28" s="156"/>
      <c r="J28" s="10">
        <f t="shared" si="2"/>
        <v>1311</v>
      </c>
      <c r="K28" s="10">
        <f t="shared" si="2"/>
        <v>729</v>
      </c>
      <c r="L28" s="10">
        <f t="shared" si="2"/>
        <v>1067</v>
      </c>
      <c r="M28" s="10">
        <f t="shared" si="2"/>
        <v>654</v>
      </c>
      <c r="N28" s="10">
        <f>IF(I28*J28&gt;=0,J28*$J$19+I28*$J$18,J28)</f>
        <v>1311</v>
      </c>
      <c r="O28" s="10">
        <f>(K28)*$J$19</f>
        <v>729</v>
      </c>
      <c r="P28" s="14">
        <f>IF(I28*L28&gt;=0,(L28)+I28,L28)</f>
        <v>1067</v>
      </c>
      <c r="Q28" s="3">
        <f>(M28)</f>
        <v>654</v>
      </c>
      <c r="R28" s="20">
        <f t="shared" si="5"/>
        <v>1000</v>
      </c>
      <c r="S28" s="23"/>
      <c r="T28" s="12">
        <v>40</v>
      </c>
      <c r="U28" s="28"/>
      <c r="V28" s="28"/>
      <c r="W28" s="12"/>
      <c r="X28" s="28"/>
      <c r="Y28" s="28"/>
      <c r="Z28" s="12"/>
      <c r="AA28" s="28"/>
      <c r="AB28" s="28"/>
      <c r="AC28" s="158"/>
      <c r="AD28" s="28"/>
      <c r="AE28" s="28"/>
      <c r="AF28" s="158"/>
      <c r="AG28" s="28"/>
      <c r="AH28" s="28"/>
      <c r="AI28" s="29"/>
      <c r="AJ28" s="6">
        <f>PI()/4*T28^2*$O$12/$AX$16</f>
        <v>8377.5804095727817</v>
      </c>
      <c r="AK28" s="28" t="str">
        <f>IF(W28=0,"","+")</f>
        <v/>
      </c>
      <c r="AL28" s="6">
        <f>PI()/4*W28^2*$O$12/$AX$16</f>
        <v>0</v>
      </c>
      <c r="AM28" s="28" t="str">
        <f>IF(Z28=0,"","+")</f>
        <v/>
      </c>
      <c r="AN28" s="6">
        <f>PI()/4*Z28^2*$O$12/$AX$16</f>
        <v>0</v>
      </c>
      <c r="AO28" s="28" t="str">
        <f>IF(AC28=0,"","+")</f>
        <v/>
      </c>
      <c r="AP28" s="6">
        <f>PI()/4*AC28^2*$O$12/$AX$16</f>
        <v>0</v>
      </c>
      <c r="AQ28" s="28" t="str">
        <f>IF(AF28=0,"","+")</f>
        <v/>
      </c>
      <c r="AR28" s="6">
        <f>PI()/4*AF28^2*$O$12/$AX$16</f>
        <v>0</v>
      </c>
      <c r="AS28" s="28" t="str">
        <f>IF(AI28=0,"","+")</f>
        <v/>
      </c>
      <c r="AT28" s="6">
        <f>PI()/4*AI28^2*$O$12/$AX$16</f>
        <v>0</v>
      </c>
      <c r="AU28" s="28" t="s">
        <v>24</v>
      </c>
      <c r="AV28" s="15">
        <f>VALUE(AJ28)+VALUE(AL28)+VALUE(AN28)+VALUE(AP28)+VALUE(AR28)+VALUE(AT28)</f>
        <v>8377.5804095727817</v>
      </c>
      <c r="AW28" s="228">
        <f>MAX(0.3*$AJ$14^(2/3)/$AJ$16*0.26*100,0.13)</f>
        <v>0.15723814702688016</v>
      </c>
      <c r="AX28" s="6">
        <f>AW28/100*$O$12*BK28</f>
        <v>1410.4261788311151</v>
      </c>
      <c r="AY28" s="6"/>
      <c r="AZ28" s="6"/>
      <c r="BA28" s="24" t="str">
        <f>IF(BB28=0,"","+")</f>
        <v/>
      </c>
      <c r="BB28" s="24"/>
      <c r="BC28" s="28" t="s">
        <v>24</v>
      </c>
      <c r="BD28" s="15">
        <f>AX28+AZ28+BB28</f>
        <v>1410.4261788311151</v>
      </c>
      <c r="BE28" s="2">
        <f>(R28-($AX$14+$O$16+T28/2))</f>
        <v>897</v>
      </c>
      <c r="BF28" s="3">
        <f>IF(W28=0,0,(R28-($AX$14+T28/2+$O$16+$BI$16)))</f>
        <v>0</v>
      </c>
      <c r="BG28" s="3">
        <f>IF(Z28=0,0,(R28-($AX$14+T28/2+$BI$16+$O$16+$BI$17)))</f>
        <v>0</v>
      </c>
      <c r="BH28" s="3">
        <f>IF(AC28=0,0,(R28-($AX$14+T28/2+$O$16+$BI$16+$BI$17+$BI$18)))</f>
        <v>0</v>
      </c>
      <c r="BI28" s="3">
        <f>IF(AF28=0,0,(R28-($AX$14+T28/2+$O$16+$BI$16+$BI$17+$BI$18+$BL$16)))</f>
        <v>0</v>
      </c>
      <c r="BJ28" s="3">
        <f>IF(AI28=0,0,(R28-($AX$14+T28/2+$O$16+$BI$16+$BI$17+$BI$18+$BL$16+$BL$17)))</f>
        <v>0</v>
      </c>
      <c r="BK28" s="6">
        <f>(BE28*AJ28+BF28*AL28+BG28*AN28+BH28*AP28+BI28*AR28+BJ28*AT28)/AV28</f>
        <v>897</v>
      </c>
      <c r="BL28" s="175">
        <f>ABS(N28)*1000000/$O$12/BK28^2</f>
        <v>1.6293628333762114</v>
      </c>
      <c r="BM28" s="175">
        <f>BL28/$AJ$14</f>
        <v>5.0917588543006605E-2</v>
      </c>
      <c r="BN28" s="21">
        <f>IF(BM28&lt;0.167,0.5+SQRT(0.25-(BM28/1.134)),0.82)</f>
        <v>0.95287871253676037</v>
      </c>
      <c r="BO28" s="15">
        <f>ABS(N28)/(0.87*$AJ$16*BN28*BK28)*10^6</f>
        <v>3526.0085969679044</v>
      </c>
      <c r="BP28" s="22">
        <v>442.33959158664601</v>
      </c>
      <c r="BQ28" s="175">
        <f>IF(Q28=0,2*ABS(P28*10^6)/$O$12/BP28/(BK28-BP28/3),Q28*BP28*1000/($O$12/2*BP28^2-(BE28-BP28)*AJ28*$AJ$18-(BF28-BP28)*AL28*$AJ$18-(BG28-BP28)*AN28*$AJ$18-(BH28-BP28)*AP28*$AJ$18-(BI28-BP28)*AR28*$AJ$18-(BJ28-BP28)*AT28*$AJ$18))</f>
        <v>8.0024692721955297</v>
      </c>
      <c r="BR28" s="3">
        <f>0.5*$O$12*BP28*BQ28 /1000</f>
        <v>1769.9044947738273</v>
      </c>
      <c r="BS28" s="3">
        <f>($BQ28/$BP28)*(BE28-$BP28)*$AJ$18*AJ28/1000</f>
        <v>1115.9044947738273</v>
      </c>
      <c r="BT28" s="3">
        <f>($BQ28/$BP28)*(BF28-$BP28)*$AJ$18*AL28/1000</f>
        <v>0</v>
      </c>
      <c r="BU28" s="3">
        <f>($BQ28/$BP28)*(BG28-$BP28)*$AJ$18*AN28/1000</f>
        <v>0</v>
      </c>
      <c r="BV28" s="3">
        <f>($BQ28/$BP28)*(BH28-$BP28)*$AJ$18*AP28/1000</f>
        <v>0</v>
      </c>
      <c r="BW28" s="3">
        <f>($BQ28/$BP28)*(BI28-$BP28)*$AJ$18*AR28/1000</f>
        <v>0</v>
      </c>
      <c r="BX28" s="3">
        <f>($BQ28/$BP28)*(BJ28-$BP28)*$AJ$18*AT28/1000</f>
        <v>0</v>
      </c>
      <c r="BY28" s="175">
        <f>IF(Q28=0,0,(0.5*$O$12*BP28*BQ28/1000*(R28/2-$BP28/3)+BS28*(BE28-R28/2)+BT28*(BF28-R28/2)+BU28*(BG28-R28/2)+BV28*(BH28-R28/2)+BW28*(BI28-R28/2)+BX28*(BJ28-R28/2))/1000-ABS(P28))</f>
        <v>5.4690248362021521E-5</v>
      </c>
      <c r="BZ28" s="10"/>
      <c r="CA28" s="176">
        <f>ABS(P28)/(BK28-BP28/3)/AV28*10^6-Q28*(R28/2-BP28/3)/(BK28-BP28/3)/AV28*1000</f>
        <v>133.20127856188029</v>
      </c>
      <c r="CB28" s="177">
        <f>(AV28/($O$12*MIN(2.5*(R28-BK28),(R28-BP28)/3,R28/2)-AV28))</f>
        <v>4.7195183982815365E-2</v>
      </c>
      <c r="CC28" s="177">
        <f>3.4*($O$16+$AX$14)+0.425*0.8*0.5*(T28^2+W28^2+Z28^2+AC28^2+AF28^2+AI28^2)/(T28+W28+Z28+AC28+AF28+AI28)/CB28</f>
        <v>426.28249796157178</v>
      </c>
      <c r="CD28" s="177">
        <f>MAX(0.6*CA28/$AJ$17,(CA28-0.4*0.3*$AJ$14^(2/3)/CB28*(1+$AJ$17/$AJ$15*CB28))/$AJ$17)</f>
        <v>0.4399308160958032</v>
      </c>
      <c r="CE28" s="178">
        <f>CC28*CD28/1000</f>
        <v>0.18753480721559182</v>
      </c>
      <c r="CF28" s="23" t="str">
        <f t="shared" si="6"/>
        <v>O.K</v>
      </c>
      <c r="CG28" s="28"/>
      <c r="CH28" s="179" t="str">
        <f>IF(O28&lt;0.2*$AJ$14*R28*$O$12/1000,"N &lt; 0.2fckAc - OK!","TBA")</f>
        <v>N &lt; 0.2fckAc - OK!</v>
      </c>
      <c r="CI28" s="24"/>
      <c r="CJ28" s="25"/>
      <c r="CK28" s="6">
        <f>CU28</f>
        <v>104</v>
      </c>
      <c r="CL28" s="8" t="s">
        <v>72</v>
      </c>
      <c r="CM28" s="6">
        <f>CV28</f>
        <v>204</v>
      </c>
      <c r="CN28" s="26" t="s">
        <v>146</v>
      </c>
      <c r="CO28" s="27" t="s">
        <v>105</v>
      </c>
      <c r="CP28" s="2">
        <v>1311</v>
      </c>
      <c r="CQ28" s="15">
        <v>729</v>
      </c>
      <c r="CR28" s="3">
        <v>1067</v>
      </c>
      <c r="CS28" s="15">
        <v>654</v>
      </c>
      <c r="CT28" s="20">
        <v>1000</v>
      </c>
      <c r="CU28" s="2">
        <v>104</v>
      </c>
      <c r="CV28" s="15">
        <v>204</v>
      </c>
      <c r="CW28" s="6"/>
      <c r="CX28" s="278"/>
      <c r="CY28" s="6"/>
      <c r="CZ28" s="6"/>
      <c r="DA28" s="6"/>
      <c r="DB28" s="6"/>
      <c r="DC28" s="6"/>
      <c r="DD28" s="6"/>
      <c r="DE28" s="6"/>
      <c r="DF28" s="6"/>
      <c r="DG28" s="6"/>
      <c r="DH28" s="6"/>
      <c r="DI28" s="6"/>
      <c r="DJ28" s="212"/>
      <c r="DK28" s="13"/>
      <c r="DL28" s="13"/>
      <c r="DM28" s="202"/>
      <c r="DN28" s="206">
        <f>IF(CO28="external",T28,0)</f>
        <v>40</v>
      </c>
      <c r="DO28" s="206">
        <f>IF(CO28="external",W28,0)</f>
        <v>0</v>
      </c>
      <c r="DP28" s="206">
        <f>IF(CO28="external",Z28,0)</f>
        <v>0</v>
      </c>
      <c r="DQ28" s="206">
        <f>IF(CO28="external",AC28,0)</f>
        <v>0</v>
      </c>
      <c r="DR28" s="206">
        <f>IF(CO28="external",AF28,0)</f>
        <v>0</v>
      </c>
      <c r="DS28" s="207">
        <f>IF(CO28="external",AI28,0)</f>
        <v>0</v>
      </c>
      <c r="DT28" s="208"/>
      <c r="DU28" s="207">
        <f>IF(CO28="internal",T28,0)</f>
        <v>0</v>
      </c>
      <c r="DV28" s="207">
        <f>IF(CO28="internal",W28,0)</f>
        <v>0</v>
      </c>
      <c r="DW28" s="207">
        <f>IF(CO28="internal",Z28,0)</f>
        <v>0</v>
      </c>
      <c r="DX28" s="207">
        <f>IF(CO28="internal",AC28,0)</f>
        <v>0</v>
      </c>
      <c r="DY28" s="207">
        <f>IF(CO28="internal",AF28,0)</f>
        <v>0</v>
      </c>
      <c r="DZ28" s="207">
        <f>IF(CO28="internal",AI28,0)</f>
        <v>0</v>
      </c>
    </row>
    <row r="29" spans="1:131" s="7" customFormat="1" x14ac:dyDescent="0.3">
      <c r="B29" s="19"/>
      <c r="C29" s="6"/>
      <c r="D29" s="6"/>
      <c r="E29" s="6"/>
      <c r="F29" s="6"/>
      <c r="G29" s="232"/>
      <c r="H29" s="6"/>
      <c r="I29" s="24"/>
      <c r="J29" s="6"/>
      <c r="K29" s="6"/>
      <c r="L29" s="6"/>
      <c r="M29" s="6"/>
      <c r="N29" s="6"/>
      <c r="O29" s="6"/>
      <c r="P29" s="24"/>
      <c r="Q29" s="6"/>
      <c r="R29" s="6">
        <f t="shared" si="5"/>
        <v>0</v>
      </c>
      <c r="S29" s="28"/>
      <c r="T29" s="12"/>
      <c r="U29" s="28"/>
      <c r="V29" s="28"/>
      <c r="W29" s="12"/>
      <c r="X29" s="28"/>
      <c r="Y29" s="28"/>
      <c r="Z29" s="12"/>
      <c r="AA29" s="28"/>
      <c r="AB29" s="28"/>
      <c r="AC29" s="158"/>
      <c r="AD29" s="28"/>
      <c r="AE29" s="28"/>
      <c r="AF29" s="158"/>
      <c r="AG29" s="28"/>
      <c r="AH29" s="28"/>
      <c r="AI29" s="12"/>
      <c r="AJ29" s="6"/>
      <c r="AK29" s="28"/>
      <c r="AL29" s="6"/>
      <c r="AM29" s="28"/>
      <c r="AN29" s="6"/>
      <c r="AO29" s="28"/>
      <c r="AP29" s="6"/>
      <c r="AQ29" s="28"/>
      <c r="AR29" s="6"/>
      <c r="AS29" s="28"/>
      <c r="AT29" s="6"/>
      <c r="AU29" s="28"/>
      <c r="AV29" s="6"/>
      <c r="AW29" s="233"/>
      <c r="AX29" s="6"/>
      <c r="AY29" s="6"/>
      <c r="AZ29" s="6"/>
      <c r="BA29" s="24"/>
      <c r="BB29" s="24"/>
      <c r="BC29" s="28"/>
      <c r="BD29" s="6"/>
      <c r="BE29" s="6"/>
      <c r="BF29" s="6"/>
      <c r="BG29" s="6"/>
      <c r="BH29" s="6"/>
      <c r="BI29" s="6"/>
      <c r="BJ29" s="6"/>
      <c r="BK29" s="6"/>
      <c r="BL29" s="231"/>
      <c r="BM29" s="231"/>
      <c r="BN29" s="231"/>
      <c r="BO29" s="6"/>
      <c r="BP29" s="234"/>
      <c r="BQ29" s="231"/>
      <c r="BR29" s="6"/>
      <c r="BS29" s="6"/>
      <c r="BT29" s="6"/>
      <c r="BU29" s="6"/>
      <c r="BV29" s="6"/>
      <c r="BW29" s="6"/>
      <c r="BX29" s="6"/>
      <c r="BY29" s="231"/>
      <c r="BZ29" s="6"/>
      <c r="CA29" s="234"/>
      <c r="CB29" s="235"/>
      <c r="CC29" s="235"/>
      <c r="CD29" s="235"/>
      <c r="CE29" s="235"/>
      <c r="CF29" s="28"/>
      <c r="CG29" s="28"/>
      <c r="CH29" s="173"/>
      <c r="CI29" s="24"/>
      <c r="CJ29" s="25"/>
      <c r="CK29" s="6">
        <f>CU29</f>
        <v>0</v>
      </c>
      <c r="CL29" s="8" t="s">
        <v>72</v>
      </c>
      <c r="CM29" s="6">
        <f>CV29</f>
        <v>0</v>
      </c>
      <c r="CN29" s="236"/>
      <c r="CO29" s="24"/>
      <c r="CP29" s="6"/>
      <c r="CQ29" s="6"/>
      <c r="CR29" s="6"/>
      <c r="CS29" s="6"/>
      <c r="CT29" s="6"/>
      <c r="CU29" s="6"/>
      <c r="CV29" s="6"/>
      <c r="CW29" s="6"/>
      <c r="CX29" s="278"/>
      <c r="CY29" s="6"/>
      <c r="CZ29" s="6"/>
      <c r="DA29" s="6"/>
      <c r="DB29" s="6"/>
      <c r="DC29" s="6"/>
      <c r="DD29" s="6"/>
      <c r="DE29" s="6"/>
      <c r="DF29" s="6"/>
      <c r="DG29" s="6"/>
      <c r="DH29" s="6"/>
      <c r="DI29" s="6"/>
      <c r="DJ29" s="212"/>
      <c r="DK29" s="13"/>
      <c r="DL29" s="13"/>
      <c r="DM29" s="202"/>
      <c r="DN29" s="206"/>
      <c r="DO29" s="206"/>
      <c r="DP29" s="206"/>
      <c r="DQ29" s="206"/>
      <c r="DR29" s="206"/>
      <c r="DS29" s="207"/>
      <c r="DT29" s="208"/>
      <c r="DU29" s="207"/>
      <c r="DV29" s="207"/>
      <c r="DW29" s="207"/>
      <c r="DX29" s="207"/>
      <c r="DY29" s="207"/>
      <c r="DZ29" s="207"/>
    </row>
    <row r="30" spans="1:131" s="7" customFormat="1" ht="13.8" x14ac:dyDescent="0.25">
      <c r="A30" s="7" t="s">
        <v>141</v>
      </c>
      <c r="B30" s="19">
        <f>+CI30</f>
        <v>18</v>
      </c>
      <c r="C30" s="6">
        <f t="shared" ref="C30:E33" si="7">CJ30</f>
        <v>0</v>
      </c>
      <c r="D30" s="6">
        <f t="shared" si="7"/>
        <v>105</v>
      </c>
      <c r="E30" s="6" t="str">
        <f t="shared" si="7"/>
        <v>--</v>
      </c>
      <c r="F30" s="6">
        <f>+CM30</f>
        <v>205</v>
      </c>
      <c r="G30" s="174" t="str">
        <f t="shared" ref="G30:H33" si="8">CN30</f>
        <v>Max Mz</v>
      </c>
      <c r="H30" s="6" t="str">
        <f t="shared" si="8"/>
        <v>Internal</v>
      </c>
      <c r="I30" s="156"/>
      <c r="J30" s="10">
        <f t="shared" ref="J30:M33" si="9">(CP30)</f>
        <v>-112</v>
      </c>
      <c r="K30" s="10">
        <f t="shared" si="9"/>
        <v>1313</v>
      </c>
      <c r="L30" s="10">
        <f t="shared" si="9"/>
        <v>-228</v>
      </c>
      <c r="M30" s="10">
        <f t="shared" si="9"/>
        <v>952</v>
      </c>
      <c r="N30" s="10">
        <f>IF(I30*J30&gt;=0,J30*$J$19+I30*$J$18,J30)</f>
        <v>-112</v>
      </c>
      <c r="O30" s="10">
        <f>(K30)*$J$19</f>
        <v>1313</v>
      </c>
      <c r="P30" s="14">
        <f>IF(I30*L30&gt;=0,(L30)+I30,L30)</f>
        <v>-228</v>
      </c>
      <c r="Q30" s="3">
        <f>(M30)</f>
        <v>952</v>
      </c>
      <c r="R30" s="20">
        <f t="shared" si="5"/>
        <v>1000</v>
      </c>
      <c r="S30" s="23"/>
      <c r="T30" s="12">
        <v>20</v>
      </c>
      <c r="U30" s="28"/>
      <c r="V30" s="28"/>
      <c r="W30" s="12"/>
      <c r="X30" s="28"/>
      <c r="Y30" s="28"/>
      <c r="Z30" s="12"/>
      <c r="AA30" s="28"/>
      <c r="AB30" s="28"/>
      <c r="AC30" s="158"/>
      <c r="AD30" s="28"/>
      <c r="AE30" s="28"/>
      <c r="AF30" s="158"/>
      <c r="AG30" s="28"/>
      <c r="AH30" s="28"/>
      <c r="AI30" s="29"/>
      <c r="AJ30" s="6">
        <f>PI()/4*T30^2*$O$12/$AX$16</f>
        <v>2094.3951023931954</v>
      </c>
      <c r="AK30" s="28" t="str">
        <f>IF(W30=0,"","+")</f>
        <v/>
      </c>
      <c r="AL30" s="6">
        <f>PI()/4*W30^2*$O$12/$AX$16</f>
        <v>0</v>
      </c>
      <c r="AM30" s="28" t="str">
        <f>IF(Z30=0,"","+")</f>
        <v/>
      </c>
      <c r="AN30" s="6">
        <f>PI()/4*Z30^2*$O$12/$AX$16</f>
        <v>0</v>
      </c>
      <c r="AO30" s="28" t="str">
        <f>IF(AC30=0,"","+")</f>
        <v/>
      </c>
      <c r="AP30" s="6">
        <f>PI()/4*AC30^2*$O$12/$AX$16</f>
        <v>0</v>
      </c>
      <c r="AQ30" s="28" t="str">
        <f>IF(AF30=0,"","+")</f>
        <v/>
      </c>
      <c r="AR30" s="6">
        <f>PI()/4*AF30^2*$O$12/$AX$16</f>
        <v>0</v>
      </c>
      <c r="AS30" s="28" t="str">
        <f>IF(AI30=0,"","+")</f>
        <v/>
      </c>
      <c r="AT30" s="6">
        <f>PI()/4*AI30^2*$O$12/$AX$16</f>
        <v>0</v>
      </c>
      <c r="AU30" s="28" t="s">
        <v>24</v>
      </c>
      <c r="AV30" s="15">
        <f>VALUE(AJ30)+VALUE(AL30)+VALUE(AN30)+VALUE(AP30)+VALUE(AR30)+VALUE(AT30)</f>
        <v>2094.3951023931954</v>
      </c>
      <c r="AW30" s="228">
        <f>MAX(0.3*$AJ$14^(2/3)/$AJ$16*0.26*100,0.13)</f>
        <v>0.15723814702688016</v>
      </c>
      <c r="AX30" s="6">
        <f>AW30/100*$O$12*BK30</f>
        <v>1426.1499935338031</v>
      </c>
      <c r="AY30" s="6"/>
      <c r="AZ30" s="6"/>
      <c r="BA30" s="24" t="str">
        <f>IF(BB30=0,"","+")</f>
        <v/>
      </c>
      <c r="BB30" s="24"/>
      <c r="BC30" s="28" t="s">
        <v>24</v>
      </c>
      <c r="BD30" s="15">
        <f>AX30+AZ30+BB30</f>
        <v>1426.1499935338031</v>
      </c>
      <c r="BE30" s="2">
        <f>(R30-($AX$14+$O$16+T30/2))</f>
        <v>907</v>
      </c>
      <c r="BF30" s="3">
        <f>IF(W30=0,0,(R30-($AX$14+T30/2+$O$16+$BI$16)))</f>
        <v>0</v>
      </c>
      <c r="BG30" s="3">
        <f>IF(Z30=0,0,(R30-($AX$14+T30/2+$BI$16+$O$16+$BI$17)))</f>
        <v>0</v>
      </c>
      <c r="BH30" s="3">
        <f>IF(AC30=0,0,(R30-($AX$14+T30/2+$O$16+$BI$16+$BI$17+$BI$18)))</f>
        <v>0</v>
      </c>
      <c r="BI30" s="3">
        <f>IF(AF30=0,0,(R30-($AX$14+T30/2+$O$16+$BI$16+$BI$17+$BI$18+$BL$16)))</f>
        <v>0</v>
      </c>
      <c r="BJ30" s="3">
        <f>IF(AI30=0,0,(R30-($AX$14+T30/2+$O$16+$BI$16+$BI$17+$BI$18+$BL$16+$BL$17)))</f>
        <v>0</v>
      </c>
      <c r="BK30" s="6">
        <f>(BE30*AJ30+BF30*AL30+BG30*AN30+BH30*AP30+BI30*AR30+BJ30*AT30)/AV30</f>
        <v>907</v>
      </c>
      <c r="BL30" s="175">
        <f>ABS(N30)*1000000/$O$12/BK30^2</f>
        <v>0.13614554931690187</v>
      </c>
      <c r="BM30" s="175">
        <f>BL30/$AJ$14</f>
        <v>4.2545484161531835E-3</v>
      </c>
      <c r="BN30" s="21">
        <f>IF(BM30&lt;0.167,0.5+SQRT(0.25-(BM30/1.134)),0.82)</f>
        <v>0.99623401096312336</v>
      </c>
      <c r="BO30" s="15">
        <f>ABS(N30)/(0.87*$AJ$16*BN30*BK30)*10^6</f>
        <v>284.94439223989264</v>
      </c>
      <c r="BP30" s="22">
        <v>802.78634137885297</v>
      </c>
      <c r="BQ30" s="175">
        <f>IF(Q30=0,2*ABS(P30*10^6)/$O$12/BP30/(BK30-BP30/3),Q30*BP30*1000/($O$12/2*BP30^2-(BE30-BP30)*AJ30*$AJ$18-(BF30-BP30)*AL30*$AJ$18-(BG30-BP30)*AN30*$AJ$18-(BH30-BP30)*AP30*$AJ$18-(BI30-BP30)*AR30*$AJ$18-(BJ30-BP30)*AT30*$AJ$18))</f>
        <v>2.3980435051469855</v>
      </c>
      <c r="BR30" s="3">
        <f>0.5*$O$12*BP30*BQ30 /1000</f>
        <v>962.55828598213452</v>
      </c>
      <c r="BS30" s="3">
        <f>($BQ30/$BP30)*(BE30-$BP30)*$AJ$18*AJ30/1000</f>
        <v>10.558285982134398</v>
      </c>
      <c r="BT30" s="3">
        <f>($BQ30/$BP30)*(BF30-$BP30)*$AJ$18*AL30/1000</f>
        <v>0</v>
      </c>
      <c r="BU30" s="3">
        <f>($BQ30/$BP30)*(BG30-$BP30)*$AJ$18*AN30/1000</f>
        <v>0</v>
      </c>
      <c r="BV30" s="3">
        <f>($BQ30/$BP30)*(BH30-$BP30)*$AJ$18*AP30/1000</f>
        <v>0</v>
      </c>
      <c r="BW30" s="3">
        <f>($BQ30/$BP30)*(BI30-$BP30)*$AJ$18*AR30/1000</f>
        <v>0</v>
      </c>
      <c r="BX30" s="3">
        <f>($BQ30/$BP30)*(BJ30-$BP30)*$AJ$18*AT30/1000</f>
        <v>0</v>
      </c>
      <c r="BY30" s="175">
        <f>IF(Q30=0,0,(0.5*$O$12*BP30*BQ30/1000*(R30/2-$BP30/3)+BS30*(BE30-R30/2)+BT30*(BF30-R30/2)+BU30*(BG30-R30/2)+BV30*(BH30-R30/2)+BW30*(BI30-R30/2)+BX30*(BJ30-R30/2))/1000-ABS(P30))</f>
        <v>1.5046329679080372E-4</v>
      </c>
      <c r="BZ30" s="10"/>
      <c r="CA30" s="176">
        <f>ABS(P30)/(BK30-BP30/3)/AV30*10^6-Q30*(R30/2-BP30/3)/(BK30-BP30/3)/AV30*1000</f>
        <v>5.0410978579125185</v>
      </c>
      <c r="CB30" s="177">
        <f>(AV30/($O$12*MIN(2.5*(R30-BK30),(R30-BP30)/3,R30/2)-AV30))</f>
        <v>3.2908237213907024E-2</v>
      </c>
      <c r="CC30" s="177">
        <f>3.4*($O$16+$AX$14)+0.425*0.8*0.5*(T30^2+W30^2+Z30^2+AC30^2+AF30^2+AI30^2)/(T30+W30+Z30+AC30+AF30+AI30)/CB30</f>
        <v>385.51759729029664</v>
      </c>
      <c r="CD30" s="177">
        <f>MAX(0.6*CA30/$AJ$17,(CA30-0.4*0.3*$AJ$14^(2/3)/CB30*(1+$AJ$17/$AJ$15*CB30))/$AJ$17)</f>
        <v>1.5123293573737555E-2</v>
      </c>
      <c r="CE30" s="178">
        <f>CC30*CD30/1000</f>
        <v>5.8302958016630858E-3</v>
      </c>
      <c r="CF30" s="23" t="str">
        <f>IF(AND(AV30&gt;=BD30,AV30&gt;=BO30,CE30&lt;=(+IF(CO30="External",0.25,0.3))),"O.K", "Not O.K")</f>
        <v>O.K</v>
      </c>
      <c r="CG30" s="28"/>
      <c r="CH30" s="179" t="str">
        <f>IF(O30&lt;0.2*$AJ$14*R30*$O$12/1000,"N &lt; 0.2fckAc - OK!","TBA")</f>
        <v>N &lt; 0.2fckAc - OK!</v>
      </c>
      <c r="CI30" s="24">
        <v>18</v>
      </c>
      <c r="CJ30" s="25"/>
      <c r="CK30" s="6">
        <f t="shared" ref="CK30:CK93" si="10">CU30</f>
        <v>105</v>
      </c>
      <c r="CL30" s="8" t="s">
        <v>72</v>
      </c>
      <c r="CM30" s="6">
        <f t="shared" ref="CM30:CM93" si="11">CV30</f>
        <v>205</v>
      </c>
      <c r="CN30" s="26" t="s">
        <v>147</v>
      </c>
      <c r="CO30" s="27" t="s">
        <v>106</v>
      </c>
      <c r="CP30" s="2">
        <v>-112</v>
      </c>
      <c r="CQ30" s="15">
        <v>1313</v>
      </c>
      <c r="CR30" s="3">
        <v>-228</v>
      </c>
      <c r="CS30" s="15">
        <v>952</v>
      </c>
      <c r="CT30" s="20">
        <v>1000</v>
      </c>
      <c r="CU30" s="2">
        <v>105</v>
      </c>
      <c r="CV30" s="15">
        <v>205</v>
      </c>
      <c r="CW30" s="6"/>
      <c r="CX30" s="278">
        <f>CI30</f>
        <v>18</v>
      </c>
      <c r="CY30" s="6">
        <f t="shared" ref="CY30:DD30" si="12">MAX(DN30:DN33)</f>
        <v>0</v>
      </c>
      <c r="CZ30" s="6">
        <f t="shared" si="12"/>
        <v>0</v>
      </c>
      <c r="DA30" s="6">
        <f t="shared" si="12"/>
        <v>0</v>
      </c>
      <c r="DB30" s="6">
        <f t="shared" si="12"/>
        <v>0</v>
      </c>
      <c r="DC30" s="6">
        <f t="shared" si="12"/>
        <v>0</v>
      </c>
      <c r="DD30" s="6">
        <f t="shared" si="12"/>
        <v>0</v>
      </c>
      <c r="DE30" s="6"/>
      <c r="DF30" s="6">
        <f t="shared" ref="DF30:DK30" si="13">MAX(DU30:DU33)</f>
        <v>25</v>
      </c>
      <c r="DG30" s="6">
        <f t="shared" si="13"/>
        <v>0</v>
      </c>
      <c r="DH30" s="6">
        <f t="shared" si="13"/>
        <v>0</v>
      </c>
      <c r="DI30" s="6">
        <f t="shared" si="13"/>
        <v>0</v>
      </c>
      <c r="DJ30" s="6">
        <f t="shared" si="13"/>
        <v>0</v>
      </c>
      <c r="DK30" s="6">
        <f t="shared" si="13"/>
        <v>0</v>
      </c>
      <c r="DL30" s="13"/>
      <c r="DM30" s="202">
        <f>CI30</f>
        <v>18</v>
      </c>
      <c r="DN30" s="206">
        <f>IF(CO30="external",T30,0)</f>
        <v>0</v>
      </c>
      <c r="DO30" s="206">
        <f>IF(CO30="external",W30,0)</f>
        <v>0</v>
      </c>
      <c r="DP30" s="206">
        <f>IF(CO30="external",Z30,0)</f>
        <v>0</v>
      </c>
      <c r="DQ30" s="206">
        <f>IF(CO30="external",AC30,0)</f>
        <v>0</v>
      </c>
      <c r="DR30" s="206">
        <f>IF(CO30="external",AF30,0)</f>
        <v>0</v>
      </c>
      <c r="DS30" s="207">
        <f>IF(CO30="external",AI30,0)</f>
        <v>0</v>
      </c>
      <c r="DT30" s="208"/>
      <c r="DU30" s="207">
        <f>IF(CO30="internal",T30,0)</f>
        <v>20</v>
      </c>
      <c r="DV30" s="207">
        <f>IF(CO30="internal",W30,0)</f>
        <v>0</v>
      </c>
      <c r="DW30" s="207">
        <f>IF(CO30="internal",Z30,0)</f>
        <v>0</v>
      </c>
      <c r="DX30" s="207">
        <f>IF(CO30="internal",AC30,0)</f>
        <v>0</v>
      </c>
      <c r="DY30" s="207">
        <f>IF(CO30="internal",AF30,0)</f>
        <v>0</v>
      </c>
      <c r="DZ30" s="207">
        <f>IF(CO30="internal",AI30,0)</f>
        <v>0</v>
      </c>
    </row>
    <row r="31" spans="1:131" s="7" customFormat="1" x14ac:dyDescent="0.3">
      <c r="B31" s="19">
        <f>+CI31</f>
        <v>0</v>
      </c>
      <c r="C31" s="6">
        <f t="shared" si="7"/>
        <v>0</v>
      </c>
      <c r="D31" s="6">
        <f t="shared" si="7"/>
        <v>104</v>
      </c>
      <c r="E31" s="6" t="str">
        <f t="shared" si="7"/>
        <v>--</v>
      </c>
      <c r="F31" s="6">
        <f>+CM31</f>
        <v>204</v>
      </c>
      <c r="G31" s="174" t="str">
        <f t="shared" si="8"/>
        <v>Min Mz</v>
      </c>
      <c r="H31" s="6" t="str">
        <f t="shared" si="8"/>
        <v>Internal</v>
      </c>
      <c r="I31" s="156"/>
      <c r="J31" s="10">
        <f t="shared" si="9"/>
        <v>-919</v>
      </c>
      <c r="K31" s="10">
        <f t="shared" si="9"/>
        <v>729</v>
      </c>
      <c r="L31" s="10">
        <f t="shared" si="9"/>
        <v>-627</v>
      </c>
      <c r="M31" s="10">
        <f t="shared" si="9"/>
        <v>654</v>
      </c>
      <c r="N31" s="10">
        <f>IF(I31*J31&gt;=0,J31*$J$19+I31*$J$18,J31)</f>
        <v>-919</v>
      </c>
      <c r="O31" s="10">
        <f>(K31)*$J$19</f>
        <v>729</v>
      </c>
      <c r="P31" s="14">
        <f>IF(I31*L31&gt;=0,(L31)+I31,L31)</f>
        <v>-627</v>
      </c>
      <c r="Q31" s="3">
        <f>(M31)</f>
        <v>654</v>
      </c>
      <c r="R31" s="20">
        <f t="shared" si="5"/>
        <v>1000</v>
      </c>
      <c r="S31" s="23"/>
      <c r="T31" s="12">
        <v>25</v>
      </c>
      <c r="U31" s="28"/>
      <c r="V31" s="28"/>
      <c r="W31" s="12"/>
      <c r="X31" s="28"/>
      <c r="Y31" s="28"/>
      <c r="Z31" s="12"/>
      <c r="AA31" s="28"/>
      <c r="AB31" s="28"/>
      <c r="AC31" s="158"/>
      <c r="AD31" s="28"/>
      <c r="AE31" s="28"/>
      <c r="AF31" s="158"/>
      <c r="AG31" s="28"/>
      <c r="AH31" s="28"/>
      <c r="AI31" s="29"/>
      <c r="AJ31" s="6">
        <f>PI()/4*T31^2*$O$12/$AX$16</f>
        <v>3272.4923474893681</v>
      </c>
      <c r="AK31" s="28" t="str">
        <f>IF(W31=0,"","+")</f>
        <v/>
      </c>
      <c r="AL31" s="6">
        <f>PI()/4*W31^2*$O$12/$AX$16</f>
        <v>0</v>
      </c>
      <c r="AM31" s="28" t="str">
        <f>IF(Z31=0,"","+")</f>
        <v/>
      </c>
      <c r="AN31" s="6">
        <f>PI()/4*Z31^2*$O$12/$AX$16</f>
        <v>0</v>
      </c>
      <c r="AO31" s="28" t="str">
        <f>IF(AC31=0,"","+")</f>
        <v/>
      </c>
      <c r="AP31" s="6">
        <f>PI()/4*AC31^2*$O$12/$AX$16</f>
        <v>0</v>
      </c>
      <c r="AQ31" s="28" t="str">
        <f>IF(AF31=0,"","+")</f>
        <v/>
      </c>
      <c r="AR31" s="6">
        <f>PI()/4*AF31^2*$O$12/$AX$16</f>
        <v>0</v>
      </c>
      <c r="AS31" s="28" t="str">
        <f>IF(AI31=0,"","+")</f>
        <v/>
      </c>
      <c r="AT31" s="6">
        <f>PI()/4*AI31^2*$O$12/$AX$16</f>
        <v>0</v>
      </c>
      <c r="AU31" s="28" t="s">
        <v>24</v>
      </c>
      <c r="AV31" s="15">
        <f>VALUE(AJ31)+VALUE(AL31)+VALUE(AN31)+VALUE(AP31)+VALUE(AR31)+VALUE(AT31)</f>
        <v>3272.4923474893681</v>
      </c>
      <c r="AW31" s="228">
        <f>MAX(0.3*$AJ$14^(2/3)/$AJ$16*0.26*100,0.13)</f>
        <v>0.15723814702688016</v>
      </c>
      <c r="AX31" s="6">
        <f>AW31/100*$O$12*BK31</f>
        <v>1422.2190398581311</v>
      </c>
      <c r="AY31" s="6"/>
      <c r="AZ31" s="6"/>
      <c r="BA31" s="24" t="str">
        <f>IF(BB31=0,"","+")</f>
        <v/>
      </c>
      <c r="BB31" s="24"/>
      <c r="BC31" s="28" t="s">
        <v>24</v>
      </c>
      <c r="BD31" s="15">
        <f>AX31+AZ31+BB31</f>
        <v>1422.2190398581311</v>
      </c>
      <c r="BE31" s="2">
        <f>(R31-($AX$14+$O$16+T31/2))</f>
        <v>904.5</v>
      </c>
      <c r="BF31" s="3">
        <f>IF(W31=0,0,(R31-($AX$14+T31/2+$O$16+$BI$16)))</f>
        <v>0</v>
      </c>
      <c r="BG31" s="3">
        <f>IF(Z31=0,0,(R31-($AX$14+T31/2+$BI$16+$O$16+$BI$17)))</f>
        <v>0</v>
      </c>
      <c r="BH31" s="3">
        <f>IF(AC31=0,0,(R31-($AX$14+T31/2+$O$16+$BI$16+$BI$17+$BI$18)))</f>
        <v>0</v>
      </c>
      <c r="BI31" s="3">
        <f>IF(AF31=0,0,(R31-($AX$14+T31/2+$O$16+$BI$16+$BI$17+$BI$18+$BL$16)))</f>
        <v>0</v>
      </c>
      <c r="BJ31" s="3">
        <f>IF(AI31=0,0,(R31-($AX$14+T31/2+$O$16+$BI$16+$BI$17+$BI$18+$BL$16+$BL$17)))</f>
        <v>0</v>
      </c>
      <c r="BK31" s="6">
        <f>(BE31*AJ31+BF31*AL31+BG31*AN31+BH31*AP31+BI31*AR31+BJ31*AT31)/AV31</f>
        <v>904.5</v>
      </c>
      <c r="BL31" s="175">
        <f>ABS(N31)*1000000/$O$12/BK31^2</f>
        <v>1.123306751055239</v>
      </c>
      <c r="BM31" s="175">
        <f>BL31/$AJ$14</f>
        <v>3.510333597047622E-2</v>
      </c>
      <c r="BN31" s="21">
        <f>IF(BM31&lt;0.167,0.5+SQRT(0.25-(BM31/1.134)),0.82)</f>
        <v>0.96802209058410082</v>
      </c>
      <c r="BO31" s="15">
        <f>ABS(N31)/(0.87*$AJ$16*BN31*BK31)*10^6</f>
        <v>2412.8616181418656</v>
      </c>
      <c r="BP31" s="22">
        <v>366.02523791685098</v>
      </c>
      <c r="BQ31" s="175">
        <f>IF(Q31=0,2*ABS(P31*10^6)/$O$12/BP31/(BK31-BP31/3),Q31*BP31*1000/($O$12/2*BP31^2-(BE31-BP31)*AJ31*$AJ$18-(BF31-BP31)*AL31*$AJ$18-(BG31-BP31)*AN31*$AJ$18-(BH31-BP31)*AP31*$AJ$18-(BI31-BP31)*AR31*$AJ$18-(BJ31-BP31)*AT31*$AJ$18))</f>
        <v>6.2256028429320338</v>
      </c>
      <c r="BR31" s="3">
        <f>0.5*$O$12*BP31*BQ31 /1000</f>
        <v>1139.3638808800108</v>
      </c>
      <c r="BS31" s="3">
        <f>($BQ31/$BP31)*(BE31-$BP31)*$AJ$18*AJ31/1000</f>
        <v>485.36388088001058</v>
      </c>
      <c r="BT31" s="3">
        <f>($BQ31/$BP31)*(BF31-$BP31)*$AJ$18*AL31/1000</f>
        <v>0</v>
      </c>
      <c r="BU31" s="3">
        <f>($BQ31/$BP31)*(BG31-$BP31)*$AJ$18*AN31/1000</f>
        <v>0</v>
      </c>
      <c r="BV31" s="3">
        <f>($BQ31/$BP31)*(BH31-$BP31)*$AJ$18*AP31/1000</f>
        <v>0</v>
      </c>
      <c r="BW31" s="3">
        <f>($BQ31/$BP31)*(BI31-$BP31)*$AJ$18*AR31/1000</f>
        <v>0</v>
      </c>
      <c r="BX31" s="3">
        <f>($BQ31/$BP31)*(BJ31-$BP31)*$AJ$18*AT31/1000</f>
        <v>0</v>
      </c>
      <c r="BY31" s="175">
        <f>IF(Q31=0,0,(0.5*$O$12*BP31*BQ31/1000*(R31/2-$BP31/3)+BS31*(BE31-R31/2)+BT31*(BF31-R31/2)+BU31*(BG31-R31/2)+BV31*(BH31-R31/2)+BW31*(BI31-R31/2)+BX31*(BJ31-R31/2))/1000-ABS(P31))</f>
        <v>-3.4826835451440274E-4</v>
      </c>
      <c r="BZ31" s="10"/>
      <c r="CA31" s="176">
        <f>ABS(P31)/(BK31-BP31/3)/AV31*10^6-Q31*(R31/2-BP31/3)/(BK31-BP31/3)/AV31*1000</f>
        <v>148.3164128186711</v>
      </c>
      <c r="CB31" s="177">
        <f>(AV31/($O$12*MIN(2.5*(R31-BK31),(R31-BP31)/3,R31/2)-AV31))</f>
        <v>1.5729171601078448E-2</v>
      </c>
      <c r="CC31" s="177">
        <f>3.4*($O$16+$AX$14)+0.425*0.8*0.5*(T31^2+W31^2+Z31^2+AC31^2+AF31^2+AI31^2)/(T31+W31+Z31+AC31+AF31+AI31)/CB31</f>
        <v>552.39859073243281</v>
      </c>
      <c r="CD31" s="177">
        <f>MAX(0.6*CA31/$AJ$17,(CA31-0.4*0.3*$AJ$14^(2/3)/CB31*(1+$AJ$17/$AJ$15*CB31))/$AJ$17)</f>
        <v>0.44494923845601325</v>
      </c>
      <c r="CE31" s="178">
        <f>CC31*CD31/1000</f>
        <v>0.24578933227057093</v>
      </c>
      <c r="CF31" s="23" t="str">
        <f t="shared" si="6"/>
        <v>O.K</v>
      </c>
      <c r="CG31" s="28"/>
      <c r="CH31" s="179" t="str">
        <f>IF(O31&lt;0.2*$AJ$14*R31*$O$12/1000,"N &lt; 0.2fckAc - OK!","TBA")</f>
        <v>N &lt; 0.2fckAc - OK!</v>
      </c>
      <c r="CI31" s="24"/>
      <c r="CJ31" s="25"/>
      <c r="CK31" s="6">
        <f t="shared" si="10"/>
        <v>104</v>
      </c>
      <c r="CL31" s="8" t="s">
        <v>72</v>
      </c>
      <c r="CM31" s="6">
        <f t="shared" si="11"/>
        <v>204</v>
      </c>
      <c r="CN31" s="26" t="s">
        <v>148</v>
      </c>
      <c r="CO31" s="27" t="s">
        <v>106</v>
      </c>
      <c r="CP31" s="2">
        <v>-919</v>
      </c>
      <c r="CQ31" s="15">
        <v>729</v>
      </c>
      <c r="CR31" s="3">
        <v>-627</v>
      </c>
      <c r="CS31" s="15">
        <v>654</v>
      </c>
      <c r="CT31" s="20">
        <v>1000</v>
      </c>
      <c r="CU31" s="2">
        <v>104</v>
      </c>
      <c r="CV31" s="15">
        <v>204</v>
      </c>
      <c r="CW31" s="6"/>
      <c r="CX31" s="278"/>
      <c r="CY31" s="6"/>
      <c r="CZ31" s="6"/>
      <c r="DA31" s="6"/>
      <c r="DB31" s="6"/>
      <c r="DC31" s="6"/>
      <c r="DD31" s="6"/>
      <c r="DE31" s="6"/>
      <c r="DF31" s="6"/>
      <c r="DG31" s="6"/>
      <c r="DH31" s="6"/>
      <c r="DI31" s="6"/>
      <c r="DJ31" s="212"/>
      <c r="DK31" s="13"/>
      <c r="DL31" s="13"/>
      <c r="DM31" s="202"/>
      <c r="DN31" s="206">
        <f>IF(CO31="external",T31,0)</f>
        <v>0</v>
      </c>
      <c r="DO31" s="206">
        <f>IF(CO31="external",W31,0)</f>
        <v>0</v>
      </c>
      <c r="DP31" s="206">
        <f>IF(CO31="external",Z31,0)</f>
        <v>0</v>
      </c>
      <c r="DQ31" s="206">
        <f>IF(CO31="external",AC31,0)</f>
        <v>0</v>
      </c>
      <c r="DR31" s="206">
        <f>IF(CO31="external",AF31,0)</f>
        <v>0</v>
      </c>
      <c r="DS31" s="207">
        <f>IF(CO31="external",AI31,0)</f>
        <v>0</v>
      </c>
      <c r="DT31" s="208"/>
      <c r="DU31" s="207">
        <f>IF(CO31="internal",T31,0)</f>
        <v>25</v>
      </c>
      <c r="DV31" s="207">
        <f>IF(CO31="internal",W31,0)</f>
        <v>0</v>
      </c>
      <c r="DW31" s="207">
        <f>IF(CO31="internal",Z31,0)</f>
        <v>0</v>
      </c>
      <c r="DX31" s="207">
        <f>IF(CO31="internal",AC31,0)</f>
        <v>0</v>
      </c>
      <c r="DY31" s="207">
        <f>IF(CO31="internal",AF31,0)</f>
        <v>0</v>
      </c>
      <c r="DZ31" s="207">
        <f>IF(CO31="internal",AI31,0)</f>
        <v>0</v>
      </c>
    </row>
    <row r="32" spans="1:131" s="7" customFormat="1" x14ac:dyDescent="0.3">
      <c r="B32" s="19">
        <f>+CI32</f>
        <v>0</v>
      </c>
      <c r="C32" s="6">
        <f t="shared" si="7"/>
        <v>0</v>
      </c>
      <c r="D32" s="6">
        <f t="shared" si="7"/>
        <v>103</v>
      </c>
      <c r="E32" s="6" t="str">
        <f t="shared" si="7"/>
        <v>--</v>
      </c>
      <c r="F32" s="6">
        <f>+CM32</f>
        <v>203</v>
      </c>
      <c r="G32" s="174" t="str">
        <f t="shared" si="8"/>
        <v>Max Fx</v>
      </c>
      <c r="H32" s="6" t="str">
        <f t="shared" si="8"/>
        <v>Internal</v>
      </c>
      <c r="I32" s="156"/>
      <c r="J32" s="10">
        <f t="shared" si="9"/>
        <v>-685</v>
      </c>
      <c r="K32" s="10">
        <f t="shared" si="9"/>
        <v>1480</v>
      </c>
      <c r="L32" s="10">
        <f t="shared" si="9"/>
        <v>-495</v>
      </c>
      <c r="M32" s="10">
        <f t="shared" si="9"/>
        <v>1076</v>
      </c>
      <c r="N32" s="10">
        <f>IF(I32*J32&gt;=0,J32*$J$19+I32*$J$18,J32)</f>
        <v>-685</v>
      </c>
      <c r="O32" s="10">
        <f>(K32)*$J$19</f>
        <v>1480</v>
      </c>
      <c r="P32" s="14">
        <f>IF(I32*L32&gt;=0,(L32)+I32,L32)</f>
        <v>-495</v>
      </c>
      <c r="Q32" s="3">
        <f>(M32)</f>
        <v>1076</v>
      </c>
      <c r="R32" s="20">
        <f t="shared" si="5"/>
        <v>1000</v>
      </c>
      <c r="S32" s="23"/>
      <c r="T32" s="12">
        <v>20</v>
      </c>
      <c r="U32" s="28"/>
      <c r="V32" s="28"/>
      <c r="W32" s="12"/>
      <c r="X32" s="28"/>
      <c r="Y32" s="28"/>
      <c r="Z32" s="12"/>
      <c r="AA32" s="28"/>
      <c r="AB32" s="28"/>
      <c r="AC32" s="158"/>
      <c r="AD32" s="28"/>
      <c r="AE32" s="28"/>
      <c r="AF32" s="158"/>
      <c r="AG32" s="28"/>
      <c r="AH32" s="28"/>
      <c r="AI32" s="29"/>
      <c r="AJ32" s="6">
        <f>PI()/4*T32^2*$O$12/$AX$16</f>
        <v>2094.3951023931954</v>
      </c>
      <c r="AK32" s="28" t="str">
        <f>IF(W32=0,"","+")</f>
        <v/>
      </c>
      <c r="AL32" s="6">
        <f>PI()/4*W32^2*$O$12/$AX$16</f>
        <v>0</v>
      </c>
      <c r="AM32" s="28" t="str">
        <f>IF(Z32=0,"","+")</f>
        <v/>
      </c>
      <c r="AN32" s="6">
        <f>PI()/4*Z32^2*$O$12/$AX$16</f>
        <v>0</v>
      </c>
      <c r="AO32" s="28" t="str">
        <f>IF(AC32=0,"","+")</f>
        <v/>
      </c>
      <c r="AP32" s="6">
        <f>PI()/4*AC32^2*$O$12/$AX$16</f>
        <v>0</v>
      </c>
      <c r="AQ32" s="28" t="str">
        <f>IF(AF32=0,"","+")</f>
        <v/>
      </c>
      <c r="AR32" s="6">
        <f>PI()/4*AF32^2*$O$12/$AX$16</f>
        <v>0</v>
      </c>
      <c r="AS32" s="28" t="str">
        <f>IF(AI32=0,"","+")</f>
        <v/>
      </c>
      <c r="AT32" s="6">
        <f>PI()/4*AI32^2*$O$12/$AX$16</f>
        <v>0</v>
      </c>
      <c r="AU32" s="28" t="s">
        <v>24</v>
      </c>
      <c r="AV32" s="15">
        <f>VALUE(AJ32)+VALUE(AL32)+VALUE(AN32)+VALUE(AP32)+VALUE(AR32)+VALUE(AT32)</f>
        <v>2094.3951023931954</v>
      </c>
      <c r="AW32" s="228">
        <f>MAX(0.3*$AJ$14^(2/3)/$AJ$16*0.26*100,0.13)</f>
        <v>0.15723814702688016</v>
      </c>
      <c r="AX32" s="6">
        <f>AW32/100*$O$12*BK32</f>
        <v>1426.1499935338031</v>
      </c>
      <c r="AY32" s="6"/>
      <c r="AZ32" s="6"/>
      <c r="BA32" s="24" t="str">
        <f>IF(BB32=0,"","+")</f>
        <v/>
      </c>
      <c r="BB32" s="24"/>
      <c r="BC32" s="28" t="s">
        <v>24</v>
      </c>
      <c r="BD32" s="15">
        <f>AX32+AZ32+BB32</f>
        <v>1426.1499935338031</v>
      </c>
      <c r="BE32" s="2">
        <f>(R32-($AX$14+$O$16+T32/2))</f>
        <v>907</v>
      </c>
      <c r="BF32" s="3">
        <f>IF(W32=0,0,(R32-($AX$14+T32/2+$O$16+$BI$16)))</f>
        <v>0</v>
      </c>
      <c r="BG32" s="3">
        <f>IF(Z32=0,0,(R32-($AX$14+T32/2+$BI$16+$O$16+$BI$17)))</f>
        <v>0</v>
      </c>
      <c r="BH32" s="3">
        <f>IF(AC32=0,0,(R32-($AX$14+T32/2+$O$16+$BI$16+$BI$17+$BI$18)))</f>
        <v>0</v>
      </c>
      <c r="BI32" s="3">
        <f>IF(AF32=0,0,(R32-($AX$14+T32/2+$O$16+$BI$16+$BI$17+$BI$18+$BL$16)))</f>
        <v>0</v>
      </c>
      <c r="BJ32" s="3">
        <f>IF(AI32=0,0,(R32-($AX$14+T32/2+$O$16+$BI$16+$BI$17+$BI$18+$BL$16+$BL$17)))</f>
        <v>0</v>
      </c>
      <c r="BK32" s="6">
        <f>(BE32*AJ32+BF32*AL32+BG32*AN32+BH32*AP32+BI32*AR32+BJ32*AT32)/AV32</f>
        <v>907</v>
      </c>
      <c r="BL32" s="175">
        <f>ABS(N32)*1000000/$O$12/BK32^2</f>
        <v>0.83267590430426586</v>
      </c>
      <c r="BM32" s="175">
        <f>BL32/$AJ$14</f>
        <v>2.6021122009508308E-2</v>
      </c>
      <c r="BN32" s="21">
        <f>IF(BM32&lt;0.167,0.5+SQRT(0.25-(BM32/1.134)),0.82)</f>
        <v>0.9765015050290673</v>
      </c>
      <c r="BO32" s="15">
        <f>ABS(N32)/(0.87*$AJ$16*BN32*BK32)*10^6</f>
        <v>1777.9564152947651</v>
      </c>
      <c r="BP32" s="22">
        <v>469.67671410783277</v>
      </c>
      <c r="BQ32" s="175">
        <f>IF(Q32=0,2*ABS(P32*10^6)/$O$12/BP32/(BK32-BP32/3),Q32*BP32*1000/($O$12/2*BP32^2-(BE32-BP32)*AJ32*$AJ$18-(BF32-BP32)*AL32*$AJ$18-(BG32-BP32)*AN32*$AJ$18-(BH32-BP32)*AP32*$AJ$18-(BI32-BP32)*AR32*$AJ$18-(BJ32-BP32)*AT32*$AJ$18))</f>
        <v>5.2937612283784867</v>
      </c>
      <c r="BR32" s="3">
        <f>0.5*$O$12*BP32*BQ32 /1000</f>
        <v>1243.178189508126</v>
      </c>
      <c r="BS32" s="3">
        <f>($BQ32/$BP32)*(BE32-$BP32)*$AJ$18*AJ32/1000</f>
        <v>167.17818950812597</v>
      </c>
      <c r="BT32" s="3">
        <f>($BQ32/$BP32)*(BF32-$BP32)*$AJ$18*AL32/1000</f>
        <v>0</v>
      </c>
      <c r="BU32" s="3">
        <f>($BQ32/$BP32)*(BG32-$BP32)*$AJ$18*AN32/1000</f>
        <v>0</v>
      </c>
      <c r="BV32" s="3">
        <f>($BQ32/$BP32)*(BH32-$BP32)*$AJ$18*AP32/1000</f>
        <v>0</v>
      </c>
      <c r="BW32" s="3">
        <f>($BQ32/$BP32)*(BI32-$BP32)*$AJ$18*AR32/1000</f>
        <v>0</v>
      </c>
      <c r="BX32" s="3">
        <f>($BQ32/$BP32)*(BJ32-$BP32)*$AJ$18*AT32/1000</f>
        <v>0</v>
      </c>
      <c r="BY32" s="175">
        <f>IF(Q32=0,0,(0.5*$O$12*BP32*BQ32/1000*(R32/2-$BP32/3)+BS32*(BE32-R32/2)+BT32*(BF32-R32/2)+BU32*(BG32-R32/2)+BV32*(BH32-R32/2)+BW32*(BI32-R32/2)+BX32*(BJ32-R32/2))/1000-ABS(P32))</f>
        <v>2.1843031845492078E-6</v>
      </c>
      <c r="BZ32" s="10"/>
      <c r="CA32" s="176">
        <f>ABS(P32)/(BK32-BP32/3)/AV32*10^6-Q32*(R32/2-BP32/3)/(BK32-BP32/3)/AV32*1000</f>
        <v>79.821704322362365</v>
      </c>
      <c r="CB32" s="177">
        <f>(AV32/($O$12*MIN(2.5*(R32-BK32),(R32-BP32)/3,R32/2)-AV32))</f>
        <v>1.1989894094298599E-2</v>
      </c>
      <c r="CC32" s="177">
        <f>3.4*($O$16+$AX$14)+0.425*0.8*0.5*(T32^2+W32^2+Z32^2+AC32^2+AF32^2+AI32^2)/(T32+W32+Z32+AC32+AF32+AI32)/CB32</f>
        <v>565.77214611401428</v>
      </c>
      <c r="CD32" s="177">
        <f>MAX(0.6*CA32/$AJ$17,(CA32-0.4*0.3*$AJ$14^(2/3)/CB32*(1+$AJ$17/$AJ$15*CB32))/$AJ$17)</f>
        <v>0.23946511296708711</v>
      </c>
      <c r="CE32" s="178">
        <f>CC32*CD32/1000</f>
        <v>0.13548269088282372</v>
      </c>
      <c r="CF32" s="23" t="str">
        <f t="shared" si="6"/>
        <v>O.K</v>
      </c>
      <c r="CG32" s="28"/>
      <c r="CH32" s="179" t="str">
        <f>IF(O32&lt;0.2*$AJ$14*R32*$O$12/1000,"N &lt; 0.2fckAc - OK!","TBA")</f>
        <v>N &lt; 0.2fckAc - OK!</v>
      </c>
      <c r="CI32" s="24"/>
      <c r="CJ32" s="25"/>
      <c r="CK32" s="6">
        <f t="shared" si="10"/>
        <v>103</v>
      </c>
      <c r="CL32" s="8" t="s">
        <v>72</v>
      </c>
      <c r="CM32" s="6">
        <f t="shared" si="11"/>
        <v>203</v>
      </c>
      <c r="CN32" s="26" t="s">
        <v>145</v>
      </c>
      <c r="CO32" s="27" t="s">
        <v>106</v>
      </c>
      <c r="CP32" s="2">
        <v>-685</v>
      </c>
      <c r="CQ32" s="15">
        <v>1480</v>
      </c>
      <c r="CR32" s="3">
        <v>-495</v>
      </c>
      <c r="CS32" s="15">
        <v>1076</v>
      </c>
      <c r="CT32" s="20">
        <v>1000</v>
      </c>
      <c r="CU32" s="2">
        <v>103</v>
      </c>
      <c r="CV32" s="15">
        <v>203</v>
      </c>
      <c r="CW32" s="6"/>
      <c r="CX32" s="278"/>
      <c r="CY32" s="6"/>
      <c r="CZ32" s="6"/>
      <c r="DA32" s="6"/>
      <c r="DB32" s="6"/>
      <c r="DC32" s="6"/>
      <c r="DD32" s="6"/>
      <c r="DE32" s="6"/>
      <c r="DF32" s="6"/>
      <c r="DG32" s="6"/>
      <c r="DH32" s="6"/>
      <c r="DI32" s="6"/>
      <c r="DJ32" s="212"/>
      <c r="DK32" s="13"/>
      <c r="DL32" s="13"/>
      <c r="DM32" s="202"/>
      <c r="DN32" s="206">
        <f>IF(CO32="external",T32,0)</f>
        <v>0</v>
      </c>
      <c r="DO32" s="206">
        <f>IF(CO32="external",W32,0)</f>
        <v>0</v>
      </c>
      <c r="DP32" s="206">
        <f>IF(CO32="external",Z32,0)</f>
        <v>0</v>
      </c>
      <c r="DQ32" s="206">
        <f>IF(CO32="external",AC32,0)</f>
        <v>0</v>
      </c>
      <c r="DR32" s="206">
        <f>IF(CO32="external",AF32,0)</f>
        <v>0</v>
      </c>
      <c r="DS32" s="207">
        <f>IF(CO32="external",AI32,0)</f>
        <v>0</v>
      </c>
      <c r="DT32" s="208"/>
      <c r="DU32" s="207">
        <f>IF(CO32="internal",T32,0)</f>
        <v>20</v>
      </c>
      <c r="DV32" s="207">
        <f>IF(CO32="internal",W32,0)</f>
        <v>0</v>
      </c>
      <c r="DW32" s="207">
        <f>IF(CO32="internal",Z32,0)</f>
        <v>0</v>
      </c>
      <c r="DX32" s="207">
        <f>IF(CO32="internal",AC32,0)</f>
        <v>0</v>
      </c>
      <c r="DY32" s="207">
        <f>IF(CO32="internal",AF32,0)</f>
        <v>0</v>
      </c>
      <c r="DZ32" s="207">
        <f>IF(CO32="internal",AI32,0)</f>
        <v>0</v>
      </c>
    </row>
    <row r="33" spans="1:131" s="7" customFormat="1" x14ac:dyDescent="0.3">
      <c r="B33" s="19">
        <f>+CI33</f>
        <v>0</v>
      </c>
      <c r="C33" s="6">
        <f t="shared" si="7"/>
        <v>0</v>
      </c>
      <c r="D33" s="6">
        <f t="shared" si="7"/>
        <v>104</v>
      </c>
      <c r="E33" s="6" t="str">
        <f t="shared" si="7"/>
        <v>--</v>
      </c>
      <c r="F33" s="6">
        <f>+CM33</f>
        <v>204</v>
      </c>
      <c r="G33" s="174" t="str">
        <f t="shared" si="8"/>
        <v>Min Fx</v>
      </c>
      <c r="H33" s="6" t="str">
        <f t="shared" si="8"/>
        <v>Internal</v>
      </c>
      <c r="I33" s="156"/>
      <c r="J33" s="10">
        <f t="shared" si="9"/>
        <v>-919</v>
      </c>
      <c r="K33" s="10">
        <f t="shared" si="9"/>
        <v>729</v>
      </c>
      <c r="L33" s="10">
        <f t="shared" si="9"/>
        <v>-627</v>
      </c>
      <c r="M33" s="10">
        <f t="shared" si="9"/>
        <v>654</v>
      </c>
      <c r="N33" s="10">
        <f>IF(I33*J33&gt;=0,J33*$J$19+I33*$J$18,J33)</f>
        <v>-919</v>
      </c>
      <c r="O33" s="10">
        <f>(K33)*$J$19</f>
        <v>729</v>
      </c>
      <c r="P33" s="14">
        <f>IF(I33*L33&gt;=0,(L33)+I33,L33)</f>
        <v>-627</v>
      </c>
      <c r="Q33" s="3">
        <f>(M33)</f>
        <v>654</v>
      </c>
      <c r="R33" s="20">
        <f t="shared" si="5"/>
        <v>1000</v>
      </c>
      <c r="S33" s="23"/>
      <c r="T33" s="12">
        <v>25</v>
      </c>
      <c r="U33" s="28"/>
      <c r="V33" s="28"/>
      <c r="W33" s="12"/>
      <c r="X33" s="28"/>
      <c r="Y33" s="28"/>
      <c r="Z33" s="12"/>
      <c r="AA33" s="28"/>
      <c r="AB33" s="28"/>
      <c r="AC33" s="158"/>
      <c r="AD33" s="28"/>
      <c r="AE33" s="28"/>
      <c r="AF33" s="158"/>
      <c r="AG33" s="28"/>
      <c r="AH33" s="28"/>
      <c r="AI33" s="29"/>
      <c r="AJ33" s="6">
        <f>PI()/4*T33^2*$O$12/$AX$16</f>
        <v>3272.4923474893681</v>
      </c>
      <c r="AK33" s="28" t="str">
        <f>IF(W33=0,"","+")</f>
        <v/>
      </c>
      <c r="AL33" s="6">
        <f>PI()/4*W33^2*$O$12/$AX$16</f>
        <v>0</v>
      </c>
      <c r="AM33" s="28" t="str">
        <f>IF(Z33=0,"","+")</f>
        <v/>
      </c>
      <c r="AN33" s="6">
        <f>PI()/4*Z33^2*$O$12/$AX$16</f>
        <v>0</v>
      </c>
      <c r="AO33" s="28" t="str">
        <f>IF(AC33=0,"","+")</f>
        <v/>
      </c>
      <c r="AP33" s="6">
        <f>PI()/4*AC33^2*$O$12/$AX$16</f>
        <v>0</v>
      </c>
      <c r="AQ33" s="28" t="str">
        <f>IF(AF33=0,"","+")</f>
        <v/>
      </c>
      <c r="AR33" s="6">
        <f>PI()/4*AF33^2*$O$12/$AX$16</f>
        <v>0</v>
      </c>
      <c r="AS33" s="28" t="str">
        <f>IF(AI33=0,"","+")</f>
        <v/>
      </c>
      <c r="AT33" s="6">
        <f>PI()/4*AI33^2*$O$12/$AX$16</f>
        <v>0</v>
      </c>
      <c r="AU33" s="28" t="s">
        <v>24</v>
      </c>
      <c r="AV33" s="15">
        <f>VALUE(AJ33)+VALUE(AL33)+VALUE(AN33)+VALUE(AP33)+VALUE(AR33)+VALUE(AT33)</f>
        <v>3272.4923474893681</v>
      </c>
      <c r="AW33" s="228">
        <f>MAX(0.3*$AJ$14^(2/3)/$AJ$16*0.26*100,0.13)</f>
        <v>0.15723814702688016</v>
      </c>
      <c r="AX33" s="6">
        <f>AW33/100*$O$12*BK33</f>
        <v>1422.2190398581311</v>
      </c>
      <c r="AY33" s="6"/>
      <c r="AZ33" s="6"/>
      <c r="BA33" s="24" t="str">
        <f>IF(BB33=0,"","+")</f>
        <v/>
      </c>
      <c r="BB33" s="24"/>
      <c r="BC33" s="28" t="s">
        <v>24</v>
      </c>
      <c r="BD33" s="15">
        <f>AX33+AZ33+BB33</f>
        <v>1422.2190398581311</v>
      </c>
      <c r="BE33" s="2">
        <f>(R33-($AX$14+$O$16+T33/2))</f>
        <v>904.5</v>
      </c>
      <c r="BF33" s="3">
        <f>IF(W33=0,0,(R33-($AX$14+T33/2+$O$16+$BI$16)))</f>
        <v>0</v>
      </c>
      <c r="BG33" s="3">
        <f>IF(Z33=0,0,(R33-($AX$14+T33/2+$BI$16+$O$16+$BI$17)))</f>
        <v>0</v>
      </c>
      <c r="BH33" s="3">
        <f>IF(AC33=0,0,(R33-($AX$14+T33/2+$O$16+$BI$16+$BI$17+$BI$18)))</f>
        <v>0</v>
      </c>
      <c r="BI33" s="3">
        <f>IF(AF33=0,0,(R33-($AX$14+T33/2+$O$16+$BI$16+$BI$17+$BI$18+$BL$16)))</f>
        <v>0</v>
      </c>
      <c r="BJ33" s="3">
        <f>IF(AI33=0,0,(R33-($AX$14+T33/2+$O$16+$BI$16+$BI$17+$BI$18+$BL$16+$BL$17)))</f>
        <v>0</v>
      </c>
      <c r="BK33" s="6">
        <f>(BE33*AJ33+BF33*AL33+BG33*AN33+BH33*AP33+BI33*AR33+BJ33*AT33)/AV33</f>
        <v>904.5</v>
      </c>
      <c r="BL33" s="175">
        <f>ABS(N33)*1000000/$O$12/BK33^2</f>
        <v>1.123306751055239</v>
      </c>
      <c r="BM33" s="175">
        <f>BL33/$AJ$14</f>
        <v>3.510333597047622E-2</v>
      </c>
      <c r="BN33" s="21">
        <f>IF(BM33&lt;0.167,0.5+SQRT(0.25-(BM33/1.134)),0.82)</f>
        <v>0.96802209058410082</v>
      </c>
      <c r="BO33" s="15">
        <f>ABS(N33)/(0.87*$AJ$16*BN33*BK33)*10^6</f>
        <v>2412.8616181418656</v>
      </c>
      <c r="BP33" s="22">
        <v>366.02523791685098</v>
      </c>
      <c r="BQ33" s="175">
        <f>IF(Q33=0,2*ABS(P33*10^6)/$O$12/BP33/(BK33-BP33/3),Q33*BP33*1000/($O$12/2*BP33^2-(BE33-BP33)*AJ33*$AJ$18-(BF33-BP33)*AL33*$AJ$18-(BG33-BP33)*AN33*$AJ$18-(BH33-BP33)*AP33*$AJ$18-(BI33-BP33)*AR33*$AJ$18-(BJ33-BP33)*AT33*$AJ$18))</f>
        <v>6.2256028429320338</v>
      </c>
      <c r="BR33" s="3">
        <f>0.5*$O$12*BP33*BQ33 /1000</f>
        <v>1139.3638808800108</v>
      </c>
      <c r="BS33" s="3">
        <f>($BQ33/$BP33)*(BE33-$BP33)*$AJ$18*AJ33/1000</f>
        <v>485.36388088001058</v>
      </c>
      <c r="BT33" s="3">
        <f>($BQ33/$BP33)*(BF33-$BP33)*$AJ$18*AL33/1000</f>
        <v>0</v>
      </c>
      <c r="BU33" s="3">
        <f>($BQ33/$BP33)*(BG33-$BP33)*$AJ$18*AN33/1000</f>
        <v>0</v>
      </c>
      <c r="BV33" s="3">
        <f>($BQ33/$BP33)*(BH33-$BP33)*$AJ$18*AP33/1000</f>
        <v>0</v>
      </c>
      <c r="BW33" s="3">
        <f>($BQ33/$BP33)*(BI33-$BP33)*$AJ$18*AR33/1000</f>
        <v>0</v>
      </c>
      <c r="BX33" s="3">
        <f>($BQ33/$BP33)*(BJ33-$BP33)*$AJ$18*AT33/1000</f>
        <v>0</v>
      </c>
      <c r="BY33" s="175">
        <f>IF(Q33=0,0,(0.5*$O$12*BP33*BQ33/1000*(R33/2-$BP33/3)+BS33*(BE33-R33/2)+BT33*(BF33-R33/2)+BU33*(BG33-R33/2)+BV33*(BH33-R33/2)+BW33*(BI33-R33/2)+BX33*(BJ33-R33/2))/1000-ABS(P33))</f>
        <v>-3.4826835451440274E-4</v>
      </c>
      <c r="BZ33" s="10"/>
      <c r="CA33" s="176">
        <f>ABS(P33)/(BK33-BP33/3)/AV33*10^6-Q33*(R33/2-BP33/3)/(BK33-BP33/3)/AV33*1000</f>
        <v>148.3164128186711</v>
      </c>
      <c r="CB33" s="177">
        <f>(AV33/($O$12*MIN(2.5*(R33-BK33),(R33-BP33)/3,R33/2)-AV33))</f>
        <v>1.5729171601078448E-2</v>
      </c>
      <c r="CC33" s="177">
        <f>3.4*($O$16+$AX$14)+0.425*0.8*0.5*(T33^2+W33^2+Z33^2+AC33^2+AF33^2+AI33^2)/(T33+W33+Z33+AC33+AF33+AI33)/CB33</f>
        <v>552.39859073243281</v>
      </c>
      <c r="CD33" s="177">
        <f>MAX(0.6*CA33/$AJ$17,(CA33-0.4*0.3*$AJ$14^(2/3)/CB33*(1+$AJ$17/$AJ$15*CB33))/$AJ$17)</f>
        <v>0.44494923845601325</v>
      </c>
      <c r="CE33" s="178">
        <f>CC33*CD33/1000</f>
        <v>0.24578933227057093</v>
      </c>
      <c r="CF33" s="23" t="str">
        <f t="shared" si="6"/>
        <v>O.K</v>
      </c>
      <c r="CG33" s="28"/>
      <c r="CH33" s="179" t="str">
        <f>IF(O33&lt;0.2*$AJ$14*R33*$O$12/1000,"N &lt; 0.2fckAc - OK!","TBA")</f>
        <v>N &lt; 0.2fckAc - OK!</v>
      </c>
      <c r="CI33" s="24"/>
      <c r="CJ33" s="25"/>
      <c r="CK33" s="6">
        <f t="shared" si="10"/>
        <v>104</v>
      </c>
      <c r="CL33" s="8" t="s">
        <v>72</v>
      </c>
      <c r="CM33" s="6">
        <f t="shared" si="11"/>
        <v>204</v>
      </c>
      <c r="CN33" s="26" t="s">
        <v>146</v>
      </c>
      <c r="CO33" s="27" t="s">
        <v>106</v>
      </c>
      <c r="CP33" s="2">
        <v>-919</v>
      </c>
      <c r="CQ33" s="15">
        <v>729</v>
      </c>
      <c r="CR33" s="3">
        <v>-627</v>
      </c>
      <c r="CS33" s="15">
        <v>654</v>
      </c>
      <c r="CT33" s="20">
        <v>1000</v>
      </c>
      <c r="CU33" s="2">
        <v>104</v>
      </c>
      <c r="CV33" s="15">
        <v>204</v>
      </c>
      <c r="CW33" s="6"/>
      <c r="CX33" s="278"/>
      <c r="CY33" s="6"/>
      <c r="CZ33" s="6"/>
      <c r="DA33" s="6"/>
      <c r="DB33" s="6"/>
      <c r="DC33" s="6"/>
      <c r="DD33" s="6"/>
      <c r="DE33" s="6"/>
      <c r="DF33" s="6"/>
      <c r="DG33" s="6"/>
      <c r="DH33" s="6"/>
      <c r="DI33" s="6"/>
      <c r="DJ33" s="212"/>
      <c r="DK33" s="13"/>
      <c r="DL33" s="13"/>
      <c r="DM33" s="202"/>
      <c r="DN33" s="206">
        <f>IF(CO33="external",T33,0)</f>
        <v>0</v>
      </c>
      <c r="DO33" s="206">
        <f>IF(CO33="external",W33,0)</f>
        <v>0</v>
      </c>
      <c r="DP33" s="206">
        <f>IF(CO33="external",Z33,0)</f>
        <v>0</v>
      </c>
      <c r="DQ33" s="206">
        <f>IF(CO33="external",AC33,0)</f>
        <v>0</v>
      </c>
      <c r="DR33" s="206">
        <f>IF(CO33="external",AF33,0)</f>
        <v>0</v>
      </c>
      <c r="DS33" s="207">
        <f>IF(CO33="external",AI33,0)</f>
        <v>0</v>
      </c>
      <c r="DT33" s="208"/>
      <c r="DU33" s="207">
        <f>IF(CO33="internal",T33,0)</f>
        <v>25</v>
      </c>
      <c r="DV33" s="207">
        <f>IF(CO33="internal",W33,0)</f>
        <v>0</v>
      </c>
      <c r="DW33" s="207">
        <f>IF(CO33="internal",Z33,0)</f>
        <v>0</v>
      </c>
      <c r="DX33" s="207">
        <f>IF(CO33="internal",AC33,0)</f>
        <v>0</v>
      </c>
      <c r="DY33" s="207">
        <f>IF(CO33="internal",AF33,0)</f>
        <v>0</v>
      </c>
      <c r="DZ33" s="207">
        <f>IF(CO33="internal",AI33,0)</f>
        <v>0</v>
      </c>
    </row>
    <row r="34" spans="1:131" s="7" customFormat="1" x14ac:dyDescent="0.3">
      <c r="B34" s="19"/>
      <c r="C34" s="6"/>
      <c r="D34" s="6"/>
      <c r="E34" s="6"/>
      <c r="F34" s="6"/>
      <c r="G34" s="232"/>
      <c r="H34" s="6"/>
      <c r="I34" s="24"/>
      <c r="J34" s="6"/>
      <c r="K34" s="6"/>
      <c r="L34" s="6"/>
      <c r="M34" s="6"/>
      <c r="N34" s="6"/>
      <c r="O34" s="6"/>
      <c r="P34" s="24"/>
      <c r="Q34" s="6"/>
      <c r="R34" s="6"/>
      <c r="S34" s="28"/>
      <c r="T34" s="12"/>
      <c r="U34" s="28"/>
      <c r="V34" s="28"/>
      <c r="W34" s="12"/>
      <c r="X34" s="28"/>
      <c r="Y34" s="28"/>
      <c r="Z34" s="12"/>
      <c r="AA34" s="28"/>
      <c r="AB34" s="28"/>
      <c r="AC34" s="158"/>
      <c r="AD34" s="28"/>
      <c r="AE34" s="28"/>
      <c r="AF34" s="158"/>
      <c r="AG34" s="28"/>
      <c r="AH34" s="28"/>
      <c r="AI34" s="12"/>
      <c r="AJ34" s="6"/>
      <c r="AK34" s="28"/>
      <c r="AL34" s="6"/>
      <c r="AM34" s="28"/>
      <c r="AN34" s="6"/>
      <c r="AO34" s="28"/>
      <c r="AP34" s="6"/>
      <c r="AQ34" s="28"/>
      <c r="AR34" s="6"/>
      <c r="AS34" s="28"/>
      <c r="AT34" s="6"/>
      <c r="AU34" s="28"/>
      <c r="AV34" s="6"/>
      <c r="AW34" s="233"/>
      <c r="AX34" s="6"/>
      <c r="AY34" s="6"/>
      <c r="AZ34" s="6"/>
      <c r="BA34" s="24"/>
      <c r="BB34" s="24"/>
      <c r="BC34" s="28"/>
      <c r="BD34" s="6"/>
      <c r="BE34" s="6"/>
      <c r="BF34" s="6"/>
      <c r="BG34" s="6"/>
      <c r="BH34" s="6"/>
      <c r="BI34" s="6"/>
      <c r="BJ34" s="6"/>
      <c r="BK34" s="6"/>
      <c r="BL34" s="231"/>
      <c r="BM34" s="231"/>
      <c r="BN34" s="231"/>
      <c r="BO34" s="6"/>
      <c r="BP34" s="234"/>
      <c r="BQ34" s="231"/>
      <c r="BR34" s="6"/>
      <c r="BS34" s="6"/>
      <c r="BT34" s="6"/>
      <c r="BU34" s="6"/>
      <c r="BV34" s="6"/>
      <c r="BW34" s="6"/>
      <c r="BX34" s="6"/>
      <c r="BY34" s="231"/>
      <c r="BZ34" s="6"/>
      <c r="CA34" s="234"/>
      <c r="CB34" s="235"/>
      <c r="CC34" s="235"/>
      <c r="CD34" s="235"/>
      <c r="CE34" s="235"/>
      <c r="CF34" s="28"/>
      <c r="CG34" s="28"/>
      <c r="CH34" s="173"/>
      <c r="CI34" s="24"/>
      <c r="CJ34" s="25"/>
      <c r="CK34" s="6">
        <f t="shared" si="10"/>
        <v>0</v>
      </c>
      <c r="CL34" s="8" t="s">
        <v>72</v>
      </c>
      <c r="CM34" s="6">
        <f t="shared" si="11"/>
        <v>0</v>
      </c>
      <c r="CN34" s="236"/>
      <c r="CO34" s="24"/>
      <c r="CP34" s="6"/>
      <c r="CQ34" s="6"/>
      <c r="CR34" s="6"/>
      <c r="CS34" s="6"/>
      <c r="CT34" s="6"/>
      <c r="CU34" s="6"/>
      <c r="CV34" s="6"/>
      <c r="CW34" s="6"/>
      <c r="CX34" s="278"/>
      <c r="CY34" s="6"/>
      <c r="CZ34" s="6"/>
      <c r="DA34" s="6"/>
      <c r="DB34" s="6"/>
      <c r="DC34" s="6"/>
      <c r="DD34" s="6"/>
      <c r="DE34" s="6"/>
      <c r="DF34" s="6"/>
      <c r="DG34" s="6"/>
      <c r="DH34" s="6"/>
      <c r="DI34" s="6"/>
      <c r="DJ34" s="212"/>
      <c r="DK34" s="13"/>
      <c r="DL34" s="13"/>
      <c r="DM34" s="202"/>
      <c r="DN34" s="206"/>
      <c r="DO34" s="206"/>
      <c r="DP34" s="206"/>
      <c r="DQ34" s="206"/>
      <c r="DR34" s="206"/>
      <c r="DS34" s="207"/>
      <c r="DT34" s="208"/>
      <c r="DU34" s="207"/>
      <c r="DV34" s="207"/>
      <c r="DW34" s="207"/>
      <c r="DX34" s="207"/>
      <c r="DY34" s="207"/>
      <c r="DZ34" s="207"/>
    </row>
    <row r="35" spans="1:131" s="7" customFormat="1" ht="13.8" x14ac:dyDescent="0.25">
      <c r="A35" s="7" t="s">
        <v>141</v>
      </c>
      <c r="B35" s="19">
        <f>+CI35</f>
        <v>53</v>
      </c>
      <c r="C35" s="6">
        <f t="shared" ref="C35:E38" si="14">CJ35</f>
        <v>0</v>
      </c>
      <c r="D35" s="6">
        <f t="shared" si="14"/>
        <v>104</v>
      </c>
      <c r="E35" s="6" t="str">
        <f t="shared" si="14"/>
        <v>--</v>
      </c>
      <c r="F35" s="6">
        <f>+CM35</f>
        <v>204</v>
      </c>
      <c r="G35" s="174" t="str">
        <f t="shared" ref="G35:H38" si="15">CN35</f>
        <v>Max Mz</v>
      </c>
      <c r="H35" s="6" t="str">
        <f t="shared" si="15"/>
        <v>External</v>
      </c>
      <c r="I35" s="156"/>
      <c r="J35" s="10">
        <f t="shared" ref="J35:M38" si="16">(CP35)</f>
        <v>1009</v>
      </c>
      <c r="K35" s="10">
        <f t="shared" si="16"/>
        <v>729</v>
      </c>
      <c r="L35" s="10">
        <f t="shared" si="16"/>
        <v>737</v>
      </c>
      <c r="M35" s="10">
        <f t="shared" si="16"/>
        <v>655</v>
      </c>
      <c r="N35" s="10">
        <f>IF(I35*J35&gt;=0,J35*$J$19+I35*$J$18,J35)</f>
        <v>1009</v>
      </c>
      <c r="O35" s="10">
        <f>(K35)*$J$19</f>
        <v>729</v>
      </c>
      <c r="P35" s="14">
        <f>IF(I35*L35&gt;=0,(L35)+I35,L35)</f>
        <v>737</v>
      </c>
      <c r="Q35" s="3">
        <f>(M35)</f>
        <v>655</v>
      </c>
      <c r="R35" s="20">
        <f>CT35</f>
        <v>1000</v>
      </c>
      <c r="S35" s="23"/>
      <c r="T35" s="12">
        <v>32</v>
      </c>
      <c r="U35" s="28"/>
      <c r="V35" s="28"/>
      <c r="W35" s="12"/>
      <c r="X35" s="28"/>
      <c r="Y35" s="28"/>
      <c r="Z35" s="12"/>
      <c r="AA35" s="28"/>
      <c r="AB35" s="28"/>
      <c r="AC35" s="158"/>
      <c r="AD35" s="28"/>
      <c r="AE35" s="28"/>
      <c r="AF35" s="158"/>
      <c r="AG35" s="28"/>
      <c r="AH35" s="28"/>
      <c r="AI35" s="29"/>
      <c r="AJ35" s="6">
        <f>PI()/4*T35^2*$O$12/$AX$16</f>
        <v>5361.6514621265796</v>
      </c>
      <c r="AK35" s="28" t="str">
        <f>IF(W35=0,"","+")</f>
        <v/>
      </c>
      <c r="AL35" s="6">
        <f>PI()/4*W35^2*$O$12/$AX$16</f>
        <v>0</v>
      </c>
      <c r="AM35" s="28" t="str">
        <f>IF(Z35=0,"","+")</f>
        <v/>
      </c>
      <c r="AN35" s="6">
        <f>PI()/4*Z35^2*$O$12/$AX$16</f>
        <v>0</v>
      </c>
      <c r="AO35" s="28" t="str">
        <f>IF(AC35=0,"","+")</f>
        <v/>
      </c>
      <c r="AP35" s="6">
        <f>PI()/4*AC35^2*$O$12/$AX$16</f>
        <v>0</v>
      </c>
      <c r="AQ35" s="28" t="str">
        <f>IF(AF35=0,"","+")</f>
        <v/>
      </c>
      <c r="AR35" s="6">
        <f>PI()/4*AF35^2*$O$12/$AX$16</f>
        <v>0</v>
      </c>
      <c r="AS35" s="28" t="str">
        <f>IF(AI35=0,"","+")</f>
        <v/>
      </c>
      <c r="AT35" s="6">
        <f>PI()/4*AI35^2*$O$12/$AX$16</f>
        <v>0</v>
      </c>
      <c r="AU35" s="28" t="s">
        <v>24</v>
      </c>
      <c r="AV35" s="15">
        <f>VALUE(AJ35)+VALUE(AL35)+VALUE(AN35)+VALUE(AP35)+VALUE(AR35)+VALUE(AT35)</f>
        <v>5361.6514621265796</v>
      </c>
      <c r="AW35" s="228">
        <f>MAX(0.3*$AJ$14^(2/3)/$AJ$16*0.26*100,0.13)</f>
        <v>0.15723814702688016</v>
      </c>
      <c r="AX35" s="6">
        <f>AW35/100*$O$12*BK35</f>
        <v>1416.7157047121905</v>
      </c>
      <c r="AY35" s="6"/>
      <c r="AZ35" s="6"/>
      <c r="BA35" s="24" t="str">
        <f>IF(BB35=0,"","+")</f>
        <v/>
      </c>
      <c r="BB35" s="24"/>
      <c r="BC35" s="28" t="s">
        <v>24</v>
      </c>
      <c r="BD35" s="15">
        <f>AX35+AZ35+BB35</f>
        <v>1416.7157047121905</v>
      </c>
      <c r="BE35" s="2">
        <f>(R35-($AX$14+$O$16+T35/2))</f>
        <v>901</v>
      </c>
      <c r="BF35" s="3">
        <f>IF(W35=0,0,(R35-($AX$14+T35/2+$O$16+$BI$16)))</f>
        <v>0</v>
      </c>
      <c r="BG35" s="3">
        <f>IF(Z35=0,0,(R35-($AX$14+T35/2+$BI$16+$O$16+$BI$17)))</f>
        <v>0</v>
      </c>
      <c r="BH35" s="3">
        <f>IF(AC35=0,0,(R35-($AX$14+T35/2+$O$16+$BI$16+$BI$17+$BI$18)))</f>
        <v>0</v>
      </c>
      <c r="BI35" s="3">
        <f>IF(AF35=0,0,(R35-($AX$14+T35/2+$O$16+$BI$16+$BI$17+$BI$18+$BL$16)))</f>
        <v>0</v>
      </c>
      <c r="BJ35" s="3">
        <f>IF(AI35=0,0,(R35-($AX$14+T35/2+$O$16+$BI$16+$BI$17+$BI$18+$BL$16+$BL$17)))</f>
        <v>0</v>
      </c>
      <c r="BK35" s="6">
        <f>(BE35*AJ35+BF35*AL35+BG35*AN35+BH35*AP35+BI35*AR35+BJ35*AT35)/AV35</f>
        <v>901.00000000000011</v>
      </c>
      <c r="BL35" s="175">
        <f>ABS(N35)*1000000/$O$12/BK35^2</f>
        <v>1.2429154435631389</v>
      </c>
      <c r="BM35" s="175">
        <f>BL35/$AJ$14</f>
        <v>3.884110761134809E-2</v>
      </c>
      <c r="BN35" s="21">
        <f>IF(BM35&lt;0.167,0.5+SQRT(0.25-(BM35/1.134)),0.82)</f>
        <v>0.96448744046885548</v>
      </c>
      <c r="BO35" s="15">
        <f>ABS(N35)/(0.87*$AJ$16*BN35*BK35)*10^6</f>
        <v>2669.1964689651068</v>
      </c>
      <c r="BP35" s="22">
        <v>412.17308410457179</v>
      </c>
      <c r="BQ35" s="175">
        <f>IF(Q35=0,2*ABS(P35*10^6)/$O$12/BP35/(BK35-BP35/3),Q35*BP35*1000/($O$12/2*BP35^2-(BE35-BP35)*AJ35*$AJ$18-(BF35-BP35)*AL35*$AJ$18-(BG35-BP35)*AN35*$AJ$18-(BH35-BP35)*AP35*$AJ$18-(BI35-BP35)*AR35*$AJ$18-(BJ35-BP35)*AT35*$AJ$18))</f>
        <v>6.3522761170627122</v>
      </c>
      <c r="BR35" s="3">
        <f>0.5*$O$12*BP35*BQ35 /1000</f>
        <v>1309.1186191267759</v>
      </c>
      <c r="BS35" s="3">
        <f>($BQ35/$BP35)*(BE35-$BP35)*$AJ$18*AJ35/1000</f>
        <v>654.11861912677614</v>
      </c>
      <c r="BT35" s="3">
        <f>($BQ35/$BP35)*(BF35-$BP35)*$AJ$18*AL35/1000</f>
        <v>0</v>
      </c>
      <c r="BU35" s="3">
        <f>($BQ35/$BP35)*(BG35-$BP35)*$AJ$18*AN35/1000</f>
        <v>0</v>
      </c>
      <c r="BV35" s="3">
        <f>($BQ35/$BP35)*(BH35-$BP35)*$AJ$18*AP35/1000</f>
        <v>0</v>
      </c>
      <c r="BW35" s="3">
        <f>($BQ35/$BP35)*(BI35-$BP35)*$AJ$18*AR35/1000</f>
        <v>0</v>
      </c>
      <c r="BX35" s="3">
        <f>($BQ35/$BP35)*(BJ35-$BP35)*$AJ$18*AT35/1000</f>
        <v>0</v>
      </c>
      <c r="BY35" s="175">
        <f>IF(Q35=0,0,(0.5*$O$12*BP35*BQ35/1000*(R35/2-$BP35/3)+BS35*(BE35-R35/2)+BT35*(BF35-R35/2)+BU35*(BG35-R35/2)+BV35*(BH35-R35/2)+BW35*(BI35-R35/2)+BX35*(BJ35-R35/2))/1000-ABS(P35))</f>
        <v>-2.7706817536454764E-4</v>
      </c>
      <c r="BZ35" s="10"/>
      <c r="CA35" s="176">
        <f>ABS(P35)/(BK35-BP35/3)/AV35*10^6-Q35*(R35/2-BP35/3)/(BK35-BP35/3)/AV35*1000</f>
        <v>121.99953439489738</v>
      </c>
      <c r="CB35" s="177">
        <f>(AV35/($O$12*MIN(2.5*(R35-BK35),(R35-BP35)/3,R35/2)-AV35))</f>
        <v>2.8133240988513969E-2</v>
      </c>
      <c r="CC35" s="177">
        <f>3.4*($O$16+$AX$14)+0.425*0.8*0.5*(T35^2+W35^2+Z35^2+AC35^2+AF35^2+AI35^2)/(T35+W35+Z35+AC35+AF35+AI35)/CB35</f>
        <v>475.56556361284515</v>
      </c>
      <c r="CD35" s="177">
        <f>MAX(0.6*CA35/$AJ$17,(CA35-0.4*0.3*$AJ$14^(2/3)/CB35*(1+$AJ$17/$AJ$15*CB35))/$AJ$17)</f>
        <v>0.36599860318469213</v>
      </c>
      <c r="CE35" s="178">
        <f>CC35*CD35/1000</f>
        <v>0.17405633200504217</v>
      </c>
      <c r="CF35" s="23" t="str">
        <f>IF(AND(AV35&gt;=BD35,AV35&gt;=BO35,CE35&lt;=(+IF(CO35="External",0.25,0.3))),"O.K", "Not O.K")</f>
        <v>O.K</v>
      </c>
      <c r="CG35" s="28"/>
      <c r="CH35" s="179" t="str">
        <f>IF(O35&lt;0.2*$AJ$14*R35*$O$12/1000,"N &lt; 0.2fckAc - OK!","TBA")</f>
        <v>N &lt; 0.2fckAc - OK!</v>
      </c>
      <c r="CI35" s="24">
        <v>53</v>
      </c>
      <c r="CJ35" s="25"/>
      <c r="CK35" s="6">
        <f t="shared" si="10"/>
        <v>104</v>
      </c>
      <c r="CL35" s="8" t="s">
        <v>72</v>
      </c>
      <c r="CM35" s="6">
        <f t="shared" si="11"/>
        <v>204</v>
      </c>
      <c r="CN35" s="26" t="s">
        <v>147</v>
      </c>
      <c r="CO35" s="27" t="s">
        <v>105</v>
      </c>
      <c r="CP35" s="2">
        <v>1009</v>
      </c>
      <c r="CQ35" s="15">
        <v>729</v>
      </c>
      <c r="CR35" s="3">
        <v>737</v>
      </c>
      <c r="CS35" s="3">
        <v>655</v>
      </c>
      <c r="CT35" s="20">
        <v>1000</v>
      </c>
      <c r="CU35" s="2">
        <v>104</v>
      </c>
      <c r="CV35" s="15">
        <v>204</v>
      </c>
      <c r="CW35" s="6"/>
      <c r="CX35" s="278">
        <f>CI35</f>
        <v>53</v>
      </c>
      <c r="CY35" s="6">
        <f t="shared" ref="CY35:DD35" si="17">MAX(DN35:DN38)</f>
        <v>32</v>
      </c>
      <c r="CZ35" s="6">
        <f t="shared" si="17"/>
        <v>0</v>
      </c>
      <c r="DA35" s="6">
        <f t="shared" si="17"/>
        <v>0</v>
      </c>
      <c r="DB35" s="6">
        <f t="shared" si="17"/>
        <v>0</v>
      </c>
      <c r="DC35" s="6">
        <f t="shared" si="17"/>
        <v>0</v>
      </c>
      <c r="DD35" s="6">
        <f t="shared" si="17"/>
        <v>0</v>
      </c>
      <c r="DE35" s="6"/>
      <c r="DF35" s="6">
        <f t="shared" ref="DF35:DK35" si="18">MAX(DU35:DU38)</f>
        <v>20</v>
      </c>
      <c r="DG35" s="6">
        <f t="shared" si="18"/>
        <v>0</v>
      </c>
      <c r="DH35" s="6">
        <f t="shared" si="18"/>
        <v>0</v>
      </c>
      <c r="DI35" s="6">
        <f t="shared" si="18"/>
        <v>0</v>
      </c>
      <c r="DJ35" s="6">
        <f t="shared" si="18"/>
        <v>0</v>
      </c>
      <c r="DK35" s="6">
        <f t="shared" si="18"/>
        <v>0</v>
      </c>
      <c r="DL35" s="13"/>
      <c r="DM35" s="202">
        <f>CI35</f>
        <v>53</v>
      </c>
      <c r="DN35" s="206">
        <f>IF(CO35="external",T35,0)</f>
        <v>32</v>
      </c>
      <c r="DO35" s="206">
        <f>IF(CO35="external",W35,0)</f>
        <v>0</v>
      </c>
      <c r="DP35" s="206">
        <f>IF(CO35="external",Z35,0)</f>
        <v>0</v>
      </c>
      <c r="DQ35" s="206">
        <f>IF(CO35="external",AC35,0)</f>
        <v>0</v>
      </c>
      <c r="DR35" s="206">
        <f>IF(CO35="external",AF35,0)</f>
        <v>0</v>
      </c>
      <c r="DS35" s="207">
        <f>IF(CO35="external",AI35,0)</f>
        <v>0</v>
      </c>
      <c r="DT35" s="208"/>
      <c r="DU35" s="207">
        <f>IF(CO35="internal",T35,0)</f>
        <v>0</v>
      </c>
      <c r="DV35" s="207">
        <f>IF(CO35="internal",W35,0)</f>
        <v>0</v>
      </c>
      <c r="DW35" s="207">
        <f>IF(CO35="internal",Z35,0)</f>
        <v>0</v>
      </c>
      <c r="DX35" s="207">
        <f>IF(CO35="internal",AC35,0)</f>
        <v>0</v>
      </c>
      <c r="DY35" s="207">
        <f>IF(CO35="internal",AF35,0)</f>
        <v>0</v>
      </c>
      <c r="DZ35" s="207">
        <f>IF(CO35="internal",AI35,0)</f>
        <v>0</v>
      </c>
    </row>
    <row r="36" spans="1:131" s="7" customFormat="1" x14ac:dyDescent="0.3">
      <c r="B36" s="19">
        <f>+CI36</f>
        <v>0</v>
      </c>
      <c r="C36" s="6">
        <f t="shared" si="14"/>
        <v>0</v>
      </c>
      <c r="D36" s="6">
        <f t="shared" si="14"/>
        <v>103</v>
      </c>
      <c r="E36" s="6" t="str">
        <f t="shared" si="14"/>
        <v>--</v>
      </c>
      <c r="F36" s="6">
        <f>+CM36</f>
        <v>203</v>
      </c>
      <c r="G36" s="174" t="str">
        <f t="shared" si="15"/>
        <v>Min Mz</v>
      </c>
      <c r="H36" s="6" t="str">
        <f t="shared" si="15"/>
        <v>Internal</v>
      </c>
      <c r="I36" s="156"/>
      <c r="J36" s="10">
        <f t="shared" si="16"/>
        <v>-293</v>
      </c>
      <c r="K36" s="10">
        <f t="shared" si="16"/>
        <v>1473</v>
      </c>
      <c r="L36" s="10">
        <f t="shared" si="16"/>
        <v>-215</v>
      </c>
      <c r="M36" s="10">
        <f t="shared" si="16"/>
        <v>1071</v>
      </c>
      <c r="N36" s="10">
        <f>IF(I36*J36&gt;=0,J36*$J$19+I36*$J$18,J36)</f>
        <v>-293</v>
      </c>
      <c r="O36" s="10">
        <f>(K36)*$J$19</f>
        <v>1473</v>
      </c>
      <c r="P36" s="14">
        <f>IF(I36*L36&gt;=0,(L36)+I36,L36)</f>
        <v>-215</v>
      </c>
      <c r="Q36" s="3">
        <f>(M36)</f>
        <v>1071</v>
      </c>
      <c r="R36" s="20">
        <f t="shared" ref="R36:R43" si="19">CT36</f>
        <v>1000</v>
      </c>
      <c r="S36" s="23"/>
      <c r="T36" s="12">
        <v>20</v>
      </c>
      <c r="U36" s="28"/>
      <c r="V36" s="28"/>
      <c r="W36" s="12"/>
      <c r="X36" s="28"/>
      <c r="Y36" s="28"/>
      <c r="Z36" s="12"/>
      <c r="AA36" s="28"/>
      <c r="AB36" s="28"/>
      <c r="AC36" s="158"/>
      <c r="AD36" s="28"/>
      <c r="AE36" s="28"/>
      <c r="AF36" s="158"/>
      <c r="AG36" s="28"/>
      <c r="AH36" s="28"/>
      <c r="AI36" s="29"/>
      <c r="AJ36" s="6">
        <f>PI()/4*T36^2*$O$12/$AX$16</f>
        <v>2094.3951023931954</v>
      </c>
      <c r="AK36" s="28" t="str">
        <f>IF(W36=0,"","+")</f>
        <v/>
      </c>
      <c r="AL36" s="6">
        <f>PI()/4*W36^2*$O$12/$AX$16</f>
        <v>0</v>
      </c>
      <c r="AM36" s="28" t="str">
        <f>IF(Z36=0,"","+")</f>
        <v/>
      </c>
      <c r="AN36" s="6">
        <f>PI()/4*Z36^2*$O$12/$AX$16</f>
        <v>0</v>
      </c>
      <c r="AO36" s="28" t="str">
        <f>IF(AC36=0,"","+")</f>
        <v/>
      </c>
      <c r="AP36" s="6">
        <f>PI()/4*AC36^2*$O$12/$AX$16</f>
        <v>0</v>
      </c>
      <c r="AQ36" s="28" t="str">
        <f>IF(AF36=0,"","+")</f>
        <v/>
      </c>
      <c r="AR36" s="6">
        <f>PI()/4*AF36^2*$O$12/$AX$16</f>
        <v>0</v>
      </c>
      <c r="AS36" s="28" t="str">
        <f>IF(AI36=0,"","+")</f>
        <v/>
      </c>
      <c r="AT36" s="6">
        <f>PI()/4*AI36^2*$O$12/$AX$16</f>
        <v>0</v>
      </c>
      <c r="AU36" s="28" t="s">
        <v>24</v>
      </c>
      <c r="AV36" s="15">
        <f>VALUE(AJ36)+VALUE(AL36)+VALUE(AN36)+VALUE(AP36)+VALUE(AR36)+VALUE(AT36)</f>
        <v>2094.3951023931954</v>
      </c>
      <c r="AW36" s="228">
        <f>MAX(0.3*$AJ$14^(2/3)/$AJ$16*0.26*100,0.13)</f>
        <v>0.15723814702688016</v>
      </c>
      <c r="AX36" s="6">
        <f>AW36/100*$O$12*BK36</f>
        <v>1426.1499935338031</v>
      </c>
      <c r="AY36" s="6"/>
      <c r="AZ36" s="6"/>
      <c r="BA36" s="24" t="str">
        <f>IF(BB36=0,"","+")</f>
        <v/>
      </c>
      <c r="BB36" s="24"/>
      <c r="BC36" s="28" t="s">
        <v>24</v>
      </c>
      <c r="BD36" s="15">
        <f>AX36+AZ36+BB36</f>
        <v>1426.1499935338031</v>
      </c>
      <c r="BE36" s="2">
        <f>(R36-($AX$14+$O$16+T36/2))</f>
        <v>907</v>
      </c>
      <c r="BF36" s="3">
        <f>IF(W36=0,0,(R36-($AX$14+T36/2+$O$16+$BI$16)))</f>
        <v>0</v>
      </c>
      <c r="BG36" s="3">
        <f>IF(Z36=0,0,(R36-($AX$14+T36/2+$BI$16+$O$16+$BI$17)))</f>
        <v>0</v>
      </c>
      <c r="BH36" s="3">
        <f>IF(AC36=0,0,(R36-($AX$14+T36/2+$O$16+$BI$16+$BI$17+$BI$18)))</f>
        <v>0</v>
      </c>
      <c r="BI36" s="3">
        <f>IF(AF36=0,0,(R36-($AX$14+T36/2+$O$16+$BI$16+$BI$17+$BI$18+$BL$16)))</f>
        <v>0</v>
      </c>
      <c r="BJ36" s="3">
        <f>IF(AI36=0,0,(R36-($AX$14+T36/2+$O$16+$BI$16+$BI$17+$BI$18+$BL$16+$BL$17)))</f>
        <v>0</v>
      </c>
      <c r="BK36" s="6">
        <f>(BE36*AJ36+BF36*AL36+BG36*AN36+BH36*AP36+BI36*AR36+BJ36*AT36)/AV36</f>
        <v>907</v>
      </c>
      <c r="BL36" s="175">
        <f>ABS(N36)*1000000/$O$12/BK36^2</f>
        <v>0.35616648169510934</v>
      </c>
      <c r="BM36" s="175">
        <f>BL36/$AJ$14</f>
        <v>1.1130202552972167E-2</v>
      </c>
      <c r="BN36" s="21">
        <f>IF(BM36&lt;0.167,0.5+SQRT(0.25-(BM36/1.134)),0.82)</f>
        <v>0.99008673371867961</v>
      </c>
      <c r="BO36" s="15">
        <f>ABS(N36)/(0.87*$AJ$16*BN36*BK36)*10^6</f>
        <v>750.06315950026612</v>
      </c>
      <c r="BP36" s="22">
        <v>898.98371150017726</v>
      </c>
      <c r="BQ36" s="175">
        <f>IF(Q36=0,2*ABS(P36*10^6)/$O$12/BP36/(BK36-BP36/3),Q36*BP36*1000/($O$12/2*BP36^2-(BE36-BP36)*AJ36*$AJ$18-(BF36-BP36)*AL36*$AJ$18-(BG36-BP36)*AN36*$AJ$18-(BH36-BP36)*AP36*$AJ$18-(BI36-BP36)*AR36*$AJ$18-(BJ36-BP36)*AT36*$AJ$18))</f>
        <v>2.3842948040499259</v>
      </c>
      <c r="BR36" s="3">
        <f>0.5*$O$12*BP36*BQ36 /1000</f>
        <v>1071.7210961276951</v>
      </c>
      <c r="BS36" s="3">
        <f>($BQ36/$BP36)*(BE36-$BP36)*$AJ$18*AJ36/1000</f>
        <v>0.72109612769511822</v>
      </c>
      <c r="BT36" s="3">
        <f>($BQ36/$BP36)*(BF36-$BP36)*$AJ$18*AL36/1000</f>
        <v>0</v>
      </c>
      <c r="BU36" s="3">
        <f>($BQ36/$BP36)*(BG36-$BP36)*$AJ$18*AN36/1000</f>
        <v>0</v>
      </c>
      <c r="BV36" s="3">
        <f>($BQ36/$BP36)*(BH36-$BP36)*$AJ$18*AP36/1000</f>
        <v>0</v>
      </c>
      <c r="BW36" s="3">
        <f>($BQ36/$BP36)*(BI36-$BP36)*$AJ$18*AR36/1000</f>
        <v>0</v>
      </c>
      <c r="BX36" s="3">
        <f>($BQ36/$BP36)*(BJ36-$BP36)*$AJ$18*AT36/1000</f>
        <v>0</v>
      </c>
      <c r="BY36" s="175">
        <f>IF(Q36=0,0,(0.5*$O$12*BP36*BQ36/1000*(R36/2-$BP36/3)+BS36*(BE36-R36/2)+BT36*(BF36-R36/2)+BU36*(BG36-R36/2)+BV36*(BH36-R36/2)+BW36*(BI36-R36/2)+BX36*(BJ36-R36/2))/1000-ABS(P36))</f>
        <v>7.6462451491465799E-4</v>
      </c>
      <c r="BZ36" s="10"/>
      <c r="CA36" s="176">
        <f>ABS(P36)/(BK36-BP36/3)/AV36*10^6-Q36*(R36/2-BP36/3)/(BK36-BP36/3)/AV36*1000</f>
        <v>0.3436969230637601</v>
      </c>
      <c r="CB36" s="177">
        <f>(AV36/($O$12*MIN(2.5*(R36-BK36),(R36-BP36)/3,R36/2)-AV36))</f>
        <v>6.6325129183222295E-2</v>
      </c>
      <c r="CC36" s="177">
        <f>3.4*($O$16+$AX$14)+0.425*0.8*0.5*(T36^2+W36^2+Z36^2+AC36^2+AF36^2+AI36^2)/(T36+W36+Z36+AC36+AF36+AI36)/CB36</f>
        <v>333.46262160164883</v>
      </c>
      <c r="CD36" s="177">
        <f>MAX(0.6*CA36/$AJ$17,(CA36-0.4*0.3*$AJ$14^(2/3)/CB36*(1+$AJ$17/$AJ$15*CB36))/$AJ$17)</f>
        <v>1.0310907691912802E-3</v>
      </c>
      <c r="CE36" s="178">
        <f>CC36*CD36/1000</f>
        <v>3.4383023100378489E-4</v>
      </c>
      <c r="CF36" s="23" t="str">
        <f>IF(AND(AV36&gt;=BD36,AV36&gt;=BO36,CE36&lt;=(+IF(CO36="External",0.25,0.3))),"O.K", "Not O.K")</f>
        <v>O.K</v>
      </c>
      <c r="CG36" s="28"/>
      <c r="CH36" s="179" t="str">
        <f>IF(O36&lt;0.2*$AJ$14*R36*$O$12/1000,"N &lt; 0.2fckAc - OK!","TBA")</f>
        <v>N &lt; 0.2fckAc - OK!</v>
      </c>
      <c r="CI36" s="24"/>
      <c r="CJ36" s="25"/>
      <c r="CK36" s="6">
        <f t="shared" si="10"/>
        <v>103</v>
      </c>
      <c r="CL36" s="8" t="s">
        <v>72</v>
      </c>
      <c r="CM36" s="6">
        <f t="shared" si="11"/>
        <v>203</v>
      </c>
      <c r="CN36" s="26" t="s">
        <v>148</v>
      </c>
      <c r="CO36" s="27" t="s">
        <v>106</v>
      </c>
      <c r="CP36" s="2">
        <v>-293</v>
      </c>
      <c r="CQ36" s="15">
        <v>1473</v>
      </c>
      <c r="CR36" s="3">
        <v>-215</v>
      </c>
      <c r="CS36" s="15">
        <v>1071</v>
      </c>
      <c r="CT36" s="20">
        <v>1000</v>
      </c>
      <c r="CU36" s="2">
        <v>103</v>
      </c>
      <c r="CV36" s="15">
        <v>203</v>
      </c>
      <c r="CW36" s="6"/>
      <c r="CX36" s="278"/>
      <c r="CY36" s="6"/>
      <c r="CZ36" s="6"/>
      <c r="DA36" s="6"/>
      <c r="DB36" s="6"/>
      <c r="DC36" s="6"/>
      <c r="DD36" s="6"/>
      <c r="DE36" s="6"/>
      <c r="DF36" s="6"/>
      <c r="DG36" s="6"/>
      <c r="DH36" s="6"/>
      <c r="DI36" s="6"/>
      <c r="DJ36" s="212"/>
      <c r="DK36" s="13"/>
      <c r="DL36" s="13"/>
      <c r="DM36" s="202"/>
      <c r="DN36" s="206">
        <f>IF(CO36="external",T36,0)</f>
        <v>0</v>
      </c>
      <c r="DO36" s="206">
        <f>IF(CO36="external",W36,0)</f>
        <v>0</v>
      </c>
      <c r="DP36" s="206">
        <f>IF(CO36="external",Z36,0)</f>
        <v>0</v>
      </c>
      <c r="DQ36" s="206">
        <f>IF(CO36="external",AC36,0)</f>
        <v>0</v>
      </c>
      <c r="DR36" s="206">
        <f>IF(CO36="external",AF36,0)</f>
        <v>0</v>
      </c>
      <c r="DS36" s="207">
        <f>IF(CO36="external",AI36,0)</f>
        <v>0</v>
      </c>
      <c r="DT36" s="208"/>
      <c r="DU36" s="207">
        <f>IF(CO36="internal",T36,0)</f>
        <v>20</v>
      </c>
      <c r="DV36" s="207">
        <f>IF(CO36="internal",W36,0)</f>
        <v>0</v>
      </c>
      <c r="DW36" s="207">
        <f>IF(CO36="internal",Z36,0)</f>
        <v>0</v>
      </c>
      <c r="DX36" s="207">
        <f>IF(CO36="internal",AC36,0)</f>
        <v>0</v>
      </c>
      <c r="DY36" s="207">
        <f>IF(CO36="internal",AF36,0)</f>
        <v>0</v>
      </c>
      <c r="DZ36" s="207">
        <f>IF(CO36="internal",AI36,0)</f>
        <v>0</v>
      </c>
    </row>
    <row r="37" spans="1:131" s="7" customFormat="1" x14ac:dyDescent="0.3">
      <c r="B37" s="19">
        <f>+CI37</f>
        <v>0</v>
      </c>
      <c r="C37" s="6">
        <f t="shared" si="14"/>
        <v>0</v>
      </c>
      <c r="D37" s="6">
        <f t="shared" si="14"/>
        <v>103</v>
      </c>
      <c r="E37" s="6" t="str">
        <f t="shared" si="14"/>
        <v>--</v>
      </c>
      <c r="F37" s="6">
        <f>+CM37</f>
        <v>203</v>
      </c>
      <c r="G37" s="174" t="str">
        <f t="shared" si="15"/>
        <v>Max Fx</v>
      </c>
      <c r="H37" s="6" t="str">
        <f t="shared" si="15"/>
        <v>External</v>
      </c>
      <c r="I37" s="156"/>
      <c r="J37" s="10">
        <f t="shared" si="16"/>
        <v>691</v>
      </c>
      <c r="K37" s="10">
        <f t="shared" si="16"/>
        <v>1473</v>
      </c>
      <c r="L37" s="10">
        <f t="shared" si="16"/>
        <v>497</v>
      </c>
      <c r="M37" s="10">
        <f t="shared" si="16"/>
        <v>1071</v>
      </c>
      <c r="N37" s="10">
        <f>IF(I37*J37&gt;=0,J37*$J$19+I37*$J$18,J37)</f>
        <v>691</v>
      </c>
      <c r="O37" s="10">
        <f>(K37)*$J$19</f>
        <v>1473</v>
      </c>
      <c r="P37" s="14">
        <f>IF(I37*L37&gt;=0,(L37)+I37,L37)</f>
        <v>497</v>
      </c>
      <c r="Q37" s="3">
        <f>(M37)</f>
        <v>1071</v>
      </c>
      <c r="R37" s="20">
        <f t="shared" si="19"/>
        <v>1000</v>
      </c>
      <c r="S37" s="23"/>
      <c r="T37" s="12">
        <v>20</v>
      </c>
      <c r="U37" s="28"/>
      <c r="V37" s="28"/>
      <c r="W37" s="12"/>
      <c r="X37" s="28"/>
      <c r="Y37" s="28"/>
      <c r="Z37" s="12"/>
      <c r="AA37" s="28"/>
      <c r="AB37" s="28"/>
      <c r="AC37" s="158"/>
      <c r="AD37" s="28"/>
      <c r="AE37" s="28"/>
      <c r="AF37" s="158"/>
      <c r="AG37" s="28"/>
      <c r="AH37" s="28"/>
      <c r="AI37" s="29"/>
      <c r="AJ37" s="6">
        <f>PI()/4*T37^2*$O$12/$AX$16</f>
        <v>2094.3951023931954</v>
      </c>
      <c r="AK37" s="28" t="str">
        <f>IF(W37=0,"","+")</f>
        <v/>
      </c>
      <c r="AL37" s="6">
        <f>PI()/4*W37^2*$O$12/$AX$16</f>
        <v>0</v>
      </c>
      <c r="AM37" s="28" t="str">
        <f>IF(Z37=0,"","+")</f>
        <v/>
      </c>
      <c r="AN37" s="6">
        <f>PI()/4*Z37^2*$O$12/$AX$16</f>
        <v>0</v>
      </c>
      <c r="AO37" s="28" t="str">
        <f>IF(AC37=0,"","+")</f>
        <v/>
      </c>
      <c r="AP37" s="6">
        <f>PI()/4*AC37^2*$O$12/$AX$16</f>
        <v>0</v>
      </c>
      <c r="AQ37" s="28" t="str">
        <f>IF(AF37=0,"","+")</f>
        <v/>
      </c>
      <c r="AR37" s="6">
        <f>PI()/4*AF37^2*$O$12/$AX$16</f>
        <v>0</v>
      </c>
      <c r="AS37" s="28" t="str">
        <f>IF(AI37=0,"","+")</f>
        <v/>
      </c>
      <c r="AT37" s="6">
        <f>PI()/4*AI37^2*$O$12/$AX$16</f>
        <v>0</v>
      </c>
      <c r="AU37" s="28" t="s">
        <v>24</v>
      </c>
      <c r="AV37" s="15">
        <f>VALUE(AJ37)+VALUE(AL37)+VALUE(AN37)+VALUE(AP37)+VALUE(AR37)+VALUE(AT37)</f>
        <v>2094.3951023931954</v>
      </c>
      <c r="AW37" s="228">
        <f>MAX(0.3*$AJ$14^(2/3)/$AJ$16*0.26*100,0.13)</f>
        <v>0.15723814702688016</v>
      </c>
      <c r="AX37" s="6">
        <f>AW37/100*$O$12*BK37</f>
        <v>1426.1499935338031</v>
      </c>
      <c r="AY37" s="6"/>
      <c r="AZ37" s="6"/>
      <c r="BA37" s="24" t="str">
        <f>IF(BB37=0,"","+")</f>
        <v/>
      </c>
      <c r="BB37" s="24"/>
      <c r="BC37" s="28" t="s">
        <v>24</v>
      </c>
      <c r="BD37" s="15">
        <f>AX37+AZ37+BB37</f>
        <v>1426.1499935338031</v>
      </c>
      <c r="BE37" s="2">
        <f>(R37-($AX$14+$O$16+T37/2))</f>
        <v>907</v>
      </c>
      <c r="BF37" s="3">
        <f>IF(W37=0,0,(R37-($AX$14+T37/2+$O$16+$BI$16)))</f>
        <v>0</v>
      </c>
      <c r="BG37" s="3">
        <f>IF(Z37=0,0,(R37-($AX$14+T37/2+$BI$16+$O$16+$BI$17)))</f>
        <v>0</v>
      </c>
      <c r="BH37" s="3">
        <f>IF(AC37=0,0,(R37-($AX$14+T37/2+$O$16+$BI$16+$BI$17+$BI$18)))</f>
        <v>0</v>
      </c>
      <c r="BI37" s="3">
        <f>IF(AF37=0,0,(R37-($AX$14+T37/2+$O$16+$BI$16+$BI$17+$BI$18+$BL$16)))</f>
        <v>0</v>
      </c>
      <c r="BJ37" s="3">
        <f>IF(AI37=0,0,(R37-($AX$14+T37/2+$O$16+$BI$16+$BI$17+$BI$18+$BL$16+$BL$17)))</f>
        <v>0</v>
      </c>
      <c r="BK37" s="6">
        <f>(BE37*AJ37+BF37*AL37+BG37*AN37+BH37*AP37+BI37*AR37+BJ37*AT37)/AV37</f>
        <v>907</v>
      </c>
      <c r="BL37" s="175">
        <f>ABS(N37)*1000000/$O$12/BK37^2</f>
        <v>0.83996941587481422</v>
      </c>
      <c r="BM37" s="175">
        <f>BL37/$AJ$14</f>
        <v>2.6249044246087944E-2</v>
      </c>
      <c r="BN37" s="21">
        <f>IF(BM37&lt;0.167,0.5+SQRT(0.25-(BM37/1.134)),0.82)</f>
        <v>0.97629055698003586</v>
      </c>
      <c r="BO37" s="15">
        <f>ABS(N37)/(0.87*$AJ$16*BN37*BK37)*10^6</f>
        <v>1793.9172858753384</v>
      </c>
      <c r="BP37" s="22">
        <v>466.54204015421385</v>
      </c>
      <c r="BQ37" s="175">
        <f>IF(Q37=0,2*ABS(P37*10^6)/$O$12/BP37/(BK37-BP37/3),Q37*BP37*1000/($O$12/2*BP37^2-(BE37-BP37)*AJ37*$AJ$18-(BF37-BP37)*AL37*$AJ$18-(BG37-BP37)*AN37*$AJ$18-(BH37-BP37)*AP37*$AJ$18-(BI37-BP37)*AR37*$AJ$18-(BJ37-BP37)*AT37*$AJ$18))</f>
        <v>5.321720045124823</v>
      </c>
      <c r="BR37" s="3">
        <f>0.5*$O$12*BP37*BQ37 /1000</f>
        <v>1241.403063491055</v>
      </c>
      <c r="BS37" s="3">
        <f>($BQ37/$BP37)*(BE37-$BP37)*$AJ$18*AJ37/1000</f>
        <v>170.40306349105504</v>
      </c>
      <c r="BT37" s="3">
        <f>($BQ37/$BP37)*(BF37-$BP37)*$AJ$18*AL37/1000</f>
        <v>0</v>
      </c>
      <c r="BU37" s="3">
        <f>($BQ37/$BP37)*(BG37-$BP37)*$AJ$18*AN37/1000</f>
        <v>0</v>
      </c>
      <c r="BV37" s="3">
        <f>($BQ37/$BP37)*(BH37-$BP37)*$AJ$18*AP37/1000</f>
        <v>0</v>
      </c>
      <c r="BW37" s="3">
        <f>($BQ37/$BP37)*(BI37-$BP37)*$AJ$18*AR37/1000</f>
        <v>0</v>
      </c>
      <c r="BX37" s="3">
        <f>($BQ37/$BP37)*(BJ37-$BP37)*$AJ$18*AT37/1000</f>
        <v>0</v>
      </c>
      <c r="BY37" s="175">
        <f>IF(Q37=0,0,(0.5*$O$12*BP37*BQ37/1000*(R37/2-$BP37/3)+BS37*(BE37-R37/2)+BT37*(BF37-R37/2)+BU37*(BG37-R37/2)+BV37*(BH37-R37/2)+BW37*(BI37-R37/2)+BX37*(BJ37-R37/2))/1000-ABS(P37))</f>
        <v>5.9547842852225585E-6</v>
      </c>
      <c r="BZ37" s="10"/>
      <c r="CA37" s="176">
        <f>ABS(P37)/(BK37-BP37/3)/AV37*10^6-Q37*(R37/2-BP37/3)/(BK37-BP37/3)/AV37*1000</f>
        <v>81.361465834373234</v>
      </c>
      <c r="CB37" s="177">
        <f>(AV37/($O$12*MIN(2.5*(R37-BK37),(R37-BP37)/3,R37/2)-AV37))</f>
        <v>1.191860007466926E-2</v>
      </c>
      <c r="CC37" s="177">
        <f>3.4*($O$16+$AX$14)+0.425*0.8*0.5*(T37^2+W37^2+Z37^2+AC37^2+AF37^2+AI37^2)/(T37+W37+Z37+AC37+AF37+AI37)/CB37</f>
        <v>567.46840221999389</v>
      </c>
      <c r="CD37" s="177">
        <f>MAX(0.6*CA37/$AJ$17,(CA37-0.4*0.3*$AJ$14^(2/3)/CB37*(1+$AJ$17/$AJ$15*CB37))/$AJ$17)</f>
        <v>0.24408439750311969</v>
      </c>
      <c r="CE37" s="178">
        <f>CC37*CD37/1000</f>
        <v>0.1385101830579252</v>
      </c>
      <c r="CF37" s="23" t="str">
        <f>IF(AND(AV37&gt;=BD37,AV37&gt;=BO37,CE37&lt;=(+IF(CO37="External",0.25,0.3))),"O.K", "Not O.K")</f>
        <v>O.K</v>
      </c>
      <c r="CG37" s="28"/>
      <c r="CH37" s="179" t="str">
        <f>IF(O37&lt;0.2*$AJ$14*R37*$O$12/1000,"N &lt; 0.2fckAc - OK!","TBA")</f>
        <v>N &lt; 0.2fckAc - OK!</v>
      </c>
      <c r="CI37" s="24"/>
      <c r="CJ37" s="25"/>
      <c r="CK37" s="6">
        <f t="shared" si="10"/>
        <v>103</v>
      </c>
      <c r="CL37" s="8" t="s">
        <v>72</v>
      </c>
      <c r="CM37" s="6">
        <f t="shared" si="11"/>
        <v>203</v>
      </c>
      <c r="CN37" s="26" t="s">
        <v>145</v>
      </c>
      <c r="CO37" s="27" t="s">
        <v>105</v>
      </c>
      <c r="CP37" s="2">
        <v>691</v>
      </c>
      <c r="CQ37" s="15">
        <v>1473</v>
      </c>
      <c r="CR37" s="3">
        <v>497</v>
      </c>
      <c r="CS37" s="15">
        <v>1071</v>
      </c>
      <c r="CT37" s="20">
        <v>1000</v>
      </c>
      <c r="CU37" s="2">
        <v>103</v>
      </c>
      <c r="CV37" s="15">
        <v>203</v>
      </c>
      <c r="CW37" s="6"/>
      <c r="CX37" s="278"/>
      <c r="CY37" s="6"/>
      <c r="CZ37" s="6"/>
      <c r="DA37" s="6"/>
      <c r="DB37" s="6"/>
      <c r="DC37" s="6"/>
      <c r="DD37" s="6"/>
      <c r="DE37" s="6"/>
      <c r="DF37" s="6"/>
      <c r="DG37" s="6"/>
      <c r="DH37" s="6"/>
      <c r="DI37" s="6"/>
      <c r="DJ37" s="212"/>
      <c r="DK37" s="13"/>
      <c r="DL37" s="13"/>
      <c r="DM37" s="202"/>
      <c r="DN37" s="206">
        <f>IF(CO37="external",T37,0)</f>
        <v>20</v>
      </c>
      <c r="DO37" s="206">
        <f>IF(CO37="external",W37,0)</f>
        <v>0</v>
      </c>
      <c r="DP37" s="206">
        <f>IF(CO37="external",Z37,0)</f>
        <v>0</v>
      </c>
      <c r="DQ37" s="206">
        <f>IF(CO37="external",AC37,0)</f>
        <v>0</v>
      </c>
      <c r="DR37" s="206">
        <f>IF(CO37="external",AF37,0)</f>
        <v>0</v>
      </c>
      <c r="DS37" s="207">
        <f>IF(CO37="external",AI37,0)</f>
        <v>0</v>
      </c>
      <c r="DT37" s="208"/>
      <c r="DU37" s="207">
        <f>IF(CO37="internal",T37,0)</f>
        <v>0</v>
      </c>
      <c r="DV37" s="207">
        <f>IF(CO37="internal",W37,0)</f>
        <v>0</v>
      </c>
      <c r="DW37" s="207">
        <f>IF(CO37="internal",Z37,0)</f>
        <v>0</v>
      </c>
      <c r="DX37" s="207">
        <f>IF(CO37="internal",AC37,0)</f>
        <v>0</v>
      </c>
      <c r="DY37" s="207">
        <f>IF(CO37="internal",AF37,0)</f>
        <v>0</v>
      </c>
      <c r="DZ37" s="207">
        <f>IF(CO37="internal",AI37,0)</f>
        <v>0</v>
      </c>
    </row>
    <row r="38" spans="1:131" s="7" customFormat="1" x14ac:dyDescent="0.3">
      <c r="B38" s="19">
        <f>+CI38</f>
        <v>0</v>
      </c>
      <c r="C38" s="6">
        <f t="shared" si="14"/>
        <v>0</v>
      </c>
      <c r="D38" s="6">
        <f t="shared" si="14"/>
        <v>104</v>
      </c>
      <c r="E38" s="6" t="str">
        <f t="shared" si="14"/>
        <v>--</v>
      </c>
      <c r="F38" s="6">
        <f>+CM38</f>
        <v>204</v>
      </c>
      <c r="G38" s="174" t="str">
        <f t="shared" si="15"/>
        <v>Min Fx</v>
      </c>
      <c r="H38" s="6" t="str">
        <f t="shared" si="15"/>
        <v>External</v>
      </c>
      <c r="I38" s="156"/>
      <c r="J38" s="10">
        <f t="shared" si="16"/>
        <v>1009</v>
      </c>
      <c r="K38" s="10">
        <f t="shared" si="16"/>
        <v>729</v>
      </c>
      <c r="L38" s="10">
        <f t="shared" si="16"/>
        <v>737</v>
      </c>
      <c r="M38" s="10">
        <f t="shared" si="16"/>
        <v>655</v>
      </c>
      <c r="N38" s="10">
        <f>IF(I38*J38&gt;=0,J38*$J$19+I38*$J$18,J38)</f>
        <v>1009</v>
      </c>
      <c r="O38" s="10">
        <f>(K38)*$J$19</f>
        <v>729</v>
      </c>
      <c r="P38" s="14">
        <f>IF(I38*L38&gt;=0,(L38)+I38,L38)</f>
        <v>737</v>
      </c>
      <c r="Q38" s="3">
        <f>(M38)</f>
        <v>655</v>
      </c>
      <c r="R38" s="20">
        <f t="shared" si="19"/>
        <v>1000</v>
      </c>
      <c r="S38" s="23"/>
      <c r="T38" s="12">
        <v>32</v>
      </c>
      <c r="U38" s="28"/>
      <c r="V38" s="28"/>
      <c r="W38" s="12"/>
      <c r="X38" s="28"/>
      <c r="Y38" s="28"/>
      <c r="Z38" s="12"/>
      <c r="AA38" s="28"/>
      <c r="AB38" s="28"/>
      <c r="AC38" s="158"/>
      <c r="AD38" s="28"/>
      <c r="AE38" s="28"/>
      <c r="AF38" s="158"/>
      <c r="AG38" s="28"/>
      <c r="AH38" s="28"/>
      <c r="AI38" s="29"/>
      <c r="AJ38" s="6">
        <f>PI()/4*T38^2*$O$12/$AX$16</f>
        <v>5361.6514621265796</v>
      </c>
      <c r="AK38" s="28" t="str">
        <f>IF(W38=0,"","+")</f>
        <v/>
      </c>
      <c r="AL38" s="6">
        <f>PI()/4*W38^2*$O$12/$AX$16</f>
        <v>0</v>
      </c>
      <c r="AM38" s="28" t="str">
        <f>IF(Z38=0,"","+")</f>
        <v/>
      </c>
      <c r="AN38" s="6">
        <f>PI()/4*Z38^2*$O$12/$AX$16</f>
        <v>0</v>
      </c>
      <c r="AO38" s="28" t="str">
        <f>IF(AC38=0,"","+")</f>
        <v/>
      </c>
      <c r="AP38" s="6">
        <f>PI()/4*AC38^2*$O$12/$AX$16</f>
        <v>0</v>
      </c>
      <c r="AQ38" s="28" t="str">
        <f>IF(AF38=0,"","+")</f>
        <v/>
      </c>
      <c r="AR38" s="6">
        <f>PI()/4*AF38^2*$O$12/$AX$16</f>
        <v>0</v>
      </c>
      <c r="AS38" s="28" t="str">
        <f>IF(AI38=0,"","+")</f>
        <v/>
      </c>
      <c r="AT38" s="6">
        <f>PI()/4*AI38^2*$O$12/$AX$16</f>
        <v>0</v>
      </c>
      <c r="AU38" s="28" t="s">
        <v>24</v>
      </c>
      <c r="AV38" s="15">
        <f>VALUE(AJ38)+VALUE(AL38)+VALUE(AN38)+VALUE(AP38)+VALUE(AR38)+VALUE(AT38)</f>
        <v>5361.6514621265796</v>
      </c>
      <c r="AW38" s="228">
        <f>MAX(0.3*$AJ$14^(2/3)/$AJ$16*0.26*100,0.13)</f>
        <v>0.15723814702688016</v>
      </c>
      <c r="AX38" s="6">
        <f>AW38/100*$O$12*BK38</f>
        <v>1416.7157047121905</v>
      </c>
      <c r="AY38" s="6"/>
      <c r="AZ38" s="6"/>
      <c r="BA38" s="24" t="str">
        <f>IF(BB38=0,"","+")</f>
        <v/>
      </c>
      <c r="BB38" s="24"/>
      <c r="BC38" s="28" t="s">
        <v>24</v>
      </c>
      <c r="BD38" s="15">
        <f>AX38+AZ38+BB38</f>
        <v>1416.7157047121905</v>
      </c>
      <c r="BE38" s="2">
        <f>(R38-($AX$14+$O$16+T38/2))</f>
        <v>901</v>
      </c>
      <c r="BF38" s="3">
        <f>IF(W38=0,0,(R38-($AX$14+T38/2+$O$16+$BI$16)))</f>
        <v>0</v>
      </c>
      <c r="BG38" s="3">
        <f>IF(Z38=0,0,(R38-($AX$14+T38/2+$BI$16+$O$16+$BI$17)))</f>
        <v>0</v>
      </c>
      <c r="BH38" s="3">
        <f>IF(AC38=0,0,(R38-($AX$14+T38/2+$O$16+$BI$16+$BI$17+$BI$18)))</f>
        <v>0</v>
      </c>
      <c r="BI38" s="3">
        <f>IF(AF38=0,0,(R38-($AX$14+T38/2+$O$16+$BI$16+$BI$17+$BI$18+$BL$16)))</f>
        <v>0</v>
      </c>
      <c r="BJ38" s="3">
        <f>IF(AI38=0,0,(R38-($AX$14+T38/2+$O$16+$BI$16+$BI$17+$BI$18+$BL$16+$BL$17)))</f>
        <v>0</v>
      </c>
      <c r="BK38" s="6">
        <f>(BE38*AJ38+BF38*AL38+BG38*AN38+BH38*AP38+BI38*AR38+BJ38*AT38)/AV38</f>
        <v>901.00000000000011</v>
      </c>
      <c r="BL38" s="175">
        <f>ABS(N38)*1000000/$O$12/BK38^2</f>
        <v>1.2429154435631389</v>
      </c>
      <c r="BM38" s="175">
        <f>BL38/$AJ$14</f>
        <v>3.884110761134809E-2</v>
      </c>
      <c r="BN38" s="21">
        <f>IF(BM38&lt;0.167,0.5+SQRT(0.25-(BM38/1.134)),0.82)</f>
        <v>0.96448744046885548</v>
      </c>
      <c r="BO38" s="15">
        <f>ABS(N38)/(0.87*$AJ$16*BN38*BK38)*10^6</f>
        <v>2669.1964689651068</v>
      </c>
      <c r="BP38" s="22">
        <v>412.17308410457179</v>
      </c>
      <c r="BQ38" s="175">
        <f>IF(Q38=0,2*ABS(P38*10^6)/$O$12/BP38/(BK38-BP38/3),Q38*BP38*1000/($O$12/2*BP38^2-(BE38-BP38)*AJ38*$AJ$18-(BF38-BP38)*AL38*$AJ$18-(BG38-BP38)*AN38*$AJ$18-(BH38-BP38)*AP38*$AJ$18-(BI38-BP38)*AR38*$AJ$18-(BJ38-BP38)*AT38*$AJ$18))</f>
        <v>6.3522761170627122</v>
      </c>
      <c r="BR38" s="3">
        <f>0.5*$O$12*BP38*BQ38 /1000</f>
        <v>1309.1186191267759</v>
      </c>
      <c r="BS38" s="3">
        <f>($BQ38/$BP38)*(BE38-$BP38)*$AJ$18*AJ38/1000</f>
        <v>654.11861912677614</v>
      </c>
      <c r="BT38" s="3">
        <f>($BQ38/$BP38)*(BF38-$BP38)*$AJ$18*AL38/1000</f>
        <v>0</v>
      </c>
      <c r="BU38" s="3">
        <f>($BQ38/$BP38)*(BG38-$BP38)*$AJ$18*AN38/1000</f>
        <v>0</v>
      </c>
      <c r="BV38" s="3">
        <f>($BQ38/$BP38)*(BH38-$BP38)*$AJ$18*AP38/1000</f>
        <v>0</v>
      </c>
      <c r="BW38" s="3">
        <f>($BQ38/$BP38)*(BI38-$BP38)*$AJ$18*AR38/1000</f>
        <v>0</v>
      </c>
      <c r="BX38" s="3">
        <f>($BQ38/$BP38)*(BJ38-$BP38)*$AJ$18*AT38/1000</f>
        <v>0</v>
      </c>
      <c r="BY38" s="175">
        <f>IF(Q38=0,0,(0.5*$O$12*BP38*BQ38/1000*(R38/2-$BP38/3)+BS38*(BE38-R38/2)+BT38*(BF38-R38/2)+BU38*(BG38-R38/2)+BV38*(BH38-R38/2)+BW38*(BI38-R38/2)+BX38*(BJ38-R38/2))/1000-ABS(P38))</f>
        <v>-2.7706817536454764E-4</v>
      </c>
      <c r="BZ38" s="10"/>
      <c r="CA38" s="176">
        <f>ABS(P38)/(BK38-BP38/3)/AV38*10^6-Q38*(R38/2-BP38/3)/(BK38-BP38/3)/AV38*1000</f>
        <v>121.99953439489738</v>
      </c>
      <c r="CB38" s="177">
        <f>(AV38/($O$12*MIN(2.5*(R38-BK38),(R38-BP38)/3,R38/2)-AV38))</f>
        <v>2.8133240988513969E-2</v>
      </c>
      <c r="CC38" s="177">
        <f>3.4*($O$16+$AX$14)+0.425*0.8*0.5*(T38^2+W38^2+Z38^2+AC38^2+AF38^2+AI38^2)/(T38+W38+Z38+AC38+AF38+AI38)/CB38</f>
        <v>475.56556361284515</v>
      </c>
      <c r="CD38" s="177">
        <f>MAX(0.6*CA38/$AJ$17,(CA38-0.4*0.3*$AJ$14^(2/3)/CB38*(1+$AJ$17/$AJ$15*CB38))/$AJ$17)</f>
        <v>0.36599860318469213</v>
      </c>
      <c r="CE38" s="178">
        <f>CC38*CD38/1000</f>
        <v>0.17405633200504217</v>
      </c>
      <c r="CF38" s="23" t="str">
        <f>IF(AND(AV38&gt;=BD38,AV38&gt;=BO38,CE38&lt;=(+IF(CO38="External",0.25,0.3))),"O.K", "Not O.K")</f>
        <v>O.K</v>
      </c>
      <c r="CG38" s="28"/>
      <c r="CH38" s="179" t="str">
        <f>IF(O38&lt;0.2*$AJ$14*R38*$O$12/1000,"N &lt; 0.2fckAc - OK!","TBA")</f>
        <v>N &lt; 0.2fckAc - OK!</v>
      </c>
      <c r="CI38" s="24"/>
      <c r="CJ38" s="25"/>
      <c r="CK38" s="6">
        <f t="shared" si="10"/>
        <v>104</v>
      </c>
      <c r="CL38" s="8" t="s">
        <v>72</v>
      </c>
      <c r="CM38" s="6">
        <f t="shared" si="11"/>
        <v>204</v>
      </c>
      <c r="CN38" s="26" t="s">
        <v>146</v>
      </c>
      <c r="CO38" s="27" t="s">
        <v>105</v>
      </c>
      <c r="CP38" s="2">
        <v>1009</v>
      </c>
      <c r="CQ38" s="15">
        <v>729</v>
      </c>
      <c r="CR38" s="3">
        <v>737</v>
      </c>
      <c r="CS38" s="15">
        <v>655</v>
      </c>
      <c r="CT38" s="20">
        <v>1000</v>
      </c>
      <c r="CU38" s="2">
        <v>104</v>
      </c>
      <c r="CV38" s="15">
        <v>204</v>
      </c>
      <c r="CW38" s="6"/>
      <c r="CX38" s="278"/>
      <c r="CY38" s="6"/>
      <c r="CZ38" s="6"/>
      <c r="DA38" s="6"/>
      <c r="DB38" s="6"/>
      <c r="DC38" s="6"/>
      <c r="DD38" s="6"/>
      <c r="DE38" s="6"/>
      <c r="DF38" s="6"/>
      <c r="DG38" s="6"/>
      <c r="DH38" s="6"/>
      <c r="DI38" s="6"/>
      <c r="DJ38" s="212"/>
      <c r="DK38" s="13"/>
      <c r="DL38" s="13"/>
      <c r="DM38" s="202"/>
      <c r="DN38" s="206">
        <f>IF(CO38="external",T38,0)</f>
        <v>32</v>
      </c>
      <c r="DO38" s="206">
        <f>IF(CO38="external",W38,0)</f>
        <v>0</v>
      </c>
      <c r="DP38" s="206">
        <f>IF(CO38="external",Z38,0)</f>
        <v>0</v>
      </c>
      <c r="DQ38" s="206">
        <f>IF(CO38="external",AC38,0)</f>
        <v>0</v>
      </c>
      <c r="DR38" s="206">
        <f>IF(CO38="external",AF38,0)</f>
        <v>0</v>
      </c>
      <c r="DS38" s="207">
        <f>IF(CO38="external",AI38,0)</f>
        <v>0</v>
      </c>
      <c r="DT38" s="208"/>
      <c r="DU38" s="207">
        <f>IF(CO38="internal",T38,0)</f>
        <v>0</v>
      </c>
      <c r="DV38" s="207">
        <f>IF(CO38="internal",W38,0)</f>
        <v>0</v>
      </c>
      <c r="DW38" s="207">
        <f>IF(CO38="internal",Z38,0)</f>
        <v>0</v>
      </c>
      <c r="DX38" s="207">
        <f>IF(CO38="internal",AC38,0)</f>
        <v>0</v>
      </c>
      <c r="DY38" s="207">
        <f>IF(CO38="internal",AF38,0)</f>
        <v>0</v>
      </c>
      <c r="DZ38" s="207">
        <f>IF(CO38="internal",AI38,0)</f>
        <v>0</v>
      </c>
    </row>
    <row r="39" spans="1:131" s="7" customFormat="1" x14ac:dyDescent="0.3">
      <c r="B39" s="19"/>
      <c r="C39" s="6"/>
      <c r="D39" s="6"/>
      <c r="E39" s="6"/>
      <c r="F39" s="6"/>
      <c r="G39" s="232"/>
      <c r="H39" s="6"/>
      <c r="I39" s="24"/>
      <c r="J39" s="6"/>
      <c r="K39" s="6"/>
      <c r="L39" s="6"/>
      <c r="M39" s="6"/>
      <c r="N39" s="6"/>
      <c r="O39" s="6"/>
      <c r="P39" s="24"/>
      <c r="Q39" s="6"/>
      <c r="R39" s="6"/>
      <c r="S39" s="28"/>
      <c r="T39" s="12"/>
      <c r="U39" s="28"/>
      <c r="V39" s="28"/>
      <c r="W39" s="12"/>
      <c r="X39" s="28"/>
      <c r="Y39" s="28"/>
      <c r="Z39" s="12"/>
      <c r="AA39" s="28"/>
      <c r="AB39" s="28"/>
      <c r="AC39" s="158"/>
      <c r="AD39" s="28"/>
      <c r="AE39" s="28"/>
      <c r="AF39" s="158"/>
      <c r="AG39" s="28"/>
      <c r="AH39" s="28"/>
      <c r="AI39" s="12"/>
      <c r="AJ39" s="6"/>
      <c r="AK39" s="28"/>
      <c r="AL39" s="6"/>
      <c r="AM39" s="28"/>
      <c r="AN39" s="6"/>
      <c r="AO39" s="28"/>
      <c r="AP39" s="6"/>
      <c r="AQ39" s="28"/>
      <c r="AR39" s="6"/>
      <c r="AS39" s="28"/>
      <c r="AT39" s="6"/>
      <c r="AU39" s="28"/>
      <c r="AV39" s="6"/>
      <c r="AW39" s="233"/>
      <c r="AX39" s="6"/>
      <c r="AY39" s="6"/>
      <c r="AZ39" s="6"/>
      <c r="BA39" s="24"/>
      <c r="BB39" s="24"/>
      <c r="BC39" s="28"/>
      <c r="BD39" s="6"/>
      <c r="BE39" s="6"/>
      <c r="BF39" s="6"/>
      <c r="BG39" s="6"/>
      <c r="BH39" s="6"/>
      <c r="BI39" s="6"/>
      <c r="BJ39" s="6"/>
      <c r="BK39" s="6"/>
      <c r="BL39" s="231"/>
      <c r="BM39" s="231"/>
      <c r="BN39" s="231"/>
      <c r="BO39" s="6"/>
      <c r="BP39" s="234"/>
      <c r="BQ39" s="231"/>
      <c r="BR39" s="6"/>
      <c r="BS39" s="6"/>
      <c r="BT39" s="6"/>
      <c r="BU39" s="6"/>
      <c r="BV39" s="6"/>
      <c r="BW39" s="6"/>
      <c r="BX39" s="6"/>
      <c r="BY39" s="231"/>
      <c r="BZ39" s="6"/>
      <c r="CA39" s="234"/>
      <c r="CB39" s="235"/>
      <c r="CC39" s="235"/>
      <c r="CD39" s="235"/>
      <c r="CE39" s="235"/>
      <c r="CF39" s="28"/>
      <c r="CG39" s="28"/>
      <c r="CH39" s="173"/>
      <c r="CI39" s="24"/>
      <c r="CJ39" s="25"/>
      <c r="CK39" s="6">
        <f t="shared" si="10"/>
        <v>0</v>
      </c>
      <c r="CL39" s="8" t="s">
        <v>72</v>
      </c>
      <c r="CM39" s="6">
        <f t="shared" si="11"/>
        <v>0</v>
      </c>
      <c r="CN39" s="236"/>
      <c r="CO39" s="24"/>
      <c r="CP39" s="6"/>
      <c r="CQ39" s="6"/>
      <c r="CR39" s="6"/>
      <c r="CS39" s="6"/>
      <c r="CT39" s="6"/>
      <c r="CU39" s="6"/>
      <c r="CV39" s="6"/>
      <c r="CW39" s="6"/>
      <c r="CX39" s="278"/>
      <c r="CY39" s="6"/>
      <c r="CZ39" s="6"/>
      <c r="DA39" s="6"/>
      <c r="DB39" s="6"/>
      <c r="DC39" s="6"/>
      <c r="DD39" s="6"/>
      <c r="DE39" s="6"/>
      <c r="DF39" s="6"/>
      <c r="DG39" s="6"/>
      <c r="DH39" s="6"/>
      <c r="DI39" s="6"/>
      <c r="DJ39" s="212"/>
      <c r="DK39" s="13"/>
      <c r="DL39" s="13"/>
      <c r="DM39" s="202"/>
      <c r="DN39" s="206"/>
      <c r="DO39" s="206"/>
      <c r="DP39" s="206"/>
      <c r="DQ39" s="206"/>
      <c r="DR39" s="206"/>
      <c r="DS39" s="207"/>
      <c r="DT39" s="208"/>
      <c r="DU39" s="207"/>
      <c r="DV39" s="207"/>
      <c r="DW39" s="207"/>
      <c r="DX39" s="207"/>
      <c r="DY39" s="207"/>
      <c r="DZ39" s="207"/>
    </row>
    <row r="40" spans="1:131" s="7" customFormat="1" ht="13.8" x14ac:dyDescent="0.25">
      <c r="A40" s="7" t="s">
        <v>141</v>
      </c>
      <c r="B40" s="19">
        <f>+CI40</f>
        <v>50</v>
      </c>
      <c r="C40" s="6">
        <f t="shared" ref="C40:E43" si="20">CJ40</f>
        <v>0</v>
      </c>
      <c r="D40" s="6">
        <f t="shared" si="20"/>
        <v>105</v>
      </c>
      <c r="E40" s="6" t="str">
        <f t="shared" si="20"/>
        <v>--</v>
      </c>
      <c r="F40" s="6">
        <f>+CM40</f>
        <v>205</v>
      </c>
      <c r="G40" s="174" t="str">
        <f t="shared" ref="G40:H43" si="21">CN40</f>
        <v>Max Mz</v>
      </c>
      <c r="H40" s="6" t="str">
        <f t="shared" si="21"/>
        <v>Internal</v>
      </c>
      <c r="I40" s="156"/>
      <c r="J40" s="10">
        <f t="shared" ref="J40:M43" si="22">(CP40)</f>
        <v>-656</v>
      </c>
      <c r="K40" s="10">
        <f t="shared" si="22"/>
        <v>1318</v>
      </c>
      <c r="L40" s="10">
        <f t="shared" si="22"/>
        <v>-519</v>
      </c>
      <c r="M40" s="10">
        <f t="shared" si="22"/>
        <v>958</v>
      </c>
      <c r="N40" s="10">
        <f>IF(I40*J40&gt;=0,J40*$J$19+I40*$J$18,J40)</f>
        <v>-656</v>
      </c>
      <c r="O40" s="10">
        <f>(K40)*$J$19</f>
        <v>1318</v>
      </c>
      <c r="P40" s="14">
        <f>IF(I40*L40&gt;=0,(L40)+I40,L40)</f>
        <v>-519</v>
      </c>
      <c r="Q40" s="3">
        <f>(M40)</f>
        <v>958</v>
      </c>
      <c r="R40" s="20">
        <f t="shared" si="19"/>
        <v>1000</v>
      </c>
      <c r="S40" s="23"/>
      <c r="T40" s="12">
        <v>20</v>
      </c>
      <c r="U40" s="28"/>
      <c r="V40" s="28"/>
      <c r="W40" s="12"/>
      <c r="X40" s="28"/>
      <c r="Y40" s="28"/>
      <c r="Z40" s="12"/>
      <c r="AA40" s="28"/>
      <c r="AB40" s="28"/>
      <c r="AC40" s="158"/>
      <c r="AD40" s="28"/>
      <c r="AE40" s="28"/>
      <c r="AF40" s="158"/>
      <c r="AG40" s="28"/>
      <c r="AH40" s="28"/>
      <c r="AI40" s="29"/>
      <c r="AJ40" s="6">
        <f>PI()/4*T40^2*$O$12/$AX$16</f>
        <v>2094.3951023931954</v>
      </c>
      <c r="AK40" s="28" t="str">
        <f>IF(W40=0,"","+")</f>
        <v/>
      </c>
      <c r="AL40" s="6">
        <f>PI()/4*W40^2*$O$12/$AX$16</f>
        <v>0</v>
      </c>
      <c r="AM40" s="28" t="str">
        <f>IF(Z40=0,"","+")</f>
        <v/>
      </c>
      <c r="AN40" s="6">
        <f>PI()/4*Z40^2*$O$12/$AX$16</f>
        <v>0</v>
      </c>
      <c r="AO40" s="28" t="str">
        <f>IF(AC40=0,"","+")</f>
        <v/>
      </c>
      <c r="AP40" s="6">
        <f>PI()/4*AC40^2*$O$12/$AX$16</f>
        <v>0</v>
      </c>
      <c r="AQ40" s="28" t="str">
        <f>IF(AF40=0,"","+")</f>
        <v/>
      </c>
      <c r="AR40" s="6">
        <f>PI()/4*AF40^2*$O$12/$AX$16</f>
        <v>0</v>
      </c>
      <c r="AS40" s="28" t="str">
        <f>IF(AI40=0,"","+")</f>
        <v/>
      </c>
      <c r="AT40" s="6">
        <f>PI()/4*AI40^2*$O$12/$AX$16</f>
        <v>0</v>
      </c>
      <c r="AU40" s="28" t="s">
        <v>24</v>
      </c>
      <c r="AV40" s="15">
        <f>VALUE(AJ40)+VALUE(AL40)+VALUE(AN40)+VALUE(AP40)+VALUE(AR40)+VALUE(AT40)</f>
        <v>2094.3951023931954</v>
      </c>
      <c r="AW40" s="228">
        <f>MAX(0.3*$AJ$14^(2/3)/$AJ$16*0.26*100,0.13)</f>
        <v>0.15723814702688016</v>
      </c>
      <c r="AX40" s="6">
        <f>AW40/100*$O$12*BK40</f>
        <v>1426.1499935338031</v>
      </c>
      <c r="AY40" s="6"/>
      <c r="AZ40" s="6"/>
      <c r="BA40" s="24" t="str">
        <f>IF(BB40=0,"","+")</f>
        <v/>
      </c>
      <c r="BB40" s="24"/>
      <c r="BC40" s="28" t="s">
        <v>24</v>
      </c>
      <c r="BD40" s="15">
        <f>AX40+AZ40+BB40</f>
        <v>1426.1499935338031</v>
      </c>
      <c r="BE40" s="2">
        <f>(R40-($AX$14+$O$16+T40/2))</f>
        <v>907</v>
      </c>
      <c r="BF40" s="3">
        <f>IF(W40=0,0,(R40-($AX$14+T40/2+$O$16+$BI$16)))</f>
        <v>0</v>
      </c>
      <c r="BG40" s="3">
        <f>IF(Z40=0,0,(R40-($AX$14+T40/2+$BI$16+$O$16+$BI$17)))</f>
        <v>0</v>
      </c>
      <c r="BH40" s="3">
        <f>IF(AC40=0,0,(R40-($AX$14+T40/2+$O$16+$BI$16+$BI$17+$BI$18)))</f>
        <v>0</v>
      </c>
      <c r="BI40" s="3">
        <f>IF(AF40=0,0,(R40-($AX$14+T40/2+$O$16+$BI$16+$BI$17+$BI$18+$BL$16)))</f>
        <v>0</v>
      </c>
      <c r="BJ40" s="3">
        <f>IF(AI40=0,0,(R40-($AX$14+T40/2+$O$16+$BI$16+$BI$17+$BI$18+$BL$16+$BL$17)))</f>
        <v>0</v>
      </c>
      <c r="BK40" s="6">
        <f>(BE40*AJ40+BF40*AL40+BG40*AN40+BH40*AP40+BI40*AR40+BJ40*AT40)/AV40</f>
        <v>907</v>
      </c>
      <c r="BL40" s="175">
        <f>ABS(N40)*1000000/$O$12/BK40^2</f>
        <v>0.7974239317132823</v>
      </c>
      <c r="BM40" s="175">
        <f>BL40/$AJ$14</f>
        <v>2.4919497866040072E-2</v>
      </c>
      <c r="BN40" s="21">
        <f>IF(BM40&lt;0.167,0.5+SQRT(0.25-(BM40/1.134)),0.82)</f>
        <v>0.97751977357689723</v>
      </c>
      <c r="BO40" s="15">
        <f>ABS(N40)/(0.87*$AJ$16*BN40*BK40)*10^6</f>
        <v>1700.9116045804378</v>
      </c>
      <c r="BP40" s="22">
        <v>417.37959477699769</v>
      </c>
      <c r="BQ40" s="175">
        <f>IF(Q40=0,2*ABS(P40*10^6)/$O$12/BP40/(BK40-BP40/3),Q40*BP40*1000/($O$12/2*BP40^2-(BE40-BP40)*AJ40*$AJ$18-(BF40-BP40)*AL40*$AJ$18-(BG40-BP40)*AN40*$AJ$18-(BH40-BP40)*AP40*$AJ$18-(BI40-BP40)*AR40*$AJ$18-(BJ40-BP40)*AT40*$AJ$18))</f>
        <v>5.6718976229933364</v>
      </c>
      <c r="BR40" s="3">
        <f>0.5*$O$12*BP40*BQ40 /1000</f>
        <v>1183.6671657507875</v>
      </c>
      <c r="BS40" s="3">
        <f>($BQ40/$BP40)*(BE40-$BP40)*$AJ$18*AJ40/1000</f>
        <v>225.66716575078766</v>
      </c>
      <c r="BT40" s="3">
        <f>($BQ40/$BP40)*(BF40-$BP40)*$AJ$18*AL40/1000</f>
        <v>0</v>
      </c>
      <c r="BU40" s="3">
        <f>($BQ40/$BP40)*(BG40-$BP40)*$AJ$18*AN40/1000</f>
        <v>0</v>
      </c>
      <c r="BV40" s="3">
        <f>($BQ40/$BP40)*(BH40-$BP40)*$AJ$18*AP40/1000</f>
        <v>0</v>
      </c>
      <c r="BW40" s="3">
        <f>($BQ40/$BP40)*(BI40-$BP40)*$AJ$18*AR40/1000</f>
        <v>0</v>
      </c>
      <c r="BX40" s="3">
        <f>($BQ40/$BP40)*(BJ40-$BP40)*$AJ$18*AT40/1000</f>
        <v>0</v>
      </c>
      <c r="BY40" s="175">
        <f>IF(Q40=0,0,(0.5*$O$12*BP40*BQ40/1000*(R40/2-$BP40/3)+BS40*(BE40-R40/2)+BT40*(BF40-R40/2)+BU40*(BG40-R40/2)+BV40*(BH40-R40/2)+BW40*(BI40-R40/2)+BX40*(BJ40-R40/2))/1000-ABS(P40))</f>
        <v>6.1200533070859819E-4</v>
      </c>
      <c r="BZ40" s="10"/>
      <c r="CA40" s="176">
        <f>ABS(P40)/(BK40-BP40/3)/AV40*10^6-Q40*(R40/2-BP40/3)/(BK40-BP40/3)/AV40*1000</f>
        <v>107.74775422253114</v>
      </c>
      <c r="CB40" s="177">
        <f>(AV40/($O$12*MIN(2.5*(R40-BK40),(R40-BP40)/3,R40/2)-AV40))</f>
        <v>1.0901925279261473E-2</v>
      </c>
      <c r="CC40" s="177">
        <f>3.4*($O$16+$AX$14)+0.425*0.8*0.5*(T40^2+W40^2+Z40^2+AC40^2+AF40^2+AI40^2)/(T40+W40+Z40+AC40+AF40+AI40)/CB40</f>
        <v>594.07151928730934</v>
      </c>
      <c r="CD40" s="177">
        <f>MAX(0.6*CA40/$AJ$17,(CA40-0.4*0.3*$AJ$14^(2/3)/CB40*(1+$AJ$17/$AJ$15*CB40))/$AJ$17)</f>
        <v>0.3232432626675934</v>
      </c>
      <c r="CE40" s="178">
        <f>CC40*CD40/1000</f>
        <v>0.19202961615232403</v>
      </c>
      <c r="CF40" s="23" t="str">
        <f>IF(AND(AV40&gt;=BD40,AV40&gt;=BO40,CE40&lt;=(+IF(CO40="External",0.25,0.3))),"O.K", "Not O.K")</f>
        <v>O.K</v>
      </c>
      <c r="CG40" s="28"/>
      <c r="CH40" s="179" t="str">
        <f>IF(O40&lt;0.2*$AJ$14*R40*$O$12/1000,"N &lt; 0.2fckAc - OK!","TBA")</f>
        <v>N &lt; 0.2fckAc - OK!</v>
      </c>
      <c r="CI40" s="24">
        <v>50</v>
      </c>
      <c r="CJ40" s="25"/>
      <c r="CK40" s="6">
        <f t="shared" si="10"/>
        <v>105</v>
      </c>
      <c r="CL40" s="8" t="s">
        <v>72</v>
      </c>
      <c r="CM40" s="6">
        <f t="shared" si="11"/>
        <v>205</v>
      </c>
      <c r="CN40" s="26" t="s">
        <v>147</v>
      </c>
      <c r="CO40" s="27" t="s">
        <v>106</v>
      </c>
      <c r="CP40" s="2">
        <v>-656</v>
      </c>
      <c r="CQ40" s="15">
        <v>1318</v>
      </c>
      <c r="CR40" s="3">
        <v>-519</v>
      </c>
      <c r="CS40" s="15">
        <v>958</v>
      </c>
      <c r="CT40" s="20">
        <v>1000</v>
      </c>
      <c r="CU40" s="2">
        <v>105</v>
      </c>
      <c r="CV40" s="15">
        <v>205</v>
      </c>
      <c r="CW40" s="6"/>
      <c r="CX40" s="278">
        <f>CI40</f>
        <v>50</v>
      </c>
      <c r="CY40" s="6">
        <f t="shared" ref="CY40:DD40" si="23">MAX(DN40:DN43)</f>
        <v>0</v>
      </c>
      <c r="CZ40" s="6">
        <f t="shared" si="23"/>
        <v>0</v>
      </c>
      <c r="DA40" s="6">
        <f t="shared" si="23"/>
        <v>0</v>
      </c>
      <c r="DB40" s="6">
        <f t="shared" si="23"/>
        <v>0</v>
      </c>
      <c r="DC40" s="6">
        <f t="shared" si="23"/>
        <v>0</v>
      </c>
      <c r="DD40" s="6">
        <f t="shared" si="23"/>
        <v>0</v>
      </c>
      <c r="DE40" s="6"/>
      <c r="DF40" s="6">
        <f t="shared" ref="DF40:DK40" si="24">MAX(DU40:DU43)</f>
        <v>32</v>
      </c>
      <c r="DG40" s="6">
        <f t="shared" si="24"/>
        <v>0</v>
      </c>
      <c r="DH40" s="6">
        <f t="shared" si="24"/>
        <v>0</v>
      </c>
      <c r="DI40" s="6">
        <f t="shared" si="24"/>
        <v>0</v>
      </c>
      <c r="DJ40" s="6">
        <f t="shared" si="24"/>
        <v>0</v>
      </c>
      <c r="DK40" s="6">
        <f t="shared" si="24"/>
        <v>0</v>
      </c>
      <c r="DL40" s="13"/>
      <c r="DM40" s="202">
        <f>CI40</f>
        <v>50</v>
      </c>
      <c r="DN40" s="206">
        <f>IF(CO40="external",T40,0)</f>
        <v>0</v>
      </c>
      <c r="DO40" s="206">
        <f>IF(CO40="external",W40,0)</f>
        <v>0</v>
      </c>
      <c r="DP40" s="206">
        <f>IF(CO40="external",Z40,0)</f>
        <v>0</v>
      </c>
      <c r="DQ40" s="206">
        <f>IF(CO40="external",AC40,0)</f>
        <v>0</v>
      </c>
      <c r="DR40" s="206">
        <f>IF(CO40="external",AF40,0)</f>
        <v>0</v>
      </c>
      <c r="DS40" s="207">
        <f>IF(CO40="external",AI40,0)</f>
        <v>0</v>
      </c>
      <c r="DT40" s="208"/>
      <c r="DU40" s="207">
        <f>IF(CO40="internal",T40,0)</f>
        <v>20</v>
      </c>
      <c r="DV40" s="207">
        <f>IF(CO40="internal",W40,0)</f>
        <v>0</v>
      </c>
      <c r="DW40" s="207">
        <f>IF(CO40="internal",Z40,0)</f>
        <v>0</v>
      </c>
      <c r="DX40" s="207">
        <f>IF(CO40="internal",AC40,0)</f>
        <v>0</v>
      </c>
      <c r="DY40" s="207">
        <f>IF(CO40="internal",AF40,0)</f>
        <v>0</v>
      </c>
      <c r="DZ40" s="207">
        <f>IF(CO40="internal",AI40,0)</f>
        <v>0</v>
      </c>
    </row>
    <row r="41" spans="1:131" s="7" customFormat="1" x14ac:dyDescent="0.3">
      <c r="B41" s="19">
        <f>+CI41</f>
        <v>0</v>
      </c>
      <c r="C41" s="6">
        <f t="shared" si="20"/>
        <v>0</v>
      </c>
      <c r="D41" s="6">
        <f t="shared" si="20"/>
        <v>103</v>
      </c>
      <c r="E41" s="6" t="str">
        <f t="shared" si="20"/>
        <v>--</v>
      </c>
      <c r="F41" s="6">
        <f>+CM41</f>
        <v>203</v>
      </c>
      <c r="G41" s="174" t="str">
        <f t="shared" si="21"/>
        <v>Min Mz</v>
      </c>
      <c r="H41" s="6" t="str">
        <f t="shared" si="21"/>
        <v>Internal</v>
      </c>
      <c r="I41" s="156"/>
      <c r="J41" s="10">
        <f t="shared" si="22"/>
        <v>-1538</v>
      </c>
      <c r="K41" s="10">
        <f t="shared" si="22"/>
        <v>1473</v>
      </c>
      <c r="L41" s="10">
        <f t="shared" si="22"/>
        <v>-1116</v>
      </c>
      <c r="M41" s="10">
        <f t="shared" si="22"/>
        <v>1071</v>
      </c>
      <c r="N41" s="10">
        <f>IF(I41*J41&gt;=0,J41*$J$19+I41*$J$18,J41)</f>
        <v>-1538</v>
      </c>
      <c r="O41" s="10">
        <f>(K41)*$J$19</f>
        <v>1473</v>
      </c>
      <c r="P41" s="14">
        <f>IF(I41*L41&gt;=0,(L41)+I41,L41)</f>
        <v>-1116</v>
      </c>
      <c r="Q41" s="3">
        <f>(M41)</f>
        <v>1071</v>
      </c>
      <c r="R41" s="20">
        <f t="shared" si="19"/>
        <v>1000</v>
      </c>
      <c r="S41" s="23"/>
      <c r="T41" s="12">
        <v>32</v>
      </c>
      <c r="U41" s="28"/>
      <c r="V41" s="28"/>
      <c r="W41" s="12"/>
      <c r="X41" s="28"/>
      <c r="Y41" s="28"/>
      <c r="Z41" s="12"/>
      <c r="AA41" s="28"/>
      <c r="AB41" s="28"/>
      <c r="AC41" s="158"/>
      <c r="AD41" s="28"/>
      <c r="AE41" s="28"/>
      <c r="AF41" s="158"/>
      <c r="AG41" s="28"/>
      <c r="AH41" s="28"/>
      <c r="AI41" s="29"/>
      <c r="AJ41" s="6">
        <f>PI()/4*T41^2*$O$12/$AX$16</f>
        <v>5361.6514621265796</v>
      </c>
      <c r="AK41" s="28" t="str">
        <f>IF(W41=0,"","+")</f>
        <v/>
      </c>
      <c r="AL41" s="6">
        <f>PI()/4*W41^2*$O$12/$AX$16</f>
        <v>0</v>
      </c>
      <c r="AM41" s="28" t="str">
        <f>IF(Z41=0,"","+")</f>
        <v/>
      </c>
      <c r="AN41" s="6">
        <f>PI()/4*Z41^2*$O$12/$AX$16</f>
        <v>0</v>
      </c>
      <c r="AO41" s="28" t="str">
        <f>IF(AC41=0,"","+")</f>
        <v/>
      </c>
      <c r="AP41" s="6">
        <f>PI()/4*AC41^2*$O$12/$AX$16</f>
        <v>0</v>
      </c>
      <c r="AQ41" s="28" t="str">
        <f>IF(AF41=0,"","+")</f>
        <v/>
      </c>
      <c r="AR41" s="6">
        <f>PI()/4*AF41^2*$O$12/$AX$16</f>
        <v>0</v>
      </c>
      <c r="AS41" s="28" t="str">
        <f>IF(AI41=0,"","+")</f>
        <v/>
      </c>
      <c r="AT41" s="6">
        <f>PI()/4*AI41^2*$O$12/$AX$16</f>
        <v>0</v>
      </c>
      <c r="AU41" s="28" t="s">
        <v>24</v>
      </c>
      <c r="AV41" s="15">
        <f>VALUE(AJ41)+VALUE(AL41)+VALUE(AN41)+VALUE(AP41)+VALUE(AR41)+VALUE(AT41)</f>
        <v>5361.6514621265796</v>
      </c>
      <c r="AW41" s="228">
        <f>MAX(0.3*$AJ$14^(2/3)/$AJ$16*0.26*100,0.13)</f>
        <v>0.15723814702688016</v>
      </c>
      <c r="AX41" s="6">
        <f>AW41/100*$O$12*BK41</f>
        <v>1416.7157047121905</v>
      </c>
      <c r="AY41" s="6"/>
      <c r="AZ41" s="6"/>
      <c r="BA41" s="24" t="str">
        <f>IF(BB41=0,"","+")</f>
        <v/>
      </c>
      <c r="BB41" s="24"/>
      <c r="BC41" s="28" t="s">
        <v>24</v>
      </c>
      <c r="BD41" s="15">
        <f>AX41+AZ41+BB41</f>
        <v>1416.7157047121905</v>
      </c>
      <c r="BE41" s="2">
        <f>(R41-($AX$14+$O$16+T41/2))</f>
        <v>901</v>
      </c>
      <c r="BF41" s="3">
        <f>IF(W41=0,0,(R41-($AX$14+T41/2+$O$16+$BI$16)))</f>
        <v>0</v>
      </c>
      <c r="BG41" s="3">
        <f>IF(Z41=0,0,(R41-($AX$14+T41/2+$BI$16+$O$16+$BI$17)))</f>
        <v>0</v>
      </c>
      <c r="BH41" s="3">
        <f>IF(AC41=0,0,(R41-($AX$14+T41/2+$O$16+$BI$16+$BI$17+$BI$18)))</f>
        <v>0</v>
      </c>
      <c r="BI41" s="3">
        <f>IF(AF41=0,0,(R41-($AX$14+T41/2+$O$16+$BI$16+$BI$17+$BI$18+$BL$16)))</f>
        <v>0</v>
      </c>
      <c r="BJ41" s="3">
        <f>IF(AI41=0,0,(R41-($AX$14+T41/2+$O$16+$BI$16+$BI$17+$BI$18+$BL$16+$BL$17)))</f>
        <v>0</v>
      </c>
      <c r="BK41" s="6">
        <f>(BE41*AJ41+BF41*AL41+BG41*AN41+BH41*AP41+BI41*AR41+BJ41*AT41)/AV41</f>
        <v>901.00000000000011</v>
      </c>
      <c r="BL41" s="175">
        <f>ABS(N41)*1000000/$O$12/BK41^2</f>
        <v>1.8945529754213157</v>
      </c>
      <c r="BM41" s="175">
        <f>BL41/$AJ$14</f>
        <v>5.9204780481916117E-2</v>
      </c>
      <c r="BN41" s="21">
        <f>IF(BM41&lt;0.167,0.5+SQRT(0.25-(BM41/1.134)),0.82)</f>
        <v>0.94473722451528896</v>
      </c>
      <c r="BO41" s="15">
        <f>ABS(N41)/(0.87*$AJ$16*BN41*BK41)*10^6</f>
        <v>4153.663017717392</v>
      </c>
      <c r="BP41" s="22">
        <v>420.25275128051396</v>
      </c>
      <c r="BQ41" s="175">
        <f>IF(Q41=0,2*ABS(P41*10^6)/$O$12/BP41/(BK41-BP41/3),Q41*BP41*1000/($O$12/2*BP41^2-(BE41-BP41)*AJ41*$AJ$18-(BF41-BP41)*AL41*$AJ$18-(BG41-BP41)*AN41*$AJ$18-(BH41-BP41)*AP41*$AJ$18-(BI41-BP41)*AR41*$AJ$18-(BJ41-BP41)*AT41*$AJ$18))</f>
        <v>9.6659315863867565</v>
      </c>
      <c r="BR41" s="3">
        <f>0.5*$O$12*BP41*BQ41 /1000</f>
        <v>2031.0671714341286</v>
      </c>
      <c r="BS41" s="3">
        <f>($BQ41/$BP41)*(BE41-$BP41)*$AJ$18*AJ41/1000</f>
        <v>960.0671714341288</v>
      </c>
      <c r="BT41" s="3">
        <f>($BQ41/$BP41)*(BF41-$BP41)*$AJ$18*AL41/1000</f>
        <v>0</v>
      </c>
      <c r="BU41" s="3">
        <f>($BQ41/$BP41)*(BG41-$BP41)*$AJ$18*AN41/1000</f>
        <v>0</v>
      </c>
      <c r="BV41" s="3">
        <f>($BQ41/$BP41)*(BH41-$BP41)*$AJ$18*AP41/1000</f>
        <v>0</v>
      </c>
      <c r="BW41" s="3">
        <f>($BQ41/$BP41)*(BI41-$BP41)*$AJ$18*AR41/1000</f>
        <v>0</v>
      </c>
      <c r="BX41" s="3">
        <f>($BQ41/$BP41)*(BJ41-$BP41)*$AJ$18*AT41/1000</f>
        <v>0</v>
      </c>
      <c r="BY41" s="175">
        <f>IF(Q41=0,0,(0.5*$O$12*BP41*BQ41/1000*(R41/2-$BP41/3)+BS41*(BE41-R41/2)+BT41*(BF41-R41/2)+BU41*(BG41-R41/2)+BV41*(BH41-R41/2)+BW41*(BI41-R41/2)+BX41*(BJ41-R41/2))/1000-ABS(P41))</f>
        <v>-8.1475809565745294E-7</v>
      </c>
      <c r="BZ41" s="10"/>
      <c r="CA41" s="176">
        <f>ABS(P41)/(BK41-BP41/3)/AV41*10^6-Q41*(R41/2-BP41/3)/(BK41-BP41/3)/AV41*1000</f>
        <v>179.06183930204583</v>
      </c>
      <c r="CB41" s="177">
        <f>(AV41/($O$12*MIN(2.5*(R41-BK41),(R41-BP41)/3,R41/2)-AV41))</f>
        <v>2.8536509445625698E-2</v>
      </c>
      <c r="CC41" s="177">
        <f>3.4*($O$16+$AX$14)+0.425*0.8*0.5*(T41^2+W41^2+Z41^2+AC41^2+AF41^2+AI41^2)/(T41+W41+Z41+AC41+AF41+AI41)/CB41</f>
        <v>472.83298580246947</v>
      </c>
      <c r="CD41" s="177">
        <f>MAX(0.6*CA41/$AJ$17,(CA41-0.4*0.3*$AJ$14^(2/3)/CB41*(1+$AJ$17/$AJ$15*CB41))/$AJ$17)</f>
        <v>0.58544851338404302</v>
      </c>
      <c r="CE41" s="178">
        <f>CC41*CD41/1000</f>
        <v>0.27681936861699408</v>
      </c>
      <c r="CF41" s="23" t="str">
        <f>IF(AND(AV41&gt;=BD41,AV41&gt;=BO41,CE41&lt;=(+IF(CO41="External",0.25,0.3))),"O.K", "Not O.K")</f>
        <v>O.K</v>
      </c>
      <c r="CG41" s="28"/>
      <c r="CH41" s="179" t="str">
        <f>IF(O41&lt;0.2*$AJ$14*R41*$O$12/1000,"N &lt; 0.2fckAc - OK!","TBA")</f>
        <v>N &lt; 0.2fckAc - OK!</v>
      </c>
      <c r="CI41" s="24"/>
      <c r="CJ41" s="25"/>
      <c r="CK41" s="6">
        <f t="shared" si="10"/>
        <v>103</v>
      </c>
      <c r="CL41" s="8" t="s">
        <v>72</v>
      </c>
      <c r="CM41" s="6">
        <f t="shared" si="11"/>
        <v>203</v>
      </c>
      <c r="CN41" s="26" t="s">
        <v>148</v>
      </c>
      <c r="CO41" s="27" t="s">
        <v>106</v>
      </c>
      <c r="CP41" s="2">
        <v>-1538</v>
      </c>
      <c r="CQ41" s="15">
        <v>1473</v>
      </c>
      <c r="CR41" s="3">
        <v>-1116</v>
      </c>
      <c r="CS41" s="15">
        <v>1071</v>
      </c>
      <c r="CT41" s="20">
        <v>1000</v>
      </c>
      <c r="CU41" s="2">
        <v>103</v>
      </c>
      <c r="CV41" s="15">
        <v>203</v>
      </c>
      <c r="CW41" s="6"/>
      <c r="CX41" s="278"/>
      <c r="CY41" s="6"/>
      <c r="CZ41" s="6"/>
      <c r="DA41" s="6"/>
      <c r="DB41" s="6"/>
      <c r="DC41" s="6"/>
      <c r="DD41" s="6"/>
      <c r="DE41" s="6"/>
      <c r="DF41" s="6"/>
      <c r="DG41" s="6"/>
      <c r="DH41" s="6"/>
      <c r="DI41" s="6"/>
      <c r="DJ41" s="212"/>
      <c r="DK41" s="13"/>
      <c r="DL41" s="13"/>
      <c r="DM41" s="202"/>
      <c r="DN41" s="206">
        <f>IF(CO41="external",T41,0)</f>
        <v>0</v>
      </c>
      <c r="DO41" s="206">
        <f>IF(CO41="external",W41,0)</f>
        <v>0</v>
      </c>
      <c r="DP41" s="206">
        <f>IF(CO41="external",Z41,0)</f>
        <v>0</v>
      </c>
      <c r="DQ41" s="206">
        <f>IF(CO41="external",AC41,0)</f>
        <v>0</v>
      </c>
      <c r="DR41" s="206">
        <f>IF(CO41="external",AF41,0)</f>
        <v>0</v>
      </c>
      <c r="DS41" s="207">
        <f>IF(CO41="external",AI41,0)</f>
        <v>0</v>
      </c>
      <c r="DT41" s="208"/>
      <c r="DU41" s="207">
        <f>IF(CO41="internal",T41,0)</f>
        <v>32</v>
      </c>
      <c r="DV41" s="207">
        <f>IF(CO41="internal",W41,0)</f>
        <v>0</v>
      </c>
      <c r="DW41" s="207">
        <f>IF(CO41="internal",Z41,0)</f>
        <v>0</v>
      </c>
      <c r="DX41" s="207">
        <f>IF(CO41="internal",AC41,0)</f>
        <v>0</v>
      </c>
      <c r="DY41" s="207">
        <f>IF(CO41="internal",AF41,0)</f>
        <v>0</v>
      </c>
      <c r="DZ41" s="207">
        <f>IF(CO41="internal",AI41,0)</f>
        <v>0</v>
      </c>
    </row>
    <row r="42" spans="1:131" s="7" customFormat="1" x14ac:dyDescent="0.3">
      <c r="B42" s="19">
        <f>+CI42</f>
        <v>0</v>
      </c>
      <c r="C42" s="6">
        <f t="shared" si="20"/>
        <v>0</v>
      </c>
      <c r="D42" s="6">
        <f t="shared" si="20"/>
        <v>103</v>
      </c>
      <c r="E42" s="6" t="str">
        <f t="shared" si="20"/>
        <v>--</v>
      </c>
      <c r="F42" s="6">
        <f>+CM42</f>
        <v>203</v>
      </c>
      <c r="G42" s="174" t="str">
        <f t="shared" si="21"/>
        <v>Max Fx</v>
      </c>
      <c r="H42" s="6" t="str">
        <f t="shared" si="21"/>
        <v>Internal</v>
      </c>
      <c r="I42" s="156"/>
      <c r="J42" s="10">
        <f t="shared" si="22"/>
        <v>-1538</v>
      </c>
      <c r="K42" s="10">
        <f t="shared" si="22"/>
        <v>1473</v>
      </c>
      <c r="L42" s="10">
        <f t="shared" si="22"/>
        <v>-1116</v>
      </c>
      <c r="M42" s="10">
        <f t="shared" si="22"/>
        <v>1071</v>
      </c>
      <c r="N42" s="10">
        <f>IF(I42*J42&gt;=0,J42*$J$19+I42*$J$18,J42)</f>
        <v>-1538</v>
      </c>
      <c r="O42" s="10">
        <f>(K42)*$J$19</f>
        <v>1473</v>
      </c>
      <c r="P42" s="14">
        <f>IF(I42*L42&gt;=0,(L42)+I42,L42)</f>
        <v>-1116</v>
      </c>
      <c r="Q42" s="3">
        <f>(M42)</f>
        <v>1071</v>
      </c>
      <c r="R42" s="20">
        <f t="shared" si="19"/>
        <v>1000</v>
      </c>
      <c r="S42" s="23"/>
      <c r="T42" s="12">
        <v>32</v>
      </c>
      <c r="U42" s="28"/>
      <c r="V42" s="28"/>
      <c r="W42" s="12"/>
      <c r="X42" s="28"/>
      <c r="Y42" s="28"/>
      <c r="Z42" s="12"/>
      <c r="AA42" s="28"/>
      <c r="AB42" s="28"/>
      <c r="AC42" s="158"/>
      <c r="AD42" s="28"/>
      <c r="AE42" s="28"/>
      <c r="AF42" s="158"/>
      <c r="AG42" s="28"/>
      <c r="AH42" s="28"/>
      <c r="AI42" s="29"/>
      <c r="AJ42" s="6">
        <f>PI()/4*T42^2*$O$12/$AX$16</f>
        <v>5361.6514621265796</v>
      </c>
      <c r="AK42" s="28" t="str">
        <f>IF(W42=0,"","+")</f>
        <v/>
      </c>
      <c r="AL42" s="6">
        <f>PI()/4*W42^2*$O$12/$AX$16</f>
        <v>0</v>
      </c>
      <c r="AM42" s="28" t="str">
        <f>IF(Z42=0,"","+")</f>
        <v/>
      </c>
      <c r="AN42" s="6">
        <f>PI()/4*Z42^2*$O$12/$AX$16</f>
        <v>0</v>
      </c>
      <c r="AO42" s="28" t="str">
        <f>IF(AC42=0,"","+")</f>
        <v/>
      </c>
      <c r="AP42" s="6">
        <f>PI()/4*AC42^2*$O$12/$AX$16</f>
        <v>0</v>
      </c>
      <c r="AQ42" s="28" t="str">
        <f>IF(AF42=0,"","+")</f>
        <v/>
      </c>
      <c r="AR42" s="6">
        <f>PI()/4*AF42^2*$O$12/$AX$16</f>
        <v>0</v>
      </c>
      <c r="AS42" s="28" t="str">
        <f>IF(AI42=0,"","+")</f>
        <v/>
      </c>
      <c r="AT42" s="6">
        <f>PI()/4*AI42^2*$O$12/$AX$16</f>
        <v>0</v>
      </c>
      <c r="AU42" s="28" t="s">
        <v>24</v>
      </c>
      <c r="AV42" s="15">
        <f>VALUE(AJ42)+VALUE(AL42)+VALUE(AN42)+VALUE(AP42)+VALUE(AR42)+VALUE(AT42)</f>
        <v>5361.6514621265796</v>
      </c>
      <c r="AW42" s="228">
        <f>MAX(0.3*$AJ$14^(2/3)/$AJ$16*0.26*100,0.13)</f>
        <v>0.15723814702688016</v>
      </c>
      <c r="AX42" s="6">
        <f>AW42/100*$O$12*BK42</f>
        <v>1416.7157047121905</v>
      </c>
      <c r="AY42" s="6"/>
      <c r="AZ42" s="6"/>
      <c r="BA42" s="24" t="str">
        <f>IF(BB42=0,"","+")</f>
        <v/>
      </c>
      <c r="BB42" s="24"/>
      <c r="BC42" s="28" t="s">
        <v>24</v>
      </c>
      <c r="BD42" s="15">
        <f>AX42+AZ42+BB42</f>
        <v>1416.7157047121905</v>
      </c>
      <c r="BE42" s="2">
        <f>(R42-($AX$14+$O$16+T42/2))</f>
        <v>901</v>
      </c>
      <c r="BF42" s="3">
        <f>IF(W42=0,0,(R42-($AX$14+T42/2+$O$16+$BI$16)))</f>
        <v>0</v>
      </c>
      <c r="BG42" s="3">
        <f>IF(Z42=0,0,(R42-($AX$14+T42/2+$BI$16+$O$16+$BI$17)))</f>
        <v>0</v>
      </c>
      <c r="BH42" s="3">
        <f>IF(AC42=0,0,(R42-($AX$14+T42/2+$O$16+$BI$16+$BI$17+$BI$18)))</f>
        <v>0</v>
      </c>
      <c r="BI42" s="3">
        <f>IF(AF42=0,0,(R42-($AX$14+T42/2+$O$16+$BI$16+$BI$17+$BI$18+$BL$16)))</f>
        <v>0</v>
      </c>
      <c r="BJ42" s="3">
        <f>IF(AI42=0,0,(R42-($AX$14+T42/2+$O$16+$BI$16+$BI$17+$BI$18+$BL$16+$BL$17)))</f>
        <v>0</v>
      </c>
      <c r="BK42" s="6">
        <f>(BE42*AJ42+BF42*AL42+BG42*AN42+BH42*AP42+BI42*AR42+BJ42*AT42)/AV42</f>
        <v>901.00000000000011</v>
      </c>
      <c r="BL42" s="175">
        <f>ABS(N42)*1000000/$O$12/BK42^2</f>
        <v>1.8945529754213157</v>
      </c>
      <c r="BM42" s="175">
        <f>BL42/$AJ$14</f>
        <v>5.9204780481916117E-2</v>
      </c>
      <c r="BN42" s="21">
        <f>IF(BM42&lt;0.167,0.5+SQRT(0.25-(BM42/1.134)),0.82)</f>
        <v>0.94473722451528896</v>
      </c>
      <c r="BO42" s="15">
        <f>ABS(N42)/(0.87*$AJ$16*BN42*BK42)*10^6</f>
        <v>4153.663017717392</v>
      </c>
      <c r="BP42" s="22">
        <v>420.25275128051396</v>
      </c>
      <c r="BQ42" s="175">
        <f>IF(Q42=0,2*ABS(P42*10^6)/$O$12/BP42/(BK42-BP42/3),Q42*BP42*1000/($O$12/2*BP42^2-(BE42-BP42)*AJ42*$AJ$18-(BF42-BP42)*AL42*$AJ$18-(BG42-BP42)*AN42*$AJ$18-(BH42-BP42)*AP42*$AJ$18-(BI42-BP42)*AR42*$AJ$18-(BJ42-BP42)*AT42*$AJ$18))</f>
        <v>9.6659315863867565</v>
      </c>
      <c r="BR42" s="3">
        <f>0.5*$O$12*BP42*BQ42 /1000</f>
        <v>2031.0671714341286</v>
      </c>
      <c r="BS42" s="3">
        <f>($BQ42/$BP42)*(BE42-$BP42)*$AJ$18*AJ42/1000</f>
        <v>960.0671714341288</v>
      </c>
      <c r="BT42" s="3">
        <f>($BQ42/$BP42)*(BF42-$BP42)*$AJ$18*AL42/1000</f>
        <v>0</v>
      </c>
      <c r="BU42" s="3">
        <f>($BQ42/$BP42)*(BG42-$BP42)*$AJ$18*AN42/1000</f>
        <v>0</v>
      </c>
      <c r="BV42" s="3">
        <f>($BQ42/$BP42)*(BH42-$BP42)*$AJ$18*AP42/1000</f>
        <v>0</v>
      </c>
      <c r="BW42" s="3">
        <f>($BQ42/$BP42)*(BI42-$BP42)*$AJ$18*AR42/1000</f>
        <v>0</v>
      </c>
      <c r="BX42" s="3">
        <f>($BQ42/$BP42)*(BJ42-$BP42)*$AJ$18*AT42/1000</f>
        <v>0</v>
      </c>
      <c r="BY42" s="175">
        <f>IF(Q42=0,0,(0.5*$O$12*BP42*BQ42/1000*(R42/2-$BP42/3)+BS42*(BE42-R42/2)+BT42*(BF42-R42/2)+BU42*(BG42-R42/2)+BV42*(BH42-R42/2)+BW42*(BI42-R42/2)+BX42*(BJ42-R42/2))/1000-ABS(P42))</f>
        <v>-8.1475809565745294E-7</v>
      </c>
      <c r="BZ42" s="10"/>
      <c r="CA42" s="176">
        <f>ABS(P42)/(BK42-BP42/3)/AV42*10^6-Q42*(R42/2-BP42/3)/(BK42-BP42/3)/AV42*1000</f>
        <v>179.06183930204583</v>
      </c>
      <c r="CB42" s="177">
        <f>(AV42/($O$12*MIN(2.5*(R42-BK42),(R42-BP42)/3,R42/2)-AV42))</f>
        <v>2.8536509445625698E-2</v>
      </c>
      <c r="CC42" s="177">
        <f>3.4*($O$16+$AX$14)+0.425*0.8*0.5*(T42^2+W42^2+Z42^2+AC42^2+AF42^2+AI42^2)/(T42+W42+Z42+AC42+AF42+AI42)/CB42</f>
        <v>472.83298580246947</v>
      </c>
      <c r="CD42" s="177">
        <f>MAX(0.6*CA42/$AJ$17,(CA42-0.4*0.3*$AJ$14^(2/3)/CB42*(1+$AJ$17/$AJ$15*CB42))/$AJ$17)</f>
        <v>0.58544851338404302</v>
      </c>
      <c r="CE42" s="178">
        <f>CC42*CD42/1000</f>
        <v>0.27681936861699408</v>
      </c>
      <c r="CF42" s="23" t="str">
        <f>IF(AND(AV42&gt;=BD42,AV42&gt;=BO42,CE42&lt;=(+IF(CO42="External",0.25,0.3))),"O.K", "Not O.K")</f>
        <v>O.K</v>
      </c>
      <c r="CG42" s="28"/>
      <c r="CH42" s="179" t="str">
        <f>IF(O42&lt;0.2*$AJ$14*R42*$O$12/1000,"N &lt; 0.2fckAc - OK!","TBA")</f>
        <v>N &lt; 0.2fckAc - OK!</v>
      </c>
      <c r="CI42" s="24"/>
      <c r="CJ42" s="25"/>
      <c r="CK42" s="6">
        <f t="shared" si="10"/>
        <v>103</v>
      </c>
      <c r="CL42" s="8" t="s">
        <v>72</v>
      </c>
      <c r="CM42" s="6">
        <f t="shared" si="11"/>
        <v>203</v>
      </c>
      <c r="CN42" s="26" t="s">
        <v>145</v>
      </c>
      <c r="CO42" s="27" t="s">
        <v>106</v>
      </c>
      <c r="CP42" s="2">
        <v>-1538</v>
      </c>
      <c r="CQ42" s="15">
        <v>1473</v>
      </c>
      <c r="CR42" s="3">
        <v>-1116</v>
      </c>
      <c r="CS42" s="15">
        <v>1071</v>
      </c>
      <c r="CT42" s="20">
        <v>1000</v>
      </c>
      <c r="CU42" s="2">
        <v>103</v>
      </c>
      <c r="CV42" s="15">
        <v>203</v>
      </c>
      <c r="CW42" s="6"/>
      <c r="CX42" s="278"/>
      <c r="CY42" s="6"/>
      <c r="CZ42" s="6"/>
      <c r="DA42" s="6"/>
      <c r="DB42" s="6"/>
      <c r="DC42" s="6"/>
      <c r="DD42" s="6"/>
      <c r="DE42" s="6"/>
      <c r="DF42" s="6"/>
      <c r="DG42" s="6"/>
      <c r="DH42" s="6"/>
      <c r="DI42" s="6"/>
      <c r="DJ42" s="212"/>
      <c r="DK42" s="13"/>
      <c r="DL42" s="13"/>
      <c r="DM42" s="202"/>
      <c r="DN42" s="206">
        <f>IF(CO42="external",T42,0)</f>
        <v>0</v>
      </c>
      <c r="DO42" s="206">
        <f>IF(CO42="external",W42,0)</f>
        <v>0</v>
      </c>
      <c r="DP42" s="206">
        <f>IF(CO42="external",Z42,0)</f>
        <v>0</v>
      </c>
      <c r="DQ42" s="206">
        <f>IF(CO42="external",AC42,0)</f>
        <v>0</v>
      </c>
      <c r="DR42" s="206">
        <f>IF(CO42="external",AF42,0)</f>
        <v>0</v>
      </c>
      <c r="DS42" s="207">
        <f>IF(CO42="external",AI42,0)</f>
        <v>0</v>
      </c>
      <c r="DT42" s="208"/>
      <c r="DU42" s="207">
        <f>IF(CO42="internal",T42,0)</f>
        <v>32</v>
      </c>
      <c r="DV42" s="207">
        <f>IF(CO42="internal",W42,0)</f>
        <v>0</v>
      </c>
      <c r="DW42" s="207">
        <f>IF(CO42="internal",Z42,0)</f>
        <v>0</v>
      </c>
      <c r="DX42" s="207">
        <f>IF(CO42="internal",AC42,0)</f>
        <v>0</v>
      </c>
      <c r="DY42" s="207">
        <f>IF(CO42="internal",AF42,0)</f>
        <v>0</v>
      </c>
      <c r="DZ42" s="207">
        <f>IF(CO42="internal",AI42,0)</f>
        <v>0</v>
      </c>
    </row>
    <row r="43" spans="1:131" s="7" customFormat="1" x14ac:dyDescent="0.3">
      <c r="B43" s="19">
        <f>+CI43</f>
        <v>0</v>
      </c>
      <c r="C43" s="6">
        <f t="shared" si="20"/>
        <v>0</v>
      </c>
      <c r="D43" s="6">
        <f t="shared" si="20"/>
        <v>104</v>
      </c>
      <c r="E43" s="6" t="str">
        <f t="shared" si="20"/>
        <v>--</v>
      </c>
      <c r="F43" s="6">
        <f>+CM43</f>
        <v>204</v>
      </c>
      <c r="G43" s="174" t="str">
        <f t="shared" si="21"/>
        <v>Min Fx</v>
      </c>
      <c r="H43" s="6" t="str">
        <f t="shared" si="21"/>
        <v>Internal</v>
      </c>
      <c r="I43" s="156"/>
      <c r="J43" s="10">
        <f t="shared" si="22"/>
        <v>-1132</v>
      </c>
      <c r="K43" s="10">
        <f t="shared" si="22"/>
        <v>729</v>
      </c>
      <c r="L43" s="10">
        <f t="shared" si="22"/>
        <v>-838</v>
      </c>
      <c r="M43" s="10">
        <f t="shared" si="22"/>
        <v>655</v>
      </c>
      <c r="N43" s="10">
        <f>IF(I43*J43&gt;=0,J43*$J$19+I43*$J$18,J43)</f>
        <v>-1132</v>
      </c>
      <c r="O43" s="10">
        <f>(K43)*$J$19</f>
        <v>729</v>
      </c>
      <c r="P43" s="14">
        <f>IF(I43*L43&gt;=0,(L43)+I43,L43)</f>
        <v>-838</v>
      </c>
      <c r="Q43" s="3">
        <f>(M43)</f>
        <v>655</v>
      </c>
      <c r="R43" s="20">
        <f t="shared" si="19"/>
        <v>1000</v>
      </c>
      <c r="S43" s="23"/>
      <c r="T43" s="12">
        <v>32</v>
      </c>
      <c r="U43" s="28"/>
      <c r="V43" s="28"/>
      <c r="W43" s="12"/>
      <c r="X43" s="28"/>
      <c r="Y43" s="28"/>
      <c r="Z43" s="12"/>
      <c r="AA43" s="28"/>
      <c r="AB43" s="28"/>
      <c r="AC43" s="158"/>
      <c r="AD43" s="28"/>
      <c r="AE43" s="28"/>
      <c r="AF43" s="158"/>
      <c r="AG43" s="28"/>
      <c r="AH43" s="28"/>
      <c r="AI43" s="29"/>
      <c r="AJ43" s="6">
        <f>PI()/4*T43^2*$O$12/$AX$16</f>
        <v>5361.6514621265796</v>
      </c>
      <c r="AK43" s="28" t="str">
        <f>IF(W43=0,"","+")</f>
        <v/>
      </c>
      <c r="AL43" s="6">
        <f>PI()/4*W43^2*$O$12/$AX$16</f>
        <v>0</v>
      </c>
      <c r="AM43" s="28" t="str">
        <f>IF(Z43=0,"","+")</f>
        <v/>
      </c>
      <c r="AN43" s="6">
        <f>PI()/4*Z43^2*$O$12/$AX$16</f>
        <v>0</v>
      </c>
      <c r="AO43" s="28" t="str">
        <f>IF(AC43=0,"","+")</f>
        <v/>
      </c>
      <c r="AP43" s="6">
        <f>PI()/4*AC43^2*$O$12/$AX$16</f>
        <v>0</v>
      </c>
      <c r="AQ43" s="28" t="str">
        <f>IF(AF43=0,"","+")</f>
        <v/>
      </c>
      <c r="AR43" s="6">
        <f>PI()/4*AF43^2*$O$12/$AX$16</f>
        <v>0</v>
      </c>
      <c r="AS43" s="28" t="str">
        <f>IF(AI43=0,"","+")</f>
        <v/>
      </c>
      <c r="AT43" s="6">
        <f>PI()/4*AI43^2*$O$12/$AX$16</f>
        <v>0</v>
      </c>
      <c r="AU43" s="28" t="s">
        <v>24</v>
      </c>
      <c r="AV43" s="15">
        <f>VALUE(AJ43)+VALUE(AL43)+VALUE(AN43)+VALUE(AP43)+VALUE(AR43)+VALUE(AT43)</f>
        <v>5361.6514621265796</v>
      </c>
      <c r="AW43" s="228">
        <f>MAX(0.3*$AJ$14^(2/3)/$AJ$16*0.26*100,0.13)</f>
        <v>0.15723814702688016</v>
      </c>
      <c r="AX43" s="6">
        <f>AW43/100*$O$12*BK43</f>
        <v>1416.7157047121905</v>
      </c>
      <c r="AY43" s="6"/>
      <c r="AZ43" s="6"/>
      <c r="BA43" s="24" t="str">
        <f>IF(BB43=0,"","+")</f>
        <v/>
      </c>
      <c r="BB43" s="24"/>
      <c r="BC43" s="28" t="s">
        <v>24</v>
      </c>
      <c r="BD43" s="15">
        <f>AX43+AZ43+BB43</f>
        <v>1416.7157047121905</v>
      </c>
      <c r="BE43" s="2">
        <f>(R43-($AX$14+$O$16+T43/2))</f>
        <v>901</v>
      </c>
      <c r="BF43" s="3">
        <f>IF(W43=0,0,(R43-($AX$14+T43/2+$O$16+$BI$16)))</f>
        <v>0</v>
      </c>
      <c r="BG43" s="3">
        <f>IF(Z43=0,0,(R43-($AX$14+T43/2+$BI$16+$O$16+$BI$17)))</f>
        <v>0</v>
      </c>
      <c r="BH43" s="3">
        <f>IF(AC43=0,0,(R43-($AX$14+T43/2+$O$16+$BI$16+$BI$17+$BI$18)))</f>
        <v>0</v>
      </c>
      <c r="BI43" s="3">
        <f>IF(AF43=0,0,(R43-($AX$14+T43/2+$O$16+$BI$16+$BI$17+$BI$18+$BL$16)))</f>
        <v>0</v>
      </c>
      <c r="BJ43" s="3">
        <f>IF(AI43=0,0,(R43-($AX$14+T43/2+$O$16+$BI$16+$BI$17+$BI$18+$BL$16+$BL$17)))</f>
        <v>0</v>
      </c>
      <c r="BK43" s="6">
        <f>(BE43*AJ43+BF43*AL43+BG43*AN43+BH43*AP43+BI43*AR43+BJ43*AT43)/AV43</f>
        <v>901.00000000000011</v>
      </c>
      <c r="BL43" s="175">
        <f>ABS(N43)*1000000/$O$12/BK43^2</f>
        <v>1.3944304084375354</v>
      </c>
      <c r="BM43" s="175">
        <f>BL43/$AJ$14</f>
        <v>4.3575950263672981E-2</v>
      </c>
      <c r="BN43" s="21">
        <f>IF(BM43&lt;0.167,0.5+SQRT(0.25-(BM43/1.134)),0.82)</f>
        <v>0.95997090788337236</v>
      </c>
      <c r="BO43" s="15">
        <f>ABS(N43)/(0.87*$AJ$16*BN43*BK43)*10^6</f>
        <v>3008.6682780461938</v>
      </c>
      <c r="BP43" s="22">
        <v>400.14717996152609</v>
      </c>
      <c r="BQ43" s="175">
        <f>IF(Q43=0,2*ABS(P43*10^6)/$O$12/BP43/(BK43-BP43/3),Q43*BP43*1000/($O$12/2*BP43^2-(BE43-BP43)*AJ43*$AJ$18-(BF43-BP43)*AL43*$AJ$18-(BG43-BP43)*AN43*$AJ$18-(BH43-BP43)*AP43*$AJ$18-(BI43-BP43)*AR43*$AJ$18-(BJ43-BP43)*AT43*$AJ$18))</f>
        <v>7.1666553299550646</v>
      </c>
      <c r="BR43" s="3">
        <f>0.5*$O$12*BP43*BQ43 /1000</f>
        <v>1433.8584600188794</v>
      </c>
      <c r="BS43" s="3">
        <f>($BQ43/$BP43)*(BE43-$BP43)*$AJ$18*AJ43/1000</f>
        <v>778.85846001887978</v>
      </c>
      <c r="BT43" s="3">
        <f>($BQ43/$BP43)*(BF43-$BP43)*$AJ$18*AL43/1000</f>
        <v>0</v>
      </c>
      <c r="BU43" s="3">
        <f>($BQ43/$BP43)*(BG43-$BP43)*$AJ$18*AN43/1000</f>
        <v>0</v>
      </c>
      <c r="BV43" s="3">
        <f>($BQ43/$BP43)*(BH43-$BP43)*$AJ$18*AP43/1000</f>
        <v>0</v>
      </c>
      <c r="BW43" s="3">
        <f>($BQ43/$BP43)*(BI43-$BP43)*$AJ$18*AR43/1000</f>
        <v>0</v>
      </c>
      <c r="BX43" s="3">
        <f>($BQ43/$BP43)*(BJ43-$BP43)*$AJ$18*AT43/1000</f>
        <v>0</v>
      </c>
      <c r="BY43" s="175">
        <f>IF(Q43=0,0,(0.5*$O$12*BP43*BQ43/1000*(R43/2-$BP43/3)+BS43*(BE43-R43/2)+BT43*(BF43-R43/2)+BU43*(BG43-R43/2)+BV43*(BH43-R43/2)+BW43*(BI43-R43/2)+BX43*(BJ43-R43/2))/1000-ABS(P43))</f>
        <v>-6.0316654071357334E-7</v>
      </c>
      <c r="BZ43" s="10"/>
      <c r="CA43" s="176">
        <f>ABS(P43)/(BK43-BP43/3)/AV43*10^6-Q43*(R43/2-BP43/3)/(BK43-BP43/3)/AV43*1000</f>
        <v>145.26465703828629</v>
      </c>
      <c r="CB43" s="177">
        <f>(AV43/($O$12*MIN(2.5*(R43-BK43),(R43-BP43)/3,R43/2)-AV43))</f>
        <v>2.7553682435760906E-2</v>
      </c>
      <c r="CC43" s="177">
        <f>3.4*($O$16+$AX$14)+0.425*0.8*0.5*(T43^2+W43^2+Z43^2+AC43^2+AF43^2+AI43^2)/(T43+W43+Z43+AC43+AF43+AI43)/CB43</f>
        <v>479.63277555306456</v>
      </c>
      <c r="CD43" s="177">
        <f>MAX(0.6*CA43/$AJ$17,(CA43-0.4*0.3*$AJ$14^(2/3)/CB43*(1+$AJ$17/$AJ$15*CB43))/$AJ$17)</f>
        <v>0.43579397111485885</v>
      </c>
      <c r="CE43" s="178">
        <f>CC43*CD43/1000</f>
        <v>0.2090210719351118</v>
      </c>
      <c r="CF43" s="23" t="str">
        <f>IF(AND(AV43&gt;=BD43,AV43&gt;=BO43,CE43&lt;=(+IF(CO43="External",0.25,0.3))),"O.K", "Not O.K")</f>
        <v>O.K</v>
      </c>
      <c r="CG43" s="28"/>
      <c r="CH43" s="179" t="str">
        <f>IF(O43&lt;0.2*$AJ$14*R43*$O$12/1000,"N &lt; 0.2fckAc - OK!","TBA")</f>
        <v>N &lt; 0.2fckAc - OK!</v>
      </c>
      <c r="CI43" s="24"/>
      <c r="CJ43" s="25"/>
      <c r="CK43" s="6">
        <f t="shared" si="10"/>
        <v>104</v>
      </c>
      <c r="CL43" s="8" t="s">
        <v>72</v>
      </c>
      <c r="CM43" s="6">
        <f t="shared" si="11"/>
        <v>204</v>
      </c>
      <c r="CN43" s="26" t="s">
        <v>146</v>
      </c>
      <c r="CO43" s="27" t="s">
        <v>106</v>
      </c>
      <c r="CP43" s="2">
        <v>-1132</v>
      </c>
      <c r="CQ43" s="15">
        <v>729</v>
      </c>
      <c r="CR43" s="3">
        <v>-838</v>
      </c>
      <c r="CS43" s="15">
        <v>655</v>
      </c>
      <c r="CT43" s="20">
        <v>1000</v>
      </c>
      <c r="CU43" s="2">
        <v>104</v>
      </c>
      <c r="CV43" s="15">
        <v>204</v>
      </c>
      <c r="CW43" s="6"/>
      <c r="CX43" s="278"/>
      <c r="CY43" s="6"/>
      <c r="CZ43" s="6"/>
      <c r="DA43" s="6"/>
      <c r="DB43" s="6"/>
      <c r="DC43" s="6"/>
      <c r="DD43" s="6"/>
      <c r="DE43" s="6"/>
      <c r="DF43" s="6"/>
      <c r="DG43" s="6"/>
      <c r="DH43" s="6"/>
      <c r="DI43" s="6"/>
      <c r="DJ43" s="212"/>
      <c r="DK43" s="13"/>
      <c r="DL43" s="13"/>
      <c r="DM43" s="202"/>
      <c r="DN43" s="206">
        <f>IF(CO43="external",T43,0)</f>
        <v>0</v>
      </c>
      <c r="DO43" s="206">
        <f>IF(CO43="external",W43,0)</f>
        <v>0</v>
      </c>
      <c r="DP43" s="206">
        <f>IF(CO43="external",Z43,0)</f>
        <v>0</v>
      </c>
      <c r="DQ43" s="206">
        <f>IF(CO43="external",AC43,0)</f>
        <v>0</v>
      </c>
      <c r="DR43" s="206">
        <f>IF(CO43="external",AF43,0)</f>
        <v>0</v>
      </c>
      <c r="DS43" s="207">
        <f>IF(CO43="external",AI43,0)</f>
        <v>0</v>
      </c>
      <c r="DT43" s="208"/>
      <c r="DU43" s="207">
        <f>IF(CO43="internal",T43,0)</f>
        <v>32</v>
      </c>
      <c r="DV43" s="207">
        <f>IF(CO43="internal",W43,0)</f>
        <v>0</v>
      </c>
      <c r="DW43" s="207">
        <f>IF(CO43="internal",Z43,0)</f>
        <v>0</v>
      </c>
      <c r="DX43" s="207">
        <f>IF(CO43="internal",AC43,0)</f>
        <v>0</v>
      </c>
      <c r="DY43" s="207">
        <f>IF(CO43="internal",AF43,0)</f>
        <v>0</v>
      </c>
      <c r="DZ43" s="207">
        <f>IF(CO43="internal",AI43,0)</f>
        <v>0</v>
      </c>
    </row>
    <row r="44" spans="1:131" s="7" customFormat="1" x14ac:dyDescent="0.3">
      <c r="B44" s="242"/>
      <c r="C44" s="238"/>
      <c r="D44" s="237"/>
      <c r="E44" s="238"/>
      <c r="F44" s="238"/>
      <c r="G44" s="239"/>
      <c r="H44" s="67"/>
      <c r="I44" s="67"/>
      <c r="J44" s="67"/>
      <c r="K44" s="67"/>
      <c r="L44" s="67"/>
      <c r="M44" s="67"/>
      <c r="N44" s="67"/>
      <c r="O44" s="67"/>
      <c r="P44" s="67"/>
      <c r="Q44" s="67"/>
      <c r="R44" s="67"/>
      <c r="S44" s="67"/>
      <c r="T44" s="240"/>
      <c r="U44" s="67"/>
      <c r="V44" s="67"/>
      <c r="W44" s="240"/>
      <c r="X44" s="67"/>
      <c r="Y44" s="67"/>
      <c r="Z44" s="67"/>
      <c r="AA44" s="67"/>
      <c r="AB44" s="67"/>
      <c r="AC44" s="67"/>
      <c r="AD44" s="67"/>
      <c r="AE44" s="67"/>
      <c r="AF44" s="67"/>
      <c r="AG44" s="67"/>
      <c r="AH44" s="67"/>
      <c r="AI44" s="241"/>
      <c r="AJ44" s="67"/>
      <c r="AK44" s="67"/>
      <c r="AL44" s="67"/>
      <c r="AM44" s="67"/>
      <c r="AN44" s="67"/>
      <c r="AO44" s="67"/>
      <c r="AP44" s="67"/>
      <c r="AQ44" s="67"/>
      <c r="AR44" s="67"/>
      <c r="AS44" s="67"/>
      <c r="AT44" s="67"/>
      <c r="AU44" s="67"/>
      <c r="AV44" s="67"/>
      <c r="AW44" s="67"/>
      <c r="AX44" s="67"/>
      <c r="AY44" s="67"/>
      <c r="AZ44" s="67"/>
      <c r="BA44" s="67"/>
      <c r="BB44" s="67"/>
      <c r="BC44" s="67"/>
      <c r="BD44" s="67"/>
      <c r="BE44" s="67"/>
      <c r="BF44" s="67"/>
      <c r="BG44" s="67"/>
      <c r="BH44" s="67"/>
      <c r="BI44" s="67"/>
      <c r="BJ44" s="67"/>
      <c r="BK44" s="67"/>
      <c r="BL44" s="67"/>
      <c r="BM44" s="67"/>
      <c r="BN44" s="67"/>
      <c r="BO44" s="67"/>
      <c r="BP44" s="67"/>
      <c r="BQ44" s="67"/>
      <c r="BR44" s="67"/>
      <c r="BS44" s="67"/>
      <c r="BT44" s="67"/>
      <c r="BU44" s="67"/>
      <c r="BV44" s="67"/>
      <c r="BW44" s="67"/>
      <c r="BX44" s="67"/>
      <c r="BY44" s="67"/>
      <c r="BZ44" s="67"/>
      <c r="CA44" s="67"/>
      <c r="CB44" s="67"/>
      <c r="CC44" s="67"/>
      <c r="CD44" s="67"/>
      <c r="CE44" s="67"/>
      <c r="CH44" s="243"/>
      <c r="CI44" s="6"/>
      <c r="CJ44" s="37"/>
      <c r="CK44" s="6">
        <f t="shared" si="10"/>
        <v>0</v>
      </c>
      <c r="CL44" s="8" t="s">
        <v>72</v>
      </c>
      <c r="CM44" s="6">
        <f t="shared" si="11"/>
        <v>0</v>
      </c>
      <c r="CN44" s="39"/>
      <c r="CO44" s="40"/>
      <c r="CP44" s="13"/>
      <c r="CQ44" s="13"/>
      <c r="CR44" s="13"/>
      <c r="CS44" s="13"/>
      <c r="CU44" s="6"/>
      <c r="CV44" s="6"/>
      <c r="CW44" s="28"/>
      <c r="CX44" s="280"/>
      <c r="CY44" s="185"/>
      <c r="CZ44" s="185"/>
      <c r="DA44" s="185"/>
      <c r="DB44" s="185"/>
      <c r="DC44" s="185"/>
      <c r="DD44" s="185"/>
      <c r="DE44" s="185"/>
      <c r="DF44" s="185"/>
      <c r="DG44" s="185"/>
      <c r="DH44" s="185"/>
      <c r="DI44" s="185"/>
      <c r="DJ44" s="209"/>
      <c r="DK44" s="185"/>
      <c r="DL44" s="185"/>
      <c r="DM44" s="186"/>
      <c r="DN44" s="187"/>
      <c r="DO44" s="187"/>
      <c r="DP44" s="187"/>
      <c r="DQ44" s="187"/>
      <c r="DR44" s="187"/>
      <c r="DS44" s="187"/>
      <c r="DT44" s="188"/>
      <c r="DU44" s="187"/>
      <c r="DV44" s="187"/>
      <c r="DW44" s="187"/>
      <c r="DX44" s="187"/>
      <c r="DY44" s="187"/>
      <c r="DZ44" s="187"/>
      <c r="EA44" s="185"/>
    </row>
    <row r="45" spans="1:131" s="7" customFormat="1" ht="13.8" x14ac:dyDescent="0.25">
      <c r="A45" s="7" t="s">
        <v>141</v>
      </c>
      <c r="B45" s="19">
        <f>+CI45</f>
        <v>85</v>
      </c>
      <c r="C45" s="6">
        <f t="shared" ref="C45:E48" si="25">CJ45</f>
        <v>0</v>
      </c>
      <c r="D45" s="6">
        <f t="shared" si="25"/>
        <v>103</v>
      </c>
      <c r="E45" s="6" t="str">
        <f t="shared" si="25"/>
        <v>--</v>
      </c>
      <c r="F45" s="6">
        <f>+CM45</f>
        <v>203</v>
      </c>
      <c r="G45" s="174" t="str">
        <f t="shared" ref="G45:H48" si="26">CN45</f>
        <v>Max Mz</v>
      </c>
      <c r="H45" s="6" t="str">
        <f t="shared" si="26"/>
        <v>External</v>
      </c>
      <c r="I45" s="156"/>
      <c r="J45" s="10">
        <f t="shared" ref="J45:M48" si="27">(CP45)</f>
        <v>2420</v>
      </c>
      <c r="K45" s="10">
        <f t="shared" si="27"/>
        <v>1490</v>
      </c>
      <c r="L45" s="10">
        <f t="shared" si="27"/>
        <v>1760</v>
      </c>
      <c r="M45" s="10">
        <f t="shared" si="27"/>
        <v>1083</v>
      </c>
      <c r="N45" s="10">
        <f>IF(I45*J45&gt;=0,J45*$J$19+I45*$J$18,J45)</f>
        <v>2420</v>
      </c>
      <c r="O45" s="10">
        <f>(K45)*$J$19</f>
        <v>1490</v>
      </c>
      <c r="P45" s="14">
        <f>IF(I45*L45&gt;=0,(L45)+I45,L45)</f>
        <v>1760</v>
      </c>
      <c r="Q45" s="3">
        <f>(M45)</f>
        <v>1083</v>
      </c>
      <c r="R45" s="20">
        <f>CT45</f>
        <v>1000</v>
      </c>
      <c r="S45" s="23"/>
      <c r="T45" s="12">
        <v>40</v>
      </c>
      <c r="U45" s="28"/>
      <c r="V45" s="28"/>
      <c r="W45" s="12">
        <v>25</v>
      </c>
      <c r="X45" s="28"/>
      <c r="Y45" s="28"/>
      <c r="Z45" s="12"/>
      <c r="AA45" s="28"/>
      <c r="AB45" s="28"/>
      <c r="AC45" s="158"/>
      <c r="AD45" s="28"/>
      <c r="AE45" s="28"/>
      <c r="AF45" s="158"/>
      <c r="AG45" s="28"/>
      <c r="AH45" s="28"/>
      <c r="AI45" s="29"/>
      <c r="AJ45" s="6">
        <f>PI()/4*T45^2*$O$12/$AX$16</f>
        <v>8377.5804095727817</v>
      </c>
      <c r="AK45" s="28" t="str">
        <f>IF(W45=0,"","+")</f>
        <v>+</v>
      </c>
      <c r="AL45" s="6">
        <f>PI()/4*W45^2*$O$12/$AX$16</f>
        <v>3272.4923474893681</v>
      </c>
      <c r="AM45" s="28" t="str">
        <f>IF(Z45=0,"","+")</f>
        <v/>
      </c>
      <c r="AN45" s="6">
        <f>PI()/4*Z45^2*$O$12/$AX$16</f>
        <v>0</v>
      </c>
      <c r="AO45" s="28" t="str">
        <f>IF(AC45=0,"","+")</f>
        <v/>
      </c>
      <c r="AP45" s="6">
        <f>PI()/4*AC45^2*$O$12/$AX$16</f>
        <v>0</v>
      </c>
      <c r="AQ45" s="28" t="str">
        <f>IF(AF45=0,"","+")</f>
        <v/>
      </c>
      <c r="AR45" s="6">
        <f>PI()/4*AF45^2*$O$12/$AX$16</f>
        <v>0</v>
      </c>
      <c r="AS45" s="28" t="str">
        <f>IF(AI45=0,"","+")</f>
        <v/>
      </c>
      <c r="AT45" s="6">
        <f>PI()/4*AI45^2*$O$12/$AX$16</f>
        <v>0</v>
      </c>
      <c r="AU45" s="28" t="s">
        <v>24</v>
      </c>
      <c r="AV45" s="15">
        <f>VALUE(AJ45)+VALUE(AL45)+VALUE(AN45)+VALUE(AP45)+VALUE(AR45)+VALUE(AT45)</f>
        <v>11650.072757062149</v>
      </c>
      <c r="AW45" s="228">
        <f>MAX(0.3*$AJ$14^(2/3)/$AJ$16*0.26*100,0.13)</f>
        <v>0.15723814702688016</v>
      </c>
      <c r="AX45" s="6">
        <f>AW45/100*$O$12*BK45</f>
        <v>1375.0917637688949</v>
      </c>
      <c r="AY45" s="6"/>
      <c r="AZ45" s="6"/>
      <c r="BA45" s="24" t="str">
        <f>IF(BB45=0,"","+")</f>
        <v/>
      </c>
      <c r="BB45" s="24"/>
      <c r="BC45" s="28" t="s">
        <v>24</v>
      </c>
      <c r="BD45" s="15">
        <f>AX45+AZ45+BB45</f>
        <v>1375.0917637688949</v>
      </c>
      <c r="BE45" s="2">
        <f>(R45-($AX$14+$O$16+T45/2))</f>
        <v>897</v>
      </c>
      <c r="BF45" s="3">
        <f>IF(W45=0,0,(R45-($AX$14+T45/2+$O$16+$BI$16)))</f>
        <v>817</v>
      </c>
      <c r="BG45" s="3">
        <f>IF(Z45=0,0,(R45-($AX$14+T45/2+$BI$16+$O$16+$BI$17)))</f>
        <v>0</v>
      </c>
      <c r="BH45" s="3">
        <f>IF(AC45=0,0,(R45-($AX$14+T45/2+$O$16+$BI$16+$BI$17+$BI$18)))</f>
        <v>0</v>
      </c>
      <c r="BI45" s="3">
        <f>IF(AF45=0,0,(R45-($AX$14+T45/2+$O$16+$BI$16+$BI$17+$BI$18+$BL$16)))</f>
        <v>0</v>
      </c>
      <c r="BJ45" s="3">
        <f>IF(AI45=0,0,(R45-($AX$14+T45/2+$O$16+$BI$16+$BI$17+$BI$18+$BL$16+$BL$17)))</f>
        <v>0</v>
      </c>
      <c r="BK45" s="6">
        <f>(BE45*AJ45+BF45*AL45+BG45*AN45+BH45*AP45+BI45*AR45+BJ45*AT45)/AV45</f>
        <v>874.52808988764048</v>
      </c>
      <c r="BL45" s="175">
        <f>ABS(N45)*1000000/$O$12/BK45^2</f>
        <v>3.16422850655555</v>
      </c>
      <c r="BM45" s="175">
        <f>BL45/$AJ$14</f>
        <v>9.8882140829860937E-2</v>
      </c>
      <c r="BN45" s="21">
        <f>IF(BM45&lt;0.167,0.5+SQRT(0.25-(BM45/1.134)),0.82)</f>
        <v>0.90348772589412496</v>
      </c>
      <c r="BO45" s="15">
        <f>ABS(N45)/(0.87*$AJ$16*BN45*BK45)*10^6</f>
        <v>7040.9310026747098</v>
      </c>
      <c r="BP45" s="22">
        <v>481.00264787363017</v>
      </c>
      <c r="BQ45" s="175">
        <f>IF(Q45=0,2*ABS(P45*10^6)/$O$12/BP45/(BK45-BP45/3),Q45*BP45*1000/($O$12/2*BP45^2-(BE45-BP45)*AJ45*$AJ$18-(BF45-BP45)*AL45*$AJ$18-(BG45-BP45)*AN45*$AJ$18-(BH45-BP45)*AP45*$AJ$18-(BI45-BP45)*AR45*$AJ$18-(BJ45-BP45)*AT45*$AJ$18))</f>
        <v>12.570926227033238</v>
      </c>
      <c r="BR45" s="3">
        <f>0.5*$O$12*BP45*BQ45 /1000</f>
        <v>3023.3244007135258</v>
      </c>
      <c r="BS45" s="3">
        <f>($BQ45/$BP45)*(BE45-$BP45)*$AJ$18*AJ45/1000</f>
        <v>1474.9661837960948</v>
      </c>
      <c r="BT45" s="3">
        <f>($BQ45/$BP45)*(BF45-$BP45)*$AJ$18*AL45/1000</f>
        <v>465.35821691743098</v>
      </c>
      <c r="BU45" s="3">
        <f>($BQ45/$BP45)*(BG45-$BP45)*$AJ$18*AN45/1000</f>
        <v>0</v>
      </c>
      <c r="BV45" s="3">
        <f>($BQ45/$BP45)*(BH45-$BP45)*$AJ$18*AP45/1000</f>
        <v>0</v>
      </c>
      <c r="BW45" s="3">
        <f>($BQ45/$BP45)*(BI45-$BP45)*$AJ$18*AR45/1000</f>
        <v>0</v>
      </c>
      <c r="BX45" s="3">
        <f>($BQ45/$BP45)*(BJ45-$BP45)*$AJ$18*AT45/1000</f>
        <v>0</v>
      </c>
      <c r="BY45" s="175">
        <f>IF(Q45=0,0,(0.5*$O$12*BP45*BQ45/1000*(R45/2-$BP45/3)+BS45*(BE45-R45/2)+BT45*(BF45-R45/2)+BU45*(BG45-R45/2)+BV45*(BH45-R45/2)+BW45*(BI45-R45/2)+BX45*(BJ45-R45/2))/1000-ABS(P45))</f>
        <v>-1.7288082517552539E-5</v>
      </c>
      <c r="BZ45" s="10"/>
      <c r="CA45" s="176">
        <f>ABS(P45)/(BK45-BP45/3)/AV45*10^6-Q45*(R45/2-BP45/3)/(BK45-BP45/3)/AV45*1000</f>
        <v>167.31649720484006</v>
      </c>
      <c r="CB45" s="177">
        <f>(AV45/($O$12*MIN(2.5*(R45-BK45),(R45-BP45)/3,R45/2)-AV45))</f>
        <v>7.2204163245066982E-2</v>
      </c>
      <c r="CC45" s="177">
        <f>3.4*($O$16+$AX$14)+0.425*0.8*0.5*(T45^2+W45^2+Z45^2+AC45^2+AF45^2+AI45^2)/(T45+W45+Z45+AC45+AF45+AI45)/CB45</f>
        <v>362.79411684447905</v>
      </c>
      <c r="CD45" s="177">
        <f>MAX(0.6*CA45/$AJ$17,(CA45-0.4*0.3*$AJ$14^(2/3)/CB45*(1+$AJ$17/$AJ$15*CB45))/$AJ$17)</f>
        <v>0.65489031384946572</v>
      </c>
      <c r="CE45" s="178">
        <f>CC45*CD45/1000</f>
        <v>0.23759035304302062</v>
      </c>
      <c r="CF45" s="23" t="str">
        <f>IF(AND(AV45&gt;=BD45,AV45&gt;=BO45,CE45&lt;=(+IF(CO45="External",0.25,0.3))),"O.K", "Not O.K")</f>
        <v>O.K</v>
      </c>
      <c r="CG45" s="28"/>
      <c r="CH45" s="179" t="str">
        <f>IF(O45&lt;0.2*$AJ$14*R45*$O$12/1000,"N &lt; 0.2fckAc - OK!","TBA")</f>
        <v>N &lt; 0.2fckAc - OK!</v>
      </c>
      <c r="CI45" s="24">
        <v>85</v>
      </c>
      <c r="CJ45" s="25"/>
      <c r="CK45" s="6">
        <f t="shared" si="10"/>
        <v>103</v>
      </c>
      <c r="CL45" s="8" t="s">
        <v>72</v>
      </c>
      <c r="CM45" s="6">
        <f t="shared" si="11"/>
        <v>203</v>
      </c>
      <c r="CN45" s="26" t="s">
        <v>147</v>
      </c>
      <c r="CO45" s="27" t="s">
        <v>105</v>
      </c>
      <c r="CP45" s="2">
        <v>2420</v>
      </c>
      <c r="CQ45" s="15">
        <v>1490</v>
      </c>
      <c r="CR45" s="3">
        <v>1760</v>
      </c>
      <c r="CS45" s="3">
        <v>1083</v>
      </c>
      <c r="CT45" s="20">
        <v>1000</v>
      </c>
      <c r="CU45" s="2">
        <v>103</v>
      </c>
      <c r="CV45" s="15">
        <v>203</v>
      </c>
      <c r="CW45" s="6"/>
      <c r="CX45" s="278">
        <f>CI45</f>
        <v>85</v>
      </c>
      <c r="CY45" s="6">
        <f t="shared" ref="CY45:DD45" si="28">MAX(DN45:DN48)</f>
        <v>40</v>
      </c>
      <c r="CZ45" s="6">
        <f t="shared" si="28"/>
        <v>25</v>
      </c>
      <c r="DA45" s="6">
        <f t="shared" si="28"/>
        <v>0</v>
      </c>
      <c r="DB45" s="6">
        <f t="shared" si="28"/>
        <v>0</v>
      </c>
      <c r="DC45" s="6">
        <f t="shared" si="28"/>
        <v>0</v>
      </c>
      <c r="DD45" s="6">
        <f t="shared" si="28"/>
        <v>0</v>
      </c>
      <c r="DE45" s="6"/>
      <c r="DF45" s="6">
        <f t="shared" ref="DF45:DK45" si="29">MAX(DU45:DU48)</f>
        <v>0</v>
      </c>
      <c r="DG45" s="6">
        <f t="shared" si="29"/>
        <v>0</v>
      </c>
      <c r="DH45" s="6">
        <f t="shared" si="29"/>
        <v>0</v>
      </c>
      <c r="DI45" s="6">
        <f t="shared" si="29"/>
        <v>0</v>
      </c>
      <c r="DJ45" s="6">
        <f t="shared" si="29"/>
        <v>0</v>
      </c>
      <c r="DK45" s="6">
        <f t="shared" si="29"/>
        <v>0</v>
      </c>
      <c r="DL45" s="13"/>
      <c r="DM45" s="202">
        <f>CI45</f>
        <v>85</v>
      </c>
      <c r="DN45" s="206">
        <f>IF(CO45="external",T45,0)</f>
        <v>40</v>
      </c>
      <c r="DO45" s="206">
        <f>IF(CO45="external",W45,0)</f>
        <v>25</v>
      </c>
      <c r="DP45" s="206">
        <f>IF(CO45="external",Z45,0)</f>
        <v>0</v>
      </c>
      <c r="DQ45" s="206">
        <f>IF(CO45="external",AC45,0)</f>
        <v>0</v>
      </c>
      <c r="DR45" s="206">
        <f>IF(CO45="external",AF45,0)</f>
        <v>0</v>
      </c>
      <c r="DS45" s="207">
        <f>IF(CO45="external",AI45,0)</f>
        <v>0</v>
      </c>
      <c r="DT45" s="208"/>
      <c r="DU45" s="207">
        <f>IF(CO45="internal",T45,0)</f>
        <v>0</v>
      </c>
      <c r="DV45" s="207">
        <f>IF(CO45="internal",W45,0)</f>
        <v>0</v>
      </c>
      <c r="DW45" s="207">
        <f>IF(CO45="internal",Z45,0)</f>
        <v>0</v>
      </c>
      <c r="DX45" s="207">
        <f>IF(CO45="internal",AC45,0)</f>
        <v>0</v>
      </c>
      <c r="DY45" s="207">
        <f>IF(CO45="internal",AF45,0)</f>
        <v>0</v>
      </c>
      <c r="DZ45" s="207">
        <f>IF(CO45="internal",AI45,0)</f>
        <v>0</v>
      </c>
    </row>
    <row r="46" spans="1:131" s="7" customFormat="1" x14ac:dyDescent="0.3">
      <c r="B46" s="19">
        <f>+CI46</f>
        <v>0</v>
      </c>
      <c r="C46" s="6">
        <f t="shared" si="25"/>
        <v>0</v>
      </c>
      <c r="D46" s="6">
        <f t="shared" si="25"/>
        <v>104</v>
      </c>
      <c r="E46" s="6" t="str">
        <f t="shared" si="25"/>
        <v>--</v>
      </c>
      <c r="F46" s="6">
        <f>+CM46</f>
        <v>213</v>
      </c>
      <c r="G46" s="174" t="str">
        <f t="shared" si="26"/>
        <v>Min Mz</v>
      </c>
      <c r="H46" s="6" t="str">
        <f t="shared" si="26"/>
        <v>External</v>
      </c>
      <c r="I46" s="156"/>
      <c r="J46" s="10">
        <f t="shared" si="27"/>
        <v>379</v>
      </c>
      <c r="K46" s="10">
        <f t="shared" si="27"/>
        <v>736</v>
      </c>
      <c r="L46" s="10">
        <f t="shared" si="27"/>
        <v>328</v>
      </c>
      <c r="M46" s="10">
        <f t="shared" si="27"/>
        <v>838</v>
      </c>
      <c r="N46" s="10">
        <f>IF(I46*J46&gt;=0,J46*$J$19+I46*$J$18,J46)</f>
        <v>379</v>
      </c>
      <c r="O46" s="10">
        <f>(K46)*$J$19</f>
        <v>736</v>
      </c>
      <c r="P46" s="14">
        <f>IF(I46*L46&gt;=0,(L46)+I46,L46)</f>
        <v>328</v>
      </c>
      <c r="Q46" s="3">
        <f>(M46)</f>
        <v>838</v>
      </c>
      <c r="R46" s="20">
        <f t="shared" ref="R46:R53" si="30">CT46</f>
        <v>1000</v>
      </c>
      <c r="S46" s="23"/>
      <c r="T46" s="12">
        <v>20</v>
      </c>
      <c r="U46" s="28"/>
      <c r="V46" s="28"/>
      <c r="W46" s="12"/>
      <c r="X46" s="28"/>
      <c r="Y46" s="28"/>
      <c r="Z46" s="12"/>
      <c r="AA46" s="28"/>
      <c r="AB46" s="28"/>
      <c r="AC46" s="158"/>
      <c r="AD46" s="28"/>
      <c r="AE46" s="28"/>
      <c r="AF46" s="158"/>
      <c r="AG46" s="28"/>
      <c r="AH46" s="28"/>
      <c r="AI46" s="29"/>
      <c r="AJ46" s="6">
        <f>PI()/4*T46^2*$O$12/$AX$16</f>
        <v>2094.3951023931954</v>
      </c>
      <c r="AK46" s="28" t="str">
        <f>IF(W46=0,"","+")</f>
        <v/>
      </c>
      <c r="AL46" s="6">
        <f>PI()/4*W46^2*$O$12/$AX$16</f>
        <v>0</v>
      </c>
      <c r="AM46" s="28" t="str">
        <f>IF(Z46=0,"","+")</f>
        <v/>
      </c>
      <c r="AN46" s="6">
        <f>PI()/4*Z46^2*$O$12/$AX$16</f>
        <v>0</v>
      </c>
      <c r="AO46" s="28" t="str">
        <f>IF(AC46=0,"","+")</f>
        <v/>
      </c>
      <c r="AP46" s="6">
        <f>PI()/4*AC46^2*$O$12/$AX$16</f>
        <v>0</v>
      </c>
      <c r="AQ46" s="28" t="str">
        <f>IF(AF46=0,"","+")</f>
        <v/>
      </c>
      <c r="AR46" s="6">
        <f>PI()/4*AF46^2*$O$12/$AX$16</f>
        <v>0</v>
      </c>
      <c r="AS46" s="28" t="str">
        <f>IF(AI46=0,"","+")</f>
        <v/>
      </c>
      <c r="AT46" s="6">
        <f>PI()/4*AI46^2*$O$12/$AX$16</f>
        <v>0</v>
      </c>
      <c r="AU46" s="28" t="s">
        <v>24</v>
      </c>
      <c r="AV46" s="15">
        <f>VALUE(AJ46)+VALUE(AL46)+VALUE(AN46)+VALUE(AP46)+VALUE(AR46)+VALUE(AT46)</f>
        <v>2094.3951023931954</v>
      </c>
      <c r="AW46" s="228">
        <f>MAX(0.3*$AJ$14^(2/3)/$AJ$16*0.26*100,0.13)</f>
        <v>0.15723814702688016</v>
      </c>
      <c r="AX46" s="6">
        <f>AW46/100*$O$12*BK46</f>
        <v>1426.1499935338031</v>
      </c>
      <c r="AY46" s="6"/>
      <c r="AZ46" s="6"/>
      <c r="BA46" s="24" t="str">
        <f>IF(BB46=0,"","+")</f>
        <v/>
      </c>
      <c r="BB46" s="24"/>
      <c r="BC46" s="28" t="s">
        <v>24</v>
      </c>
      <c r="BD46" s="15">
        <f>AX46+AZ46+BB46</f>
        <v>1426.1499935338031</v>
      </c>
      <c r="BE46" s="2">
        <f>(R46-($AX$14+$O$16+T46/2))</f>
        <v>907</v>
      </c>
      <c r="BF46" s="3">
        <f>IF(W46=0,0,(R46-($AX$14+T46/2+$O$16+$BI$16)))</f>
        <v>0</v>
      </c>
      <c r="BG46" s="3">
        <f>IF(Z46=0,0,(R46-($AX$14+T46/2+$BI$16+$O$16+$BI$17)))</f>
        <v>0</v>
      </c>
      <c r="BH46" s="3">
        <f>IF(AC46=0,0,(R46-($AX$14+T46/2+$O$16+$BI$16+$BI$17+$BI$18)))</f>
        <v>0</v>
      </c>
      <c r="BI46" s="3">
        <f>IF(AF46=0,0,(R46-($AX$14+T46/2+$O$16+$BI$16+$BI$17+$BI$18+$BL$16)))</f>
        <v>0</v>
      </c>
      <c r="BJ46" s="3">
        <f>IF(AI46=0,0,(R46-($AX$14+T46/2+$O$16+$BI$16+$BI$17+$BI$18+$BL$16+$BL$17)))</f>
        <v>0</v>
      </c>
      <c r="BK46" s="6">
        <f>(BE46*AJ46+BF46*AL46+BG46*AN46+BH46*AP46+BI46*AR46+BJ46*AT46)/AV46</f>
        <v>907</v>
      </c>
      <c r="BL46" s="175">
        <f>ABS(N46)*1000000/$O$12/BK46^2</f>
        <v>0.46070681420630183</v>
      </c>
      <c r="BM46" s="175">
        <f>BL46/$AJ$14</f>
        <v>1.4397087943946932E-2</v>
      </c>
      <c r="BN46" s="21">
        <f>IF(BM46&lt;0.167,0.5+SQRT(0.25-(BM46/1.134)),0.82)</f>
        <v>0.98713874332909657</v>
      </c>
      <c r="BO46" s="15">
        <f>ABS(N46)/(0.87*$AJ$16*BN46*BK46)*10^6</f>
        <v>973.11567549629206</v>
      </c>
      <c r="BP46" s="22">
        <v>535.82486142224741</v>
      </c>
      <c r="BQ46" s="175">
        <f>IF(Q46=0,2*ABS(P46*10^6)/$O$12/BP46/(BK46-BP46/3),Q46*BP46*1000/($O$12/2*BP46^2-(BE46-BP46)*AJ46*$AJ$18-(BF46-BP46)*AL46*$AJ$18-(BG46-BP46)*AN46*$AJ$18-(BH46-BP46)*AP46*$AJ$18-(BI46-BP46)*AR46*$AJ$18-(BJ46-BP46)*AT46*$AJ$18))</f>
        <v>3.428554841010941</v>
      </c>
      <c r="BR46" s="3">
        <f>0.5*$O$12*BP46*BQ46 /1000</f>
        <v>918.55246128163139</v>
      </c>
      <c r="BS46" s="3">
        <f>($BQ46/$BP46)*(BE46-$BP46)*$AJ$18*AJ46/1000</f>
        <v>80.552461281631338</v>
      </c>
      <c r="BT46" s="3">
        <f>($BQ46/$BP46)*(BF46-$BP46)*$AJ$18*AL46/1000</f>
        <v>0</v>
      </c>
      <c r="BU46" s="3">
        <f>($BQ46/$BP46)*(BG46-$BP46)*$AJ$18*AN46/1000</f>
        <v>0</v>
      </c>
      <c r="BV46" s="3">
        <f>($BQ46/$BP46)*(BH46-$BP46)*$AJ$18*AP46/1000</f>
        <v>0</v>
      </c>
      <c r="BW46" s="3">
        <f>($BQ46/$BP46)*(BI46-$BP46)*$AJ$18*AR46/1000</f>
        <v>0</v>
      </c>
      <c r="BX46" s="3">
        <f>($BQ46/$BP46)*(BJ46-$BP46)*$AJ$18*AT46/1000</f>
        <v>0</v>
      </c>
      <c r="BY46" s="175">
        <f>IF(Q46=0,0,(0.5*$O$12*BP46*BQ46/1000*(R46/2-$BP46/3)+BS46*(BE46-R46/2)+BT46*(BF46-R46/2)+BU46*(BG46-R46/2)+BV46*(BH46-R46/2)+BW46*(BI46-R46/2)+BX46*(BJ46-R46/2))/1000-ABS(P46))</f>
        <v>6.240081802388886E-7</v>
      </c>
      <c r="BZ46" s="10"/>
      <c r="CA46" s="176">
        <f>ABS(P46)/(BK46-BP46/3)/AV46*10^6-Q46*(R46/2-BP46/3)/(BK46-BP46/3)/AV46*1000</f>
        <v>38.460966764529587</v>
      </c>
      <c r="CB46" s="177">
        <f>(AV46/($O$12*MIN(2.5*(R46-BK46),(R46-BP46)/3,R46/2)-AV46))</f>
        <v>1.3721982363526683E-2</v>
      </c>
      <c r="CC46" s="177">
        <f>3.4*($O$16+$AX$14)+0.425*0.8*0.5*(T46^2+W46^2+Z46^2+AC46^2+AF46^2+AI46^2)/(T46+W46+Z46+AC46+AF46+AI46)/CB46</f>
        <v>529.97761040105047</v>
      </c>
      <c r="CD46" s="177">
        <f>MAX(0.6*CA46/$AJ$17,(CA46-0.4*0.3*$AJ$14^(2/3)/CB46*(1+$AJ$17/$AJ$15*CB46))/$AJ$17)</f>
        <v>0.11538290029358876</v>
      </c>
      <c r="CE46" s="178">
        <f>CC46*CD46/1000</f>
        <v>6.1150353778738842E-2</v>
      </c>
      <c r="CF46" s="23" t="str">
        <f>IF(AND(AV46&gt;=BD46,AV46&gt;=BO46,CE46&lt;=(+IF(CO46="External",0.25,0.3))),"O.K", "Not O.K")</f>
        <v>O.K</v>
      </c>
      <c r="CG46" s="28"/>
      <c r="CH46" s="179" t="str">
        <f>IF(O46&lt;0.2*$AJ$14*R46*$O$12/1000,"N &lt; 0.2fckAc - OK!","TBA")</f>
        <v>N &lt; 0.2fckAc - OK!</v>
      </c>
      <c r="CI46" s="24"/>
      <c r="CJ46" s="25"/>
      <c r="CK46" s="6">
        <f t="shared" si="10"/>
        <v>104</v>
      </c>
      <c r="CL46" s="8" t="s">
        <v>72</v>
      </c>
      <c r="CM46" s="6">
        <f t="shared" si="11"/>
        <v>213</v>
      </c>
      <c r="CN46" s="26" t="s">
        <v>148</v>
      </c>
      <c r="CO46" s="27" t="s">
        <v>105</v>
      </c>
      <c r="CP46" s="2">
        <v>379</v>
      </c>
      <c r="CQ46" s="15">
        <v>736</v>
      </c>
      <c r="CR46" s="3">
        <v>328</v>
      </c>
      <c r="CS46" s="15">
        <v>838</v>
      </c>
      <c r="CT46" s="20">
        <v>1000</v>
      </c>
      <c r="CU46" s="2">
        <v>104</v>
      </c>
      <c r="CV46" s="15">
        <v>213</v>
      </c>
      <c r="CW46" s="6"/>
      <c r="CX46" s="278"/>
      <c r="CY46" s="6"/>
      <c r="CZ46" s="6"/>
      <c r="DA46" s="6"/>
      <c r="DB46" s="6"/>
      <c r="DC46" s="6"/>
      <c r="DD46" s="6"/>
      <c r="DE46" s="6"/>
      <c r="DF46" s="6"/>
      <c r="DG46" s="6"/>
      <c r="DH46" s="6"/>
      <c r="DI46" s="6"/>
      <c r="DJ46" s="212"/>
      <c r="DK46" s="13"/>
      <c r="DL46" s="13"/>
      <c r="DM46" s="202"/>
      <c r="DN46" s="206">
        <f>IF(CO46="external",T46,0)</f>
        <v>20</v>
      </c>
      <c r="DO46" s="206">
        <f>IF(CO46="external",W46,0)</f>
        <v>0</v>
      </c>
      <c r="DP46" s="206">
        <f>IF(CO46="external",Z46,0)</f>
        <v>0</v>
      </c>
      <c r="DQ46" s="206">
        <f>IF(CO46="external",AC46,0)</f>
        <v>0</v>
      </c>
      <c r="DR46" s="206">
        <f>IF(CO46="external",AF46,0)</f>
        <v>0</v>
      </c>
      <c r="DS46" s="207">
        <f>IF(CO46="external",AI46,0)</f>
        <v>0</v>
      </c>
      <c r="DT46" s="208"/>
      <c r="DU46" s="207">
        <f>IF(CO46="internal",T46,0)</f>
        <v>0</v>
      </c>
      <c r="DV46" s="207">
        <f>IF(CO46="internal",W46,0)</f>
        <v>0</v>
      </c>
      <c r="DW46" s="207">
        <f>IF(CO46="internal",Z46,0)</f>
        <v>0</v>
      </c>
      <c r="DX46" s="207">
        <f>IF(CO46="internal",AC46,0)</f>
        <v>0</v>
      </c>
      <c r="DY46" s="207">
        <f>IF(CO46="internal",AF46,0)</f>
        <v>0</v>
      </c>
      <c r="DZ46" s="207">
        <f>IF(CO46="internal",AI46,0)</f>
        <v>0</v>
      </c>
    </row>
    <row r="47" spans="1:131" s="7" customFormat="1" x14ac:dyDescent="0.3">
      <c r="B47" s="19">
        <f>+CI47</f>
        <v>0</v>
      </c>
      <c r="C47" s="6">
        <f t="shared" si="25"/>
        <v>0</v>
      </c>
      <c r="D47" s="6">
        <f t="shared" si="25"/>
        <v>103</v>
      </c>
      <c r="E47" s="6" t="str">
        <f t="shared" si="25"/>
        <v>--</v>
      </c>
      <c r="F47" s="6">
        <f>+CM47</f>
        <v>203</v>
      </c>
      <c r="G47" s="174" t="str">
        <f t="shared" si="26"/>
        <v>Max Fx</v>
      </c>
      <c r="H47" s="6" t="str">
        <f t="shared" si="26"/>
        <v>External</v>
      </c>
      <c r="I47" s="156"/>
      <c r="J47" s="10">
        <f t="shared" si="27"/>
        <v>2420</v>
      </c>
      <c r="K47" s="10">
        <f t="shared" si="27"/>
        <v>1490</v>
      </c>
      <c r="L47" s="10">
        <f t="shared" si="27"/>
        <v>1760</v>
      </c>
      <c r="M47" s="10">
        <f t="shared" si="27"/>
        <v>1083</v>
      </c>
      <c r="N47" s="10">
        <f>IF(I47*J47&gt;=0,J47*$J$19+I47*$J$18,J47)</f>
        <v>2420</v>
      </c>
      <c r="O47" s="10">
        <f>(K47)*$J$19</f>
        <v>1490</v>
      </c>
      <c r="P47" s="14">
        <f>IF(I47*L47&gt;=0,(L47)+I47,L47)</f>
        <v>1760</v>
      </c>
      <c r="Q47" s="3">
        <f>(M47)</f>
        <v>1083</v>
      </c>
      <c r="R47" s="20">
        <f t="shared" si="30"/>
        <v>1000</v>
      </c>
      <c r="S47" s="23"/>
      <c r="T47" s="12">
        <v>40</v>
      </c>
      <c r="U47" s="28"/>
      <c r="V47" s="28"/>
      <c r="W47" s="12">
        <v>25</v>
      </c>
      <c r="X47" s="28"/>
      <c r="Y47" s="28"/>
      <c r="Z47" s="12"/>
      <c r="AA47" s="28"/>
      <c r="AB47" s="28"/>
      <c r="AC47" s="158"/>
      <c r="AD47" s="28"/>
      <c r="AE47" s="28"/>
      <c r="AF47" s="158"/>
      <c r="AG47" s="28"/>
      <c r="AH47" s="28"/>
      <c r="AI47" s="29"/>
      <c r="AJ47" s="6">
        <f>PI()/4*T47^2*$O$12/$AX$16</f>
        <v>8377.5804095727817</v>
      </c>
      <c r="AK47" s="28" t="str">
        <f>IF(W47=0,"","+")</f>
        <v>+</v>
      </c>
      <c r="AL47" s="6">
        <f>PI()/4*W47^2*$O$12/$AX$16</f>
        <v>3272.4923474893681</v>
      </c>
      <c r="AM47" s="28" t="str">
        <f>IF(Z47=0,"","+")</f>
        <v/>
      </c>
      <c r="AN47" s="6">
        <f>PI()/4*Z47^2*$O$12/$AX$16</f>
        <v>0</v>
      </c>
      <c r="AO47" s="28" t="str">
        <f>IF(AC47=0,"","+")</f>
        <v/>
      </c>
      <c r="AP47" s="6">
        <f>PI()/4*AC47^2*$O$12/$AX$16</f>
        <v>0</v>
      </c>
      <c r="AQ47" s="28" t="str">
        <f>IF(AF47=0,"","+")</f>
        <v/>
      </c>
      <c r="AR47" s="6">
        <f>PI()/4*AF47^2*$O$12/$AX$16</f>
        <v>0</v>
      </c>
      <c r="AS47" s="28" t="str">
        <f>IF(AI47=0,"","+")</f>
        <v/>
      </c>
      <c r="AT47" s="6">
        <f>PI()/4*AI47^2*$O$12/$AX$16</f>
        <v>0</v>
      </c>
      <c r="AU47" s="28" t="s">
        <v>24</v>
      </c>
      <c r="AV47" s="15">
        <f>VALUE(AJ47)+VALUE(AL47)+VALUE(AN47)+VALUE(AP47)+VALUE(AR47)+VALUE(AT47)</f>
        <v>11650.072757062149</v>
      </c>
      <c r="AW47" s="228">
        <f>MAX(0.3*$AJ$14^(2/3)/$AJ$16*0.26*100,0.13)</f>
        <v>0.15723814702688016</v>
      </c>
      <c r="AX47" s="6">
        <f>AW47/100*$O$12*BK47</f>
        <v>1375.0917637688949</v>
      </c>
      <c r="AY47" s="6"/>
      <c r="AZ47" s="6"/>
      <c r="BA47" s="24" t="str">
        <f>IF(BB47=0,"","+")</f>
        <v/>
      </c>
      <c r="BB47" s="24"/>
      <c r="BC47" s="28" t="s">
        <v>24</v>
      </c>
      <c r="BD47" s="15">
        <f>AX47+AZ47+BB47</f>
        <v>1375.0917637688949</v>
      </c>
      <c r="BE47" s="2">
        <f>(R47-($AX$14+$O$16+T47/2))</f>
        <v>897</v>
      </c>
      <c r="BF47" s="3">
        <f>IF(W47=0,0,(R47-($AX$14+T47/2+$O$16+$BI$16)))</f>
        <v>817</v>
      </c>
      <c r="BG47" s="3">
        <f>IF(Z47=0,0,(R47-($AX$14+T47/2+$BI$16+$O$16+$BI$17)))</f>
        <v>0</v>
      </c>
      <c r="BH47" s="3">
        <f>IF(AC47=0,0,(R47-($AX$14+T47/2+$O$16+$BI$16+$BI$17+$BI$18)))</f>
        <v>0</v>
      </c>
      <c r="BI47" s="3">
        <f>IF(AF47=0,0,(R47-($AX$14+T47/2+$O$16+$BI$16+$BI$17+$BI$18+$BL$16)))</f>
        <v>0</v>
      </c>
      <c r="BJ47" s="3">
        <f>IF(AI47=0,0,(R47-($AX$14+T47/2+$O$16+$BI$16+$BI$17+$BI$18+$BL$16+$BL$17)))</f>
        <v>0</v>
      </c>
      <c r="BK47" s="6">
        <f>(BE47*AJ47+BF47*AL47+BG47*AN47+BH47*AP47+BI47*AR47+BJ47*AT47)/AV47</f>
        <v>874.52808988764048</v>
      </c>
      <c r="BL47" s="175">
        <f>ABS(N47)*1000000/$O$12/BK47^2</f>
        <v>3.16422850655555</v>
      </c>
      <c r="BM47" s="175">
        <f>BL47/$AJ$14</f>
        <v>9.8882140829860937E-2</v>
      </c>
      <c r="BN47" s="21">
        <f>IF(BM47&lt;0.167,0.5+SQRT(0.25-(BM47/1.134)),0.82)</f>
        <v>0.90348772589412496</v>
      </c>
      <c r="BO47" s="15">
        <f>ABS(N47)/(0.87*$AJ$16*BN47*BK47)*10^6</f>
        <v>7040.9310026747098</v>
      </c>
      <c r="BP47" s="22">
        <v>481.00264787363017</v>
      </c>
      <c r="BQ47" s="175">
        <f>IF(Q47=0,2*ABS(P47*10^6)/$O$12/BP47/(BK47-BP47/3),Q47*BP47*1000/($O$12/2*BP47^2-(BE47-BP47)*AJ47*$AJ$18-(BF47-BP47)*AL47*$AJ$18-(BG47-BP47)*AN47*$AJ$18-(BH47-BP47)*AP47*$AJ$18-(BI47-BP47)*AR47*$AJ$18-(BJ47-BP47)*AT47*$AJ$18))</f>
        <v>12.570926227033238</v>
      </c>
      <c r="BR47" s="3">
        <f>0.5*$O$12*BP47*BQ47 /1000</f>
        <v>3023.3244007135258</v>
      </c>
      <c r="BS47" s="3">
        <f>($BQ47/$BP47)*(BE47-$BP47)*$AJ$18*AJ47/1000</f>
        <v>1474.9661837960948</v>
      </c>
      <c r="BT47" s="3">
        <f>($BQ47/$BP47)*(BF47-$BP47)*$AJ$18*AL47/1000</f>
        <v>465.35821691743098</v>
      </c>
      <c r="BU47" s="3">
        <f>($BQ47/$BP47)*(BG47-$BP47)*$AJ$18*AN47/1000</f>
        <v>0</v>
      </c>
      <c r="BV47" s="3">
        <f>($BQ47/$BP47)*(BH47-$BP47)*$AJ$18*AP47/1000</f>
        <v>0</v>
      </c>
      <c r="BW47" s="3">
        <f>($BQ47/$BP47)*(BI47-$BP47)*$AJ$18*AR47/1000</f>
        <v>0</v>
      </c>
      <c r="BX47" s="3">
        <f>($BQ47/$BP47)*(BJ47-$BP47)*$AJ$18*AT47/1000</f>
        <v>0</v>
      </c>
      <c r="BY47" s="175">
        <f>IF(Q47=0,0,(0.5*$O$12*BP47*BQ47/1000*(R47/2-$BP47/3)+BS47*(BE47-R47/2)+BT47*(BF47-R47/2)+BU47*(BG47-R47/2)+BV47*(BH47-R47/2)+BW47*(BI47-R47/2)+BX47*(BJ47-R47/2))/1000-ABS(P47))</f>
        <v>-1.7288082517552539E-5</v>
      </c>
      <c r="BZ47" s="10"/>
      <c r="CA47" s="176">
        <f>ABS(P47)/(BK47-BP47/3)/AV47*10^6-Q47*(R47/2-BP47/3)/(BK47-BP47/3)/AV47*1000</f>
        <v>167.31649720484006</v>
      </c>
      <c r="CB47" s="177">
        <f>(AV47/($O$12*MIN(2.5*(R47-BK47),(R47-BP47)/3,R47/2)-AV47))</f>
        <v>7.2204163245066982E-2</v>
      </c>
      <c r="CC47" s="177">
        <f>3.4*($O$16+$AX$14)+0.425*0.8*0.5*(T47^2+W47^2+Z47^2+AC47^2+AF47^2+AI47^2)/(T47+W47+Z47+AC47+AF47+AI47)/CB47</f>
        <v>362.79411684447905</v>
      </c>
      <c r="CD47" s="177">
        <f>MAX(0.6*CA47/$AJ$17,(CA47-0.4*0.3*$AJ$14^(2/3)/CB47*(1+$AJ$17/$AJ$15*CB47))/$AJ$17)</f>
        <v>0.65489031384946572</v>
      </c>
      <c r="CE47" s="178">
        <f>CC47*CD47/1000</f>
        <v>0.23759035304302062</v>
      </c>
      <c r="CF47" s="23" t="str">
        <f>IF(AND(AV47&gt;=BD47,AV47&gt;=BO47,CE47&lt;=(+IF(CO47="External",0.25,0.3))),"O.K", "Not O.K")</f>
        <v>O.K</v>
      </c>
      <c r="CG47" s="28"/>
      <c r="CH47" s="179" t="str">
        <f>IF(O47&lt;0.2*$AJ$14*R47*$O$12/1000,"N &lt; 0.2fckAc - OK!","TBA")</f>
        <v>N &lt; 0.2fckAc - OK!</v>
      </c>
      <c r="CI47" s="24"/>
      <c r="CJ47" s="25"/>
      <c r="CK47" s="6">
        <f t="shared" si="10"/>
        <v>103</v>
      </c>
      <c r="CL47" s="8" t="s">
        <v>72</v>
      </c>
      <c r="CM47" s="6">
        <f t="shared" si="11"/>
        <v>203</v>
      </c>
      <c r="CN47" s="26" t="s">
        <v>145</v>
      </c>
      <c r="CO47" s="27" t="s">
        <v>105</v>
      </c>
      <c r="CP47" s="2">
        <v>2420</v>
      </c>
      <c r="CQ47" s="15">
        <v>1490</v>
      </c>
      <c r="CR47" s="3">
        <v>1760</v>
      </c>
      <c r="CS47" s="15">
        <v>1083</v>
      </c>
      <c r="CT47" s="20">
        <v>1000</v>
      </c>
      <c r="CU47" s="2">
        <v>103</v>
      </c>
      <c r="CV47" s="15">
        <v>203</v>
      </c>
      <c r="CW47" s="6"/>
      <c r="CX47" s="278"/>
      <c r="CY47" s="6"/>
      <c r="CZ47" s="6"/>
      <c r="DA47" s="6"/>
      <c r="DB47" s="6"/>
      <c r="DC47" s="6"/>
      <c r="DD47" s="6"/>
      <c r="DE47" s="6"/>
      <c r="DF47" s="6"/>
      <c r="DG47" s="6"/>
      <c r="DH47" s="6"/>
      <c r="DI47" s="6"/>
      <c r="DJ47" s="212"/>
      <c r="DK47" s="13"/>
      <c r="DL47" s="13"/>
      <c r="DM47" s="202"/>
      <c r="DN47" s="206">
        <f>IF(CO47="external",T47,0)</f>
        <v>40</v>
      </c>
      <c r="DO47" s="206">
        <f>IF(CO47="external",W47,0)</f>
        <v>25</v>
      </c>
      <c r="DP47" s="206">
        <f>IF(CO47="external",Z47,0)</f>
        <v>0</v>
      </c>
      <c r="DQ47" s="206">
        <f>IF(CO47="external",AC47,0)</f>
        <v>0</v>
      </c>
      <c r="DR47" s="206">
        <f>IF(CO47="external",AF47,0)</f>
        <v>0</v>
      </c>
      <c r="DS47" s="207">
        <f>IF(CO47="external",AI47,0)</f>
        <v>0</v>
      </c>
      <c r="DT47" s="208"/>
      <c r="DU47" s="207">
        <f>IF(CO47="internal",T47,0)</f>
        <v>0</v>
      </c>
      <c r="DV47" s="207">
        <f>IF(CO47="internal",W47,0)</f>
        <v>0</v>
      </c>
      <c r="DW47" s="207">
        <f>IF(CO47="internal",Z47,0)</f>
        <v>0</v>
      </c>
      <c r="DX47" s="207">
        <f>IF(CO47="internal",AC47,0)</f>
        <v>0</v>
      </c>
      <c r="DY47" s="207">
        <f>IF(CO47="internal",AF47,0)</f>
        <v>0</v>
      </c>
      <c r="DZ47" s="207">
        <f>IF(CO47="internal",AI47,0)</f>
        <v>0</v>
      </c>
    </row>
    <row r="48" spans="1:131" s="7" customFormat="1" x14ac:dyDescent="0.3">
      <c r="B48" s="19">
        <f>+CI48</f>
        <v>0</v>
      </c>
      <c r="C48" s="6">
        <f t="shared" si="25"/>
        <v>0</v>
      </c>
      <c r="D48" s="6">
        <f t="shared" si="25"/>
        <v>104</v>
      </c>
      <c r="E48" s="6" t="str">
        <f t="shared" si="25"/>
        <v>--</v>
      </c>
      <c r="F48" s="6">
        <f>+CM48</f>
        <v>204</v>
      </c>
      <c r="G48" s="174" t="str">
        <f t="shared" si="26"/>
        <v>Min Fx</v>
      </c>
      <c r="H48" s="6" t="str">
        <f t="shared" si="26"/>
        <v>External</v>
      </c>
      <c r="I48" s="156"/>
      <c r="J48" s="10">
        <f t="shared" si="27"/>
        <v>1339</v>
      </c>
      <c r="K48" s="10">
        <f t="shared" si="27"/>
        <v>736</v>
      </c>
      <c r="L48" s="10">
        <f t="shared" si="27"/>
        <v>1086</v>
      </c>
      <c r="M48" s="10">
        <f t="shared" si="27"/>
        <v>660</v>
      </c>
      <c r="N48" s="10">
        <f>IF(I48*J48&gt;=0,J48*$J$19+I48*$J$18,J48)</f>
        <v>1339</v>
      </c>
      <c r="O48" s="10">
        <f>(K48)*$J$19</f>
        <v>736</v>
      </c>
      <c r="P48" s="14">
        <f>IF(I48*L48&gt;=0,(L48)+I48,L48)</f>
        <v>1086</v>
      </c>
      <c r="Q48" s="3">
        <f>(M48)</f>
        <v>660</v>
      </c>
      <c r="R48" s="20">
        <f t="shared" si="30"/>
        <v>1000</v>
      </c>
      <c r="S48" s="23"/>
      <c r="T48" s="12">
        <v>40</v>
      </c>
      <c r="U48" s="28"/>
      <c r="V48" s="28"/>
      <c r="W48" s="12"/>
      <c r="X48" s="28"/>
      <c r="Y48" s="28"/>
      <c r="Z48" s="12"/>
      <c r="AA48" s="28"/>
      <c r="AB48" s="28"/>
      <c r="AC48" s="158"/>
      <c r="AD48" s="28"/>
      <c r="AE48" s="28"/>
      <c r="AF48" s="158"/>
      <c r="AG48" s="28"/>
      <c r="AH48" s="28"/>
      <c r="AI48" s="29"/>
      <c r="AJ48" s="6">
        <f>PI()/4*T48^2*$O$12/$AX$16</f>
        <v>8377.5804095727817</v>
      </c>
      <c r="AK48" s="28" t="str">
        <f>IF(W48=0,"","+")</f>
        <v/>
      </c>
      <c r="AL48" s="6">
        <f>PI()/4*W48^2*$O$12/$AX$16</f>
        <v>0</v>
      </c>
      <c r="AM48" s="28" t="str">
        <f>IF(Z48=0,"","+")</f>
        <v/>
      </c>
      <c r="AN48" s="6">
        <f>PI()/4*Z48^2*$O$12/$AX$16</f>
        <v>0</v>
      </c>
      <c r="AO48" s="28" t="str">
        <f>IF(AC48=0,"","+")</f>
        <v/>
      </c>
      <c r="AP48" s="6">
        <f>PI()/4*AC48^2*$O$12/$AX$16</f>
        <v>0</v>
      </c>
      <c r="AQ48" s="28" t="str">
        <f>IF(AF48=0,"","+")</f>
        <v/>
      </c>
      <c r="AR48" s="6">
        <f>PI()/4*AF48^2*$O$12/$AX$16</f>
        <v>0</v>
      </c>
      <c r="AS48" s="28" t="str">
        <f>IF(AI48=0,"","+")</f>
        <v/>
      </c>
      <c r="AT48" s="6">
        <f>PI()/4*AI48^2*$O$12/$AX$16</f>
        <v>0</v>
      </c>
      <c r="AU48" s="28" t="s">
        <v>24</v>
      </c>
      <c r="AV48" s="15">
        <f>VALUE(AJ48)+VALUE(AL48)+VALUE(AN48)+VALUE(AP48)+VALUE(AR48)+VALUE(AT48)</f>
        <v>8377.5804095727817</v>
      </c>
      <c r="AW48" s="228">
        <f>MAX(0.3*$AJ$14^(2/3)/$AJ$16*0.26*100,0.13)</f>
        <v>0.15723814702688016</v>
      </c>
      <c r="AX48" s="6">
        <f>AW48/100*$O$12*BK48</f>
        <v>1410.4261788311151</v>
      </c>
      <c r="AY48" s="6"/>
      <c r="AZ48" s="6"/>
      <c r="BA48" s="24" t="str">
        <f>IF(BB48=0,"","+")</f>
        <v/>
      </c>
      <c r="BB48" s="24"/>
      <c r="BC48" s="28" t="s">
        <v>24</v>
      </c>
      <c r="BD48" s="15">
        <f>AX48+AZ48+BB48</f>
        <v>1410.4261788311151</v>
      </c>
      <c r="BE48" s="2">
        <f>(R48-($AX$14+$O$16+T48/2))</f>
        <v>897</v>
      </c>
      <c r="BF48" s="3">
        <f>IF(W48=0,0,(R48-($AX$14+T48/2+$O$16+$BI$16)))</f>
        <v>0</v>
      </c>
      <c r="BG48" s="3">
        <f>IF(Z48=0,0,(R48-($AX$14+T48/2+$BI$16+$O$16+$BI$17)))</f>
        <v>0</v>
      </c>
      <c r="BH48" s="3">
        <f>IF(AC48=0,0,(R48-($AX$14+T48/2+$O$16+$BI$16+$BI$17+$BI$18)))</f>
        <v>0</v>
      </c>
      <c r="BI48" s="3">
        <f>IF(AF48=0,0,(R48-($AX$14+T48/2+$O$16+$BI$16+$BI$17+$BI$18+$BL$16)))</f>
        <v>0</v>
      </c>
      <c r="BJ48" s="3">
        <f>IF(AI48=0,0,(R48-($AX$14+T48/2+$O$16+$BI$16+$BI$17+$BI$18+$BL$16+$BL$17)))</f>
        <v>0</v>
      </c>
      <c r="BK48" s="6">
        <f>(BE48*AJ48+BF48*AL48+BG48*AN48+BH48*AP48+BI48*AR48+BJ48*AT48)/AV48</f>
        <v>897</v>
      </c>
      <c r="BL48" s="175">
        <f>ABS(N48)*1000000/$O$12/BK48^2</f>
        <v>1.6641623446916454</v>
      </c>
      <c r="BM48" s="175">
        <f>BL48/$AJ$14</f>
        <v>5.2005073271613918E-2</v>
      </c>
      <c r="BN48" s="21">
        <f>IF(BM48&lt;0.167,0.5+SQRT(0.25-(BM48/1.134)),0.82)</f>
        <v>0.95181871035493371</v>
      </c>
      <c r="BO48" s="15">
        <f>ABS(N48)/(0.87*$AJ$16*BN48*BK48)*10^6</f>
        <v>3605.326820368341</v>
      </c>
      <c r="BP48" s="22">
        <v>441.76702209815409</v>
      </c>
      <c r="BQ48" s="175">
        <f>IF(Q48=0,2*ABS(P48*10^6)/$O$12/BP48/(BK48-BP48/3),Q48*BP48*1000/($O$12/2*BP48^2-(BE48-BP48)*AJ48*$AJ$18-(BF48-BP48)*AL48*$AJ$18-(BG48-BP48)*AN48*$AJ$18-(BH48-BP48)*AP48*$AJ$18-(BI48-BP48)*AR48*$AJ$18-(BJ48-BP48)*AT48*$AJ$18))</f>
        <v>8.139915632441717</v>
      </c>
      <c r="BR48" s="3">
        <f>0.5*$O$12*BP48*BQ48 /1000</f>
        <v>1797.9731445369948</v>
      </c>
      <c r="BS48" s="3">
        <f>($BQ48/$BP48)*(BE48-$BP48)*$AJ$18*AJ48/1000</f>
        <v>1137.9731445369951</v>
      </c>
      <c r="BT48" s="3">
        <f>($BQ48/$BP48)*(BF48-$BP48)*$AJ$18*AL48/1000</f>
        <v>0</v>
      </c>
      <c r="BU48" s="3">
        <f>($BQ48/$BP48)*(BG48-$BP48)*$AJ$18*AN48/1000</f>
        <v>0</v>
      </c>
      <c r="BV48" s="3">
        <f>($BQ48/$BP48)*(BH48-$BP48)*$AJ$18*AP48/1000</f>
        <v>0</v>
      </c>
      <c r="BW48" s="3">
        <f>($BQ48/$BP48)*(BI48-$BP48)*$AJ$18*AR48/1000</f>
        <v>0</v>
      </c>
      <c r="BX48" s="3">
        <f>($BQ48/$BP48)*(BJ48-$BP48)*$AJ$18*AT48/1000</f>
        <v>0</v>
      </c>
      <c r="BY48" s="175">
        <f>IF(Q48=0,0,(0.5*$O$12*BP48*BQ48/1000*(R48/2-$BP48/3)+BS48*(BE48-R48/2)+BT48*(BF48-R48/2)+BU48*(BG48-R48/2)+BV48*(BH48-R48/2)+BW48*(BI48-R48/2)+BX48*(BJ48-R48/2))/1000-ABS(P48))</f>
        <v>1.6335816349055676E-4</v>
      </c>
      <c r="BZ48" s="10"/>
      <c r="CA48" s="176">
        <f>ABS(P48)/(BK48-BP48/3)/AV48*10^6-Q48*(R48/2-BP48/3)/(BK48-BP48/3)/AV48*1000</f>
        <v>135.83551228604261</v>
      </c>
      <c r="CB48" s="177">
        <f>(AV48/($O$12*MIN(2.5*(R48-BK48),(R48-BP48)/3,R48/2)-AV48))</f>
        <v>4.7144494599293492E-2</v>
      </c>
      <c r="CC48" s="177">
        <f>3.4*($O$16+$AX$14)+0.425*0.8*0.5*(T48^2+W48^2+Z48^2+AC48^2+AF48^2+AI48^2)/(T48+W48+Z48+AC48+AF48+AI48)/CB48</f>
        <v>426.43741431097885</v>
      </c>
      <c r="CD48" s="177">
        <f>MAX(0.6*CA48/$AJ$17,(CA48-0.4*0.3*$AJ$14^(2/3)/CB48*(1+$AJ$17/$AJ$15*CB48))/$AJ$17)</f>
        <v>0.45296420892631545</v>
      </c>
      <c r="CE48" s="178">
        <f>CC48*CD48/1000</f>
        <v>0.19316088602995599</v>
      </c>
      <c r="CF48" s="23" t="str">
        <f>IF(AND(AV48&gt;=BD48,AV48&gt;=BO48,CE48&lt;=(+IF(CO48="External",0.25,0.3))),"O.K", "Not O.K")</f>
        <v>O.K</v>
      </c>
      <c r="CG48" s="28"/>
      <c r="CH48" s="179" t="str">
        <f>IF(O48&lt;0.2*$AJ$14*R48*$O$12/1000,"N &lt; 0.2fckAc - OK!","TBA")</f>
        <v>N &lt; 0.2fckAc - OK!</v>
      </c>
      <c r="CI48" s="24"/>
      <c r="CJ48" s="25"/>
      <c r="CK48" s="6">
        <f t="shared" si="10"/>
        <v>104</v>
      </c>
      <c r="CL48" s="8" t="s">
        <v>72</v>
      </c>
      <c r="CM48" s="6">
        <f t="shared" si="11"/>
        <v>204</v>
      </c>
      <c r="CN48" s="26" t="s">
        <v>146</v>
      </c>
      <c r="CO48" s="27" t="s">
        <v>105</v>
      </c>
      <c r="CP48" s="2">
        <v>1339</v>
      </c>
      <c r="CQ48" s="15">
        <v>736</v>
      </c>
      <c r="CR48" s="3">
        <v>1086</v>
      </c>
      <c r="CS48" s="15">
        <v>660</v>
      </c>
      <c r="CT48" s="20">
        <v>1000</v>
      </c>
      <c r="CU48" s="2">
        <v>104</v>
      </c>
      <c r="CV48" s="15">
        <v>204</v>
      </c>
      <c r="CW48" s="6"/>
      <c r="CX48" s="278"/>
      <c r="CY48" s="6"/>
      <c r="CZ48" s="6"/>
      <c r="DA48" s="6"/>
      <c r="DB48" s="6"/>
      <c r="DC48" s="6"/>
      <c r="DD48" s="6"/>
      <c r="DE48" s="6"/>
      <c r="DF48" s="6"/>
      <c r="DG48" s="6"/>
      <c r="DH48" s="6"/>
      <c r="DI48" s="6"/>
      <c r="DJ48" s="212"/>
      <c r="DK48" s="13"/>
      <c r="DL48" s="13"/>
      <c r="DM48" s="202"/>
      <c r="DN48" s="206">
        <f>IF(CO48="external",T48,0)</f>
        <v>40</v>
      </c>
      <c r="DO48" s="206">
        <f>IF(CO48="external",W48,0)</f>
        <v>0</v>
      </c>
      <c r="DP48" s="206">
        <f>IF(CO48="external",Z48,0)</f>
        <v>0</v>
      </c>
      <c r="DQ48" s="206">
        <f>IF(CO48="external",AC48,0)</f>
        <v>0</v>
      </c>
      <c r="DR48" s="206">
        <f>IF(CO48="external",AF48,0)</f>
        <v>0</v>
      </c>
      <c r="DS48" s="207">
        <f>IF(CO48="external",AI48,0)</f>
        <v>0</v>
      </c>
      <c r="DT48" s="208"/>
      <c r="DU48" s="207">
        <f>IF(CO48="internal",T48,0)</f>
        <v>0</v>
      </c>
      <c r="DV48" s="207">
        <f>IF(CO48="internal",W48,0)</f>
        <v>0</v>
      </c>
      <c r="DW48" s="207">
        <f>IF(CO48="internal",Z48,0)</f>
        <v>0</v>
      </c>
      <c r="DX48" s="207">
        <f>IF(CO48="internal",AC48,0)</f>
        <v>0</v>
      </c>
      <c r="DY48" s="207">
        <f>IF(CO48="internal",AF48,0)</f>
        <v>0</v>
      </c>
      <c r="DZ48" s="207">
        <f>IF(CO48="internal",AI48,0)</f>
        <v>0</v>
      </c>
    </row>
    <row r="49" spans="1:131" s="7" customFormat="1" x14ac:dyDescent="0.3">
      <c r="B49" s="298" t="s">
        <v>162</v>
      </c>
      <c r="C49" s="6"/>
      <c r="D49" s="6"/>
      <c r="E49" s="6"/>
      <c r="F49" s="6"/>
      <c r="G49" s="232"/>
      <c r="H49" s="6"/>
      <c r="I49" s="24"/>
      <c r="J49" s="6"/>
      <c r="K49" s="6"/>
      <c r="L49" s="6"/>
      <c r="M49" s="6"/>
      <c r="N49" s="6"/>
      <c r="O49" s="6"/>
      <c r="P49" s="24"/>
      <c r="Q49" s="6"/>
      <c r="R49" s="6"/>
      <c r="S49" s="28"/>
      <c r="T49" s="12"/>
      <c r="U49" s="28"/>
      <c r="V49" s="28"/>
      <c r="W49" s="12"/>
      <c r="X49" s="28"/>
      <c r="Y49" s="28"/>
      <c r="Z49" s="12"/>
      <c r="AA49" s="28"/>
      <c r="AB49" s="28"/>
      <c r="AC49" s="158"/>
      <c r="AD49" s="28"/>
      <c r="AE49" s="28"/>
      <c r="AF49" s="158"/>
      <c r="AG49" s="28"/>
      <c r="AH49" s="28"/>
      <c r="AI49" s="12"/>
      <c r="AJ49" s="6"/>
      <c r="AK49" s="28"/>
      <c r="AL49" s="6"/>
      <c r="AM49" s="28"/>
      <c r="AN49" s="6"/>
      <c r="AO49" s="28"/>
      <c r="AP49" s="6"/>
      <c r="AQ49" s="28"/>
      <c r="AR49" s="6"/>
      <c r="AS49" s="28"/>
      <c r="AT49" s="6"/>
      <c r="AU49" s="28"/>
      <c r="AV49" s="6"/>
      <c r="AW49" s="233"/>
      <c r="AX49" s="6"/>
      <c r="AY49" s="6"/>
      <c r="AZ49" s="6"/>
      <c r="BA49" s="24"/>
      <c r="BB49" s="24"/>
      <c r="BC49" s="28"/>
      <c r="BD49" s="6"/>
      <c r="BE49" s="6"/>
      <c r="BF49" s="6"/>
      <c r="BG49" s="6"/>
      <c r="BH49" s="6"/>
      <c r="BI49" s="6"/>
      <c r="BJ49" s="6"/>
      <c r="BK49" s="6"/>
      <c r="BL49" s="231"/>
      <c r="BM49" s="231"/>
      <c r="BN49" s="231"/>
      <c r="BO49" s="6"/>
      <c r="BP49" s="234"/>
      <c r="BQ49" s="231"/>
      <c r="BR49" s="6"/>
      <c r="BS49" s="6"/>
      <c r="BT49" s="6"/>
      <c r="BU49" s="6"/>
      <c r="BV49" s="6"/>
      <c r="BW49" s="6"/>
      <c r="BX49" s="6"/>
      <c r="BY49" s="231"/>
      <c r="BZ49" s="6"/>
      <c r="CA49" s="234"/>
      <c r="CB49" s="235"/>
      <c r="CC49" s="235"/>
      <c r="CD49" s="235"/>
      <c r="CE49" s="235"/>
      <c r="CF49" s="28"/>
      <c r="CG49" s="28"/>
      <c r="CH49" s="173"/>
      <c r="CI49" s="24"/>
      <c r="CJ49" s="25"/>
      <c r="CK49" s="6">
        <f t="shared" si="10"/>
        <v>0</v>
      </c>
      <c r="CL49" s="8" t="s">
        <v>72</v>
      </c>
      <c r="CM49" s="6">
        <f t="shared" si="11"/>
        <v>0</v>
      </c>
      <c r="CN49" s="236"/>
      <c r="CO49" s="24"/>
      <c r="CP49" s="6"/>
      <c r="CQ49" s="6"/>
      <c r="CR49" s="6"/>
      <c r="CS49" s="6"/>
      <c r="CT49" s="6"/>
      <c r="CU49" s="6"/>
      <c r="CV49" s="6"/>
      <c r="CW49" s="6"/>
      <c r="CX49" s="278"/>
      <c r="CY49" s="6"/>
      <c r="CZ49" s="6"/>
      <c r="DA49" s="6"/>
      <c r="DB49" s="6"/>
      <c r="DC49" s="6"/>
      <c r="DD49" s="6"/>
      <c r="DE49" s="6"/>
      <c r="DF49" s="6"/>
      <c r="DG49" s="6"/>
      <c r="DH49" s="6"/>
      <c r="DI49" s="6"/>
      <c r="DJ49" s="212"/>
      <c r="DK49" s="13"/>
      <c r="DL49" s="13"/>
      <c r="DM49" s="202"/>
      <c r="DN49" s="206"/>
      <c r="DO49" s="206"/>
      <c r="DP49" s="206"/>
      <c r="DQ49" s="206"/>
      <c r="DR49" s="206"/>
      <c r="DS49" s="207"/>
      <c r="DT49" s="208"/>
      <c r="DU49" s="207"/>
      <c r="DV49" s="207"/>
      <c r="DW49" s="207"/>
      <c r="DX49" s="207"/>
      <c r="DY49" s="207"/>
      <c r="DZ49" s="207"/>
    </row>
    <row r="50" spans="1:131" s="7" customFormat="1" ht="13.8" x14ac:dyDescent="0.25">
      <c r="A50" s="7" t="s">
        <v>141</v>
      </c>
      <c r="B50" s="19">
        <f>+CI50</f>
        <v>2</v>
      </c>
      <c r="C50" s="6">
        <f t="shared" ref="C50:E53" si="31">CJ50</f>
        <v>0</v>
      </c>
      <c r="D50" s="6">
        <f t="shared" si="31"/>
        <v>103</v>
      </c>
      <c r="E50" s="6" t="str">
        <f t="shared" si="31"/>
        <v>--</v>
      </c>
      <c r="F50" s="6">
        <f>+CM50</f>
        <v>203</v>
      </c>
      <c r="G50" s="174" t="str">
        <f t="shared" ref="G50:H53" si="32">CN50</f>
        <v>Max Mz</v>
      </c>
      <c r="H50" s="6" t="str">
        <f t="shared" si="32"/>
        <v>External</v>
      </c>
      <c r="I50" s="156"/>
      <c r="J50" s="10">
        <f t="shared" ref="J50:M53" si="33">(CP50)</f>
        <v>2395</v>
      </c>
      <c r="K50" s="10">
        <f t="shared" si="33"/>
        <v>1549</v>
      </c>
      <c r="L50" s="10">
        <f t="shared" si="33"/>
        <v>1740</v>
      </c>
      <c r="M50" s="10">
        <f t="shared" si="33"/>
        <v>1124</v>
      </c>
      <c r="N50" s="10">
        <f>IF(I50*J50&gt;=0,J50*$J$19+I50*$J$18,J50)</f>
        <v>2395</v>
      </c>
      <c r="O50" s="10">
        <f>(K50)*$J$19</f>
        <v>1549</v>
      </c>
      <c r="P50" s="14">
        <f>IF(I50*L50&gt;=0,(L50)+I50,L50)</f>
        <v>1740</v>
      </c>
      <c r="Q50" s="3">
        <f>(M50)</f>
        <v>1124</v>
      </c>
      <c r="R50" s="20">
        <f t="shared" si="30"/>
        <v>1000</v>
      </c>
      <c r="S50" s="23"/>
      <c r="T50" s="12">
        <v>40</v>
      </c>
      <c r="U50" s="28"/>
      <c r="V50" s="28"/>
      <c r="W50" s="12">
        <v>25</v>
      </c>
      <c r="X50" s="28"/>
      <c r="Y50" s="28"/>
      <c r="Z50" s="12"/>
      <c r="AA50" s="28"/>
      <c r="AB50" s="28"/>
      <c r="AC50" s="158"/>
      <c r="AD50" s="28"/>
      <c r="AE50" s="28"/>
      <c r="AF50" s="158"/>
      <c r="AG50" s="28"/>
      <c r="AH50" s="28"/>
      <c r="AI50" s="29"/>
      <c r="AJ50" s="6">
        <f>PI()/4*T50^2*$O$12/$AX$16</f>
        <v>8377.5804095727817</v>
      </c>
      <c r="AK50" s="28" t="str">
        <f>IF(W50=0,"","+")</f>
        <v>+</v>
      </c>
      <c r="AL50" s="6">
        <f>PI()/4*W50^2*$O$12/$AX$16</f>
        <v>3272.4923474893681</v>
      </c>
      <c r="AM50" s="28" t="str">
        <f>IF(Z50=0,"","+")</f>
        <v/>
      </c>
      <c r="AN50" s="6">
        <f>PI()/4*Z50^2*$O$12/$AX$16</f>
        <v>0</v>
      </c>
      <c r="AO50" s="28" t="str">
        <f>IF(AC50=0,"","+")</f>
        <v/>
      </c>
      <c r="AP50" s="6">
        <f>PI()/4*AC50^2*$O$12/$AX$16</f>
        <v>0</v>
      </c>
      <c r="AQ50" s="28" t="str">
        <f>IF(AF50=0,"","+")</f>
        <v/>
      </c>
      <c r="AR50" s="6">
        <f>PI()/4*AF50^2*$O$12/$AX$16</f>
        <v>0</v>
      </c>
      <c r="AS50" s="28" t="str">
        <f>IF(AI50=0,"","+")</f>
        <v/>
      </c>
      <c r="AT50" s="6">
        <f>PI()/4*AI50^2*$O$12/$AX$16</f>
        <v>0</v>
      </c>
      <c r="AU50" s="28" t="s">
        <v>24</v>
      </c>
      <c r="AV50" s="15">
        <f>VALUE(AJ50)+VALUE(AL50)+VALUE(AN50)+VALUE(AP50)+VALUE(AR50)+VALUE(AT50)</f>
        <v>11650.072757062149</v>
      </c>
      <c r="AW50" s="228">
        <f>MAX(0.3*$AJ$14^(2/3)/$AJ$16*0.26*100,0.13)</f>
        <v>0.15723814702688016</v>
      </c>
      <c r="AX50" s="6">
        <f>AW50/100*$O$12*BK50</f>
        <v>1375.0917637688949</v>
      </c>
      <c r="AY50" s="6"/>
      <c r="AZ50" s="6"/>
      <c r="BA50" s="24" t="str">
        <f>IF(BB50=0,"","+")</f>
        <v/>
      </c>
      <c r="BB50" s="24"/>
      <c r="BC50" s="28" t="s">
        <v>24</v>
      </c>
      <c r="BD50" s="15">
        <f>AX50+AZ50+BB50</f>
        <v>1375.0917637688949</v>
      </c>
      <c r="BE50" s="2">
        <f>(R50-($AX$14+$O$16+T50/2))</f>
        <v>897</v>
      </c>
      <c r="BF50" s="3">
        <f>IF(W50=0,0,(R50-($AX$14+T50/2+$O$16+$BI$16)))</f>
        <v>817</v>
      </c>
      <c r="BG50" s="3">
        <f>IF(Z50=0,0,(R50-($AX$14+T50/2+$BI$16+$O$16+$BI$17)))</f>
        <v>0</v>
      </c>
      <c r="BH50" s="3">
        <f>IF(AC50=0,0,(R50-($AX$14+T50/2+$O$16+$BI$16+$BI$17+$BI$18)))</f>
        <v>0</v>
      </c>
      <c r="BI50" s="3">
        <f>IF(AF50=0,0,(R50-($AX$14+T50/2+$O$16+$BI$16+$BI$17+$BI$18+$BL$16)))</f>
        <v>0</v>
      </c>
      <c r="BJ50" s="3">
        <f>IF(AI50=0,0,(R50-($AX$14+T50/2+$O$16+$BI$16+$BI$17+$BI$18+$BL$16+$BL$17)))</f>
        <v>0</v>
      </c>
      <c r="BK50" s="6">
        <f>(BE50*AJ50+BF50*AL50+BG50*AN50+BH50*AP50+BI50*AR50+BJ50*AT50)/AV50</f>
        <v>874.52808988764048</v>
      </c>
      <c r="BL50" s="175">
        <f>ABS(N50)*1000000/$O$12/BK50^2</f>
        <v>3.131540195537414</v>
      </c>
      <c r="BM50" s="175">
        <f>BL50/$AJ$14</f>
        <v>9.7860631110544188E-2</v>
      </c>
      <c r="BN50" s="21">
        <f>IF(BM50&lt;0.167,0.5+SQRT(0.25-(BM50/1.134)),0.82)</f>
        <v>0.90460245571280495</v>
      </c>
      <c r="BO50" s="15">
        <f>ABS(N50)/(0.87*$AJ$16*BN50*BK50)*10^6</f>
        <v>6959.6072973464188</v>
      </c>
      <c r="BP50" s="22">
        <v>484.24513651877032</v>
      </c>
      <c r="BQ50" s="175">
        <f>IF(Q50=0,2*ABS(P50*10^6)/$O$12/BP50/(BK50-BP50/3),Q50*BP50*1000/($O$12/2*BP50^2-(BE50-BP50)*AJ50*$AJ$18-(BF50-BP50)*AL50*$AJ$18-(BG50-BP50)*AN50*$AJ$18-(BH50-BP50)*AP50*$AJ$18-(BI50-BP50)*AR50*$AJ$18-(BJ50-BP50)*AT50*$AJ$18))</f>
        <v>12.479293182785051</v>
      </c>
      <c r="BR50" s="3">
        <f>0.5*$O$12*BP50*BQ50 /1000</f>
        <v>3021.5185154777532</v>
      </c>
      <c r="BS50" s="3">
        <f>($BQ50/$BP50)*(BE50-$BP50)*$AJ$18*AJ50/1000</f>
        <v>1443.0740137022244</v>
      </c>
      <c r="BT50" s="3">
        <f>($BQ50/$BP50)*(BF50-$BP50)*$AJ$18*AL50/1000</f>
        <v>454.44450177552892</v>
      </c>
      <c r="BU50" s="3">
        <f>($BQ50/$BP50)*(BG50-$BP50)*$AJ$18*AN50/1000</f>
        <v>0</v>
      </c>
      <c r="BV50" s="3">
        <f>($BQ50/$BP50)*(BH50-$BP50)*$AJ$18*AP50/1000</f>
        <v>0</v>
      </c>
      <c r="BW50" s="3">
        <f>($BQ50/$BP50)*(BI50-$BP50)*$AJ$18*AR50/1000</f>
        <v>0</v>
      </c>
      <c r="BX50" s="3">
        <f>($BQ50/$BP50)*(BJ50-$BP50)*$AJ$18*AT50/1000</f>
        <v>0</v>
      </c>
      <c r="BY50" s="175">
        <f>IF(Q50=0,0,(0.5*$O$12*BP50*BQ50/1000*(R50/2-$BP50/3)+BS50*(BE50-R50/2)+BT50*(BF50-R50/2)+BU50*(BG50-R50/2)+BV50*(BH50-R50/2)+BW50*(BI50-R50/2)+BX50*(BJ50-R50/2))/1000-ABS(P50))</f>
        <v>-4.3233649194007739E-7</v>
      </c>
      <c r="BZ50" s="10"/>
      <c r="CA50" s="176">
        <f>ABS(P50)/(BK50-BP50/3)/AV50*10^6-Q50*(R50/2-BP50/3)/(BK50-BP50/3)/AV50*1000</f>
        <v>163.63266165543473</v>
      </c>
      <c r="CB50" s="177">
        <f>(AV50/($O$12*MIN(2.5*(R50-BK50),(R50-BP50)/3,R50/2)-AV50))</f>
        <v>7.2691099429620057E-2</v>
      </c>
      <c r="CC50" s="177">
        <f>3.4*($O$16+$AX$14)+0.425*0.8*0.5*(T50^2+W50^2+Z50^2+AC50^2+AF50^2+AI50^2)/(T50+W50+Z50+AC50+AF50+AI50)/CB50</f>
        <v>362.25424068272594</v>
      </c>
      <c r="CD50" s="177">
        <f>MAX(0.6*CA50/$AJ$17,(CA50-0.4*0.3*$AJ$14^(2/3)/CB50*(1+$AJ$17/$AJ$15*CB50))/$AJ$17)</f>
        <v>0.63703220105483849</v>
      </c>
      <c r="CE50" s="178">
        <f>CC50*CD50/1000</f>
        <v>0.23076761628356612</v>
      </c>
      <c r="CF50" s="23" t="str">
        <f>IF(AND(AV50&gt;=BD50,AV50&gt;=BO50,CE50&lt;=(+IF(CO50="External",0.25,0.3))),"O.K", "Not O.K")</f>
        <v>O.K</v>
      </c>
      <c r="CG50" s="28"/>
      <c r="CH50" s="179" t="str">
        <f>IF(O50&lt;0.2*$AJ$14*R50*$O$12/1000,"N &lt; 0.2fckAc - OK!","TBA")</f>
        <v>N &lt; 0.2fckAc - OK!</v>
      </c>
      <c r="CI50" s="24">
        <v>2</v>
      </c>
      <c r="CJ50" s="25"/>
      <c r="CK50" s="6">
        <f t="shared" si="10"/>
        <v>103</v>
      </c>
      <c r="CL50" s="8" t="s">
        <v>72</v>
      </c>
      <c r="CM50" s="6">
        <f t="shared" si="11"/>
        <v>203</v>
      </c>
      <c r="CN50" s="26" t="s">
        <v>147</v>
      </c>
      <c r="CO50" s="27" t="s">
        <v>105</v>
      </c>
      <c r="CP50" s="2">
        <v>2395</v>
      </c>
      <c r="CQ50" s="15">
        <v>1549</v>
      </c>
      <c r="CR50" s="3">
        <v>1740</v>
      </c>
      <c r="CS50" s="15">
        <v>1124</v>
      </c>
      <c r="CT50" s="20">
        <v>1000</v>
      </c>
      <c r="CU50" s="2">
        <v>103</v>
      </c>
      <c r="CV50" s="15">
        <v>203</v>
      </c>
      <c r="CW50" s="6"/>
      <c r="CX50" s="278">
        <f>CI50</f>
        <v>2</v>
      </c>
      <c r="CY50" s="6">
        <f t="shared" ref="CY50:DD50" si="34">MAX(DN50:DN53)</f>
        <v>40</v>
      </c>
      <c r="CZ50" s="6">
        <f t="shared" si="34"/>
        <v>25</v>
      </c>
      <c r="DA50" s="6">
        <f t="shared" si="34"/>
        <v>0</v>
      </c>
      <c r="DB50" s="6">
        <f t="shared" si="34"/>
        <v>0</v>
      </c>
      <c r="DC50" s="6">
        <f t="shared" si="34"/>
        <v>0</v>
      </c>
      <c r="DD50" s="6">
        <f t="shared" si="34"/>
        <v>0</v>
      </c>
      <c r="DE50" s="6"/>
      <c r="DF50" s="6">
        <f t="shared" ref="DF50:DK50" si="35">MAX(DU50:DU53)</f>
        <v>0</v>
      </c>
      <c r="DG50" s="6">
        <f t="shared" si="35"/>
        <v>0</v>
      </c>
      <c r="DH50" s="6">
        <f t="shared" si="35"/>
        <v>0</v>
      </c>
      <c r="DI50" s="6">
        <f t="shared" si="35"/>
        <v>0</v>
      </c>
      <c r="DJ50" s="6">
        <f t="shared" si="35"/>
        <v>0</v>
      </c>
      <c r="DK50" s="6">
        <f t="shared" si="35"/>
        <v>0</v>
      </c>
      <c r="DL50" s="13"/>
      <c r="DM50" s="202">
        <f>CI50</f>
        <v>2</v>
      </c>
      <c r="DN50" s="206">
        <f>IF(CO50="external",T50,0)</f>
        <v>40</v>
      </c>
      <c r="DO50" s="206">
        <f>IF(CO50="external",W50,0)</f>
        <v>25</v>
      </c>
      <c r="DP50" s="206">
        <f>IF(CO50="external",Z50,0)</f>
        <v>0</v>
      </c>
      <c r="DQ50" s="206">
        <f>IF(CO50="external",AC50,0)</f>
        <v>0</v>
      </c>
      <c r="DR50" s="206">
        <f>IF(CO50="external",AF50,0)</f>
        <v>0</v>
      </c>
      <c r="DS50" s="207">
        <f>IF(CO50="external",AI50,0)</f>
        <v>0</v>
      </c>
      <c r="DT50" s="208"/>
      <c r="DU50" s="207">
        <f>IF(CO50="internal",T50,0)</f>
        <v>0</v>
      </c>
      <c r="DV50" s="207">
        <f>IF(CO50="internal",W50,0)</f>
        <v>0</v>
      </c>
      <c r="DW50" s="207">
        <f>IF(CO50="internal",Z50,0)</f>
        <v>0</v>
      </c>
      <c r="DX50" s="207">
        <f>IF(CO50="internal",AC50,0)</f>
        <v>0</v>
      </c>
      <c r="DY50" s="207">
        <f>IF(CO50="internal",AF50,0)</f>
        <v>0</v>
      </c>
      <c r="DZ50" s="207">
        <f>IF(CO50="internal",AI50,0)</f>
        <v>0</v>
      </c>
    </row>
    <row r="51" spans="1:131" s="7" customFormat="1" x14ac:dyDescent="0.3">
      <c r="B51" s="19">
        <f>+CI51</f>
        <v>0</v>
      </c>
      <c r="C51" s="6">
        <f t="shared" si="31"/>
        <v>0</v>
      </c>
      <c r="D51" s="6">
        <f t="shared" si="31"/>
        <v>105</v>
      </c>
      <c r="E51" s="6" t="str">
        <f t="shared" si="31"/>
        <v>--</v>
      </c>
      <c r="F51" s="6">
        <f>+CM51</f>
        <v>205</v>
      </c>
      <c r="G51" s="174" t="str">
        <f t="shared" si="32"/>
        <v>Min Mz</v>
      </c>
      <c r="H51" s="6" t="str">
        <f t="shared" si="32"/>
        <v>External</v>
      </c>
      <c r="I51" s="156"/>
      <c r="J51" s="10">
        <f t="shared" si="33"/>
        <v>361</v>
      </c>
      <c r="K51" s="10">
        <f t="shared" si="33"/>
        <v>869</v>
      </c>
      <c r="L51" s="10">
        <f t="shared" si="33"/>
        <v>314</v>
      </c>
      <c r="M51" s="10">
        <f t="shared" si="33"/>
        <v>747</v>
      </c>
      <c r="N51" s="10">
        <f>IF(I51*J51&gt;=0,J51*$J$19+I51*$J$18,J51)</f>
        <v>361</v>
      </c>
      <c r="O51" s="10">
        <f>(K51)*$J$19</f>
        <v>869</v>
      </c>
      <c r="P51" s="14">
        <f>IF(I51*L51&gt;=0,(L51)+I51,L51)</f>
        <v>314</v>
      </c>
      <c r="Q51" s="3">
        <f>(M51)</f>
        <v>747</v>
      </c>
      <c r="R51" s="20">
        <f t="shared" si="30"/>
        <v>1000</v>
      </c>
      <c r="S51" s="23"/>
      <c r="T51" s="12">
        <v>20</v>
      </c>
      <c r="U51" s="28"/>
      <c r="V51" s="28"/>
      <c r="W51" s="12"/>
      <c r="X51" s="28"/>
      <c r="Y51" s="28"/>
      <c r="Z51" s="12"/>
      <c r="AA51" s="28"/>
      <c r="AB51" s="28"/>
      <c r="AC51" s="158"/>
      <c r="AD51" s="28"/>
      <c r="AE51" s="28"/>
      <c r="AF51" s="158"/>
      <c r="AG51" s="28"/>
      <c r="AH51" s="28"/>
      <c r="AI51" s="29"/>
      <c r="AJ51" s="6">
        <f>PI()/4*T51^2*$O$12/$AX$16</f>
        <v>2094.3951023931954</v>
      </c>
      <c r="AK51" s="28" t="str">
        <f>IF(W51=0,"","+")</f>
        <v/>
      </c>
      <c r="AL51" s="6">
        <f>PI()/4*W51^2*$O$12/$AX$16</f>
        <v>0</v>
      </c>
      <c r="AM51" s="28" t="str">
        <f>IF(Z51=0,"","+")</f>
        <v/>
      </c>
      <c r="AN51" s="6">
        <f>PI()/4*Z51^2*$O$12/$AX$16</f>
        <v>0</v>
      </c>
      <c r="AO51" s="28" t="str">
        <f>IF(AC51=0,"","+")</f>
        <v/>
      </c>
      <c r="AP51" s="6">
        <f>PI()/4*AC51^2*$O$12/$AX$16</f>
        <v>0</v>
      </c>
      <c r="AQ51" s="28" t="str">
        <f>IF(AF51=0,"","+")</f>
        <v/>
      </c>
      <c r="AR51" s="6">
        <f>PI()/4*AF51^2*$O$12/$AX$16</f>
        <v>0</v>
      </c>
      <c r="AS51" s="28" t="str">
        <f>IF(AI51=0,"","+")</f>
        <v/>
      </c>
      <c r="AT51" s="6">
        <f>PI()/4*AI51^2*$O$12/$AX$16</f>
        <v>0</v>
      </c>
      <c r="AU51" s="28" t="s">
        <v>24</v>
      </c>
      <c r="AV51" s="15">
        <f>VALUE(AJ51)+VALUE(AL51)+VALUE(AN51)+VALUE(AP51)+VALUE(AR51)+VALUE(AT51)</f>
        <v>2094.3951023931954</v>
      </c>
      <c r="AW51" s="228">
        <f>MAX(0.3*$AJ$14^(2/3)/$AJ$16*0.26*100,0.13)</f>
        <v>0.15723814702688016</v>
      </c>
      <c r="AX51" s="6">
        <f>AW51/100*$O$12*BK51</f>
        <v>1426.1499935338031</v>
      </c>
      <c r="AY51" s="6"/>
      <c r="AZ51" s="6"/>
      <c r="BA51" s="24" t="str">
        <f>IF(BB51=0,"","+")</f>
        <v/>
      </c>
      <c r="BB51" s="24"/>
      <c r="BC51" s="28" t="s">
        <v>24</v>
      </c>
      <c r="BD51" s="15">
        <f>AX51+AZ51+BB51</f>
        <v>1426.1499935338031</v>
      </c>
      <c r="BE51" s="2">
        <f>(R51-($AX$14+$O$16+T51/2))</f>
        <v>907</v>
      </c>
      <c r="BF51" s="3">
        <f>IF(W51=0,0,(R51-($AX$14+T51/2+$O$16+$BI$16)))</f>
        <v>0</v>
      </c>
      <c r="BG51" s="3">
        <f>IF(Z51=0,0,(R51-($AX$14+T51/2+$BI$16+$O$16+$BI$17)))</f>
        <v>0</v>
      </c>
      <c r="BH51" s="3">
        <f>IF(AC51=0,0,(R51-($AX$14+T51/2+$O$16+$BI$16+$BI$17+$BI$18)))</f>
        <v>0</v>
      </c>
      <c r="BI51" s="3">
        <f>IF(AF51=0,0,(R51-($AX$14+T51/2+$O$16+$BI$16+$BI$17+$BI$18+$BL$16)))</f>
        <v>0</v>
      </c>
      <c r="BJ51" s="3">
        <f>IF(AI51=0,0,(R51-($AX$14+T51/2+$O$16+$BI$16+$BI$17+$BI$18+$BL$16+$BL$17)))</f>
        <v>0</v>
      </c>
      <c r="BK51" s="6">
        <f>(BE51*AJ51+BF51*AL51+BG51*AN51+BH51*AP51+BI51*AR51+BJ51*AT51)/AV51</f>
        <v>907</v>
      </c>
      <c r="BL51" s="175">
        <f>ABS(N51)*1000000/$O$12/BK51^2</f>
        <v>0.43882627949465691</v>
      </c>
      <c r="BM51" s="175">
        <f>BL51/$AJ$14</f>
        <v>1.3713321234208029E-2</v>
      </c>
      <c r="BN51" s="21">
        <f>IF(BM51&lt;0.167,0.5+SQRT(0.25-(BM51/1.134)),0.82)</f>
        <v>0.98775723893356182</v>
      </c>
      <c r="BO51" s="15">
        <f>ABS(N51)/(0.87*$AJ$16*BN51*BK51)*10^6</f>
        <v>926.31871130131287</v>
      </c>
      <c r="BP51" s="22">
        <v>504.76107783795118</v>
      </c>
      <c r="BQ51" s="175">
        <f>IF(Q51=0,2*ABS(P51*10^6)/$O$12/BP51/(BK51-BP51/3),Q51*BP51*1000/($O$12/2*BP51^2-(BE51-BP51)*AJ51*$AJ$18-(BF51-BP51)*AL51*$AJ$18-(BG51-BP51)*AN51*$AJ$18-(BH51-BP51)*AP51*$AJ$18-(BI51-BP51)*AR51*$AJ$18-(BJ51-BP51)*AT51*$AJ$18))</f>
        <v>3.3148025851713698</v>
      </c>
      <c r="BR51" s="3">
        <f>0.5*$O$12*BP51*BQ51 /1000</f>
        <v>836.59166285556375</v>
      </c>
      <c r="BS51" s="3">
        <f>($BQ51/$BP51)*(BE51-$BP51)*$AJ$18*AJ51/1000</f>
        <v>89.59166285556374</v>
      </c>
      <c r="BT51" s="3">
        <f>($BQ51/$BP51)*(BF51-$BP51)*$AJ$18*AL51/1000</f>
        <v>0</v>
      </c>
      <c r="BU51" s="3">
        <f>($BQ51/$BP51)*(BG51-$BP51)*$AJ$18*AN51/1000</f>
        <v>0</v>
      </c>
      <c r="BV51" s="3">
        <f>($BQ51/$BP51)*(BH51-$BP51)*$AJ$18*AP51/1000</f>
        <v>0</v>
      </c>
      <c r="BW51" s="3">
        <f>($BQ51/$BP51)*(BI51-$BP51)*$AJ$18*AR51/1000</f>
        <v>0</v>
      </c>
      <c r="BX51" s="3">
        <f>($BQ51/$BP51)*(BJ51-$BP51)*$AJ$18*AT51/1000</f>
        <v>0</v>
      </c>
      <c r="BY51" s="175">
        <f>IF(Q51=0,0,(0.5*$O$12*BP51*BQ51/1000*(R51/2-$BP51/3)+BS51*(BE51-R51/2)+BT51*(BF51-R51/2)+BU51*(BG51-R51/2)+BV51*(BH51-R51/2)+BW51*(BI51-R51/2)+BX51*(BJ51-R51/2))/1000-ABS(P51))</f>
        <v>1.7255902093893383E-6</v>
      </c>
      <c r="BZ51" s="10"/>
      <c r="CA51" s="176">
        <f>ABS(P51)/(BK51-BP51/3)/AV51*10^6-Q51*(R51/2-BP51/3)/(BK51-BP51/3)/AV51*1000</f>
        <v>42.776866894576983</v>
      </c>
      <c r="CB51" s="177">
        <f>(AV51/($O$12*MIN(2.5*(R51-BK51),(R51-BP51)/3,R51/2)-AV51))</f>
        <v>1.2850212879380835E-2</v>
      </c>
      <c r="CC51" s="177">
        <f>3.4*($O$16+$AX$14)+0.425*0.8*0.5*(T51^2+W51^2+Z51^2+AC51^2+AF51^2+AI51^2)/(T51+W51+Z51+AC51+AF51+AI51)/CB51</f>
        <v>546.78705641021429</v>
      </c>
      <c r="CD51" s="177">
        <f>MAX(0.6*CA51/$AJ$17,(CA51-0.4*0.3*$AJ$14^(2/3)/CB51*(1+$AJ$17/$AJ$15*CB51))/$AJ$17)</f>
        <v>0.12833060068373095</v>
      </c>
      <c r="CE51" s="178">
        <f>CC51*CD51/1000</f>
        <v>7.0169511395211881E-2</v>
      </c>
      <c r="CF51" s="23" t="str">
        <f>IF(AND(AV51&gt;=BD51,AV51&gt;=BO51,CE51&lt;=(+IF(CO51="External",0.25,0.3))),"O.K", "Not O.K")</f>
        <v>O.K</v>
      </c>
      <c r="CG51" s="28"/>
      <c r="CH51" s="179" t="str">
        <f>IF(O51&lt;0.2*$AJ$14*R51*$O$12/1000,"N &lt; 0.2fckAc - OK!","TBA")</f>
        <v>N &lt; 0.2fckAc - OK!</v>
      </c>
      <c r="CI51" s="24"/>
      <c r="CJ51" s="25"/>
      <c r="CK51" s="6">
        <f t="shared" si="10"/>
        <v>105</v>
      </c>
      <c r="CL51" s="8" t="s">
        <v>72</v>
      </c>
      <c r="CM51" s="6">
        <f t="shared" si="11"/>
        <v>205</v>
      </c>
      <c r="CN51" s="26" t="s">
        <v>148</v>
      </c>
      <c r="CO51" s="27" t="s">
        <v>105</v>
      </c>
      <c r="CP51" s="2">
        <v>361</v>
      </c>
      <c r="CQ51" s="15">
        <v>869</v>
      </c>
      <c r="CR51" s="3">
        <v>314</v>
      </c>
      <c r="CS51" s="15">
        <v>747</v>
      </c>
      <c r="CT51" s="20">
        <v>1000</v>
      </c>
      <c r="CU51" s="2">
        <v>105</v>
      </c>
      <c r="CV51" s="15">
        <v>205</v>
      </c>
      <c r="CW51" s="6"/>
      <c r="CX51" s="278"/>
      <c r="CY51" s="6"/>
      <c r="CZ51" s="6"/>
      <c r="DA51" s="6"/>
      <c r="DB51" s="6"/>
      <c r="DC51" s="6"/>
      <c r="DD51" s="6"/>
      <c r="DE51" s="6"/>
      <c r="DF51" s="6"/>
      <c r="DG51" s="6"/>
      <c r="DH51" s="6"/>
      <c r="DI51" s="6"/>
      <c r="DJ51" s="212"/>
      <c r="DK51" s="13"/>
      <c r="DL51" s="13"/>
      <c r="DM51" s="202"/>
      <c r="DN51" s="206">
        <f>IF(CO51="external",T51,0)</f>
        <v>20</v>
      </c>
      <c r="DO51" s="206">
        <f>IF(CO51="external",W51,0)</f>
        <v>0</v>
      </c>
      <c r="DP51" s="206">
        <f>IF(CO51="external",Z51,0)</f>
        <v>0</v>
      </c>
      <c r="DQ51" s="206">
        <f>IF(CO51="external",AC51,0)</f>
        <v>0</v>
      </c>
      <c r="DR51" s="206">
        <f>IF(CO51="external",AF51,0)</f>
        <v>0</v>
      </c>
      <c r="DS51" s="207">
        <f>IF(CO51="external",AI51,0)</f>
        <v>0</v>
      </c>
      <c r="DT51" s="208"/>
      <c r="DU51" s="207">
        <f>IF(CO51="internal",T51,0)</f>
        <v>0</v>
      </c>
      <c r="DV51" s="207">
        <f>IF(CO51="internal",W51,0)</f>
        <v>0</v>
      </c>
      <c r="DW51" s="207">
        <f>IF(CO51="internal",Z51,0)</f>
        <v>0</v>
      </c>
      <c r="DX51" s="207">
        <f>IF(CO51="internal",AC51,0)</f>
        <v>0</v>
      </c>
      <c r="DY51" s="207">
        <f>IF(CO51="internal",AF51,0)</f>
        <v>0</v>
      </c>
      <c r="DZ51" s="207">
        <f>IF(CO51="internal",AI51,0)</f>
        <v>0</v>
      </c>
    </row>
    <row r="52" spans="1:131" s="7" customFormat="1" x14ac:dyDescent="0.3">
      <c r="B52" s="19">
        <f>+CI52</f>
        <v>0</v>
      </c>
      <c r="C52" s="6">
        <f t="shared" si="31"/>
        <v>0</v>
      </c>
      <c r="D52" s="6">
        <f t="shared" si="31"/>
        <v>103</v>
      </c>
      <c r="E52" s="6" t="str">
        <f t="shared" si="31"/>
        <v>--</v>
      </c>
      <c r="F52" s="6">
        <f>+CM52</f>
        <v>203</v>
      </c>
      <c r="G52" s="174" t="str">
        <f t="shared" si="32"/>
        <v>Max Fx</v>
      </c>
      <c r="H52" s="6" t="str">
        <f t="shared" si="32"/>
        <v>External</v>
      </c>
      <c r="I52" s="156"/>
      <c r="J52" s="10">
        <f t="shared" si="33"/>
        <v>1286</v>
      </c>
      <c r="K52" s="10">
        <f t="shared" si="33"/>
        <v>1578</v>
      </c>
      <c r="L52" s="10">
        <f t="shared" si="33"/>
        <v>934</v>
      </c>
      <c r="M52" s="10">
        <f t="shared" si="33"/>
        <v>1145</v>
      </c>
      <c r="N52" s="10">
        <f>IF(I52*J52&gt;=0,J52*$J$19+I52*$J$18,J52)</f>
        <v>1286</v>
      </c>
      <c r="O52" s="10">
        <f>(K52)*$J$19</f>
        <v>1578</v>
      </c>
      <c r="P52" s="14">
        <f>IF(I52*L52&gt;=0,(L52)+I52,L52)</f>
        <v>934</v>
      </c>
      <c r="Q52" s="3">
        <f>(M52)</f>
        <v>1145</v>
      </c>
      <c r="R52" s="20">
        <f t="shared" si="30"/>
        <v>1000</v>
      </c>
      <c r="S52" s="23"/>
      <c r="T52" s="12">
        <v>32</v>
      </c>
      <c r="U52" s="28"/>
      <c r="V52" s="28"/>
      <c r="W52" s="12"/>
      <c r="X52" s="28"/>
      <c r="Y52" s="28"/>
      <c r="Z52" s="12"/>
      <c r="AA52" s="28"/>
      <c r="AB52" s="28"/>
      <c r="AC52" s="158"/>
      <c r="AD52" s="28"/>
      <c r="AE52" s="28"/>
      <c r="AF52" s="158"/>
      <c r="AG52" s="28"/>
      <c r="AH52" s="28"/>
      <c r="AI52" s="29"/>
      <c r="AJ52" s="6">
        <f>PI()/4*T52^2*$O$12/$AX$16</f>
        <v>5361.6514621265796</v>
      </c>
      <c r="AK52" s="28" t="str">
        <f>IF(W52=0,"","+")</f>
        <v/>
      </c>
      <c r="AL52" s="6">
        <f>PI()/4*W52^2*$O$12/$AX$16</f>
        <v>0</v>
      </c>
      <c r="AM52" s="28" t="str">
        <f>IF(Z52=0,"","+")</f>
        <v/>
      </c>
      <c r="AN52" s="6">
        <f>PI()/4*Z52^2*$O$12/$AX$16</f>
        <v>0</v>
      </c>
      <c r="AO52" s="28" t="str">
        <f>IF(AC52=0,"","+")</f>
        <v/>
      </c>
      <c r="AP52" s="6">
        <f>PI()/4*AC52^2*$O$12/$AX$16</f>
        <v>0</v>
      </c>
      <c r="AQ52" s="28" t="str">
        <f>IF(AF52=0,"","+")</f>
        <v/>
      </c>
      <c r="AR52" s="6">
        <f>PI()/4*AF52^2*$O$12/$AX$16</f>
        <v>0</v>
      </c>
      <c r="AS52" s="28" t="str">
        <f>IF(AI52=0,"","+")</f>
        <v/>
      </c>
      <c r="AT52" s="6">
        <f>PI()/4*AI52^2*$O$12/$AX$16</f>
        <v>0</v>
      </c>
      <c r="AU52" s="28" t="s">
        <v>24</v>
      </c>
      <c r="AV52" s="15">
        <f>VALUE(AJ52)+VALUE(AL52)+VALUE(AN52)+VALUE(AP52)+VALUE(AR52)+VALUE(AT52)</f>
        <v>5361.6514621265796</v>
      </c>
      <c r="AW52" s="228">
        <f>MAX(0.3*$AJ$14^(2/3)/$AJ$16*0.26*100,0.13)</f>
        <v>0.15723814702688016</v>
      </c>
      <c r="AX52" s="6">
        <f>AW52/100*$O$12*BK52</f>
        <v>1416.7157047121905</v>
      </c>
      <c r="AY52" s="6"/>
      <c r="AZ52" s="6"/>
      <c r="BA52" s="24" t="str">
        <f>IF(BB52=0,"","+")</f>
        <v/>
      </c>
      <c r="BB52" s="24"/>
      <c r="BC52" s="28" t="s">
        <v>24</v>
      </c>
      <c r="BD52" s="15">
        <f>AX52+AZ52+BB52</f>
        <v>1416.7157047121905</v>
      </c>
      <c r="BE52" s="2">
        <f>(R52-($AX$14+$O$16+T52/2))</f>
        <v>901</v>
      </c>
      <c r="BF52" s="3">
        <f>IF(W52=0,0,(R52-($AX$14+T52/2+$O$16+$BI$16)))</f>
        <v>0</v>
      </c>
      <c r="BG52" s="3">
        <f>IF(Z52=0,0,(R52-($AX$14+T52/2+$BI$16+$O$16+$BI$17)))</f>
        <v>0</v>
      </c>
      <c r="BH52" s="3">
        <f>IF(AC52=0,0,(R52-($AX$14+T52/2+$O$16+$BI$16+$BI$17+$BI$18)))</f>
        <v>0</v>
      </c>
      <c r="BI52" s="3">
        <f>IF(AF52=0,0,(R52-($AX$14+T52/2+$O$16+$BI$16+$BI$17+$BI$18+$BL$16)))</f>
        <v>0</v>
      </c>
      <c r="BJ52" s="3">
        <f>IF(AI52=0,0,(R52-($AX$14+T52/2+$O$16+$BI$16+$BI$17+$BI$18+$BL$16+$BL$17)))</f>
        <v>0</v>
      </c>
      <c r="BK52" s="6">
        <f>(BE52*AJ52+BF52*AL52+BG52*AN52+BH52*AP52+BI52*AR52+BJ52*AT52)/AV52</f>
        <v>901.00000000000011</v>
      </c>
      <c r="BL52" s="175">
        <f>ABS(N52)*1000000/$O$12/BK52^2</f>
        <v>1.5841320717762106</v>
      </c>
      <c r="BM52" s="175">
        <f>BL52/$AJ$14</f>
        <v>4.9504127243006582E-2</v>
      </c>
      <c r="BN52" s="21">
        <f>IF(BM52&lt;0.167,0.5+SQRT(0.25-(BM52/1.134)),0.82)</f>
        <v>0.95425275651899888</v>
      </c>
      <c r="BO52" s="15">
        <f>ABS(N52)/(0.87*$AJ$16*BN52*BK52)*10^6</f>
        <v>3438.4562075083959</v>
      </c>
      <c r="BP52" s="22">
        <v>451.40479600728645</v>
      </c>
      <c r="BQ52" s="175">
        <f>IF(Q52=0,2*ABS(P52*10^6)/$O$12/BP52/(BK52-BP52/3),Q52*BP52*1000/($O$12/2*BP52^2-(BE52-BP52)*AJ52*$AJ$18-(BF52-BP52)*AL52*$AJ$18-(BG52-BP52)*AN52*$AJ$18-(BH52-BP52)*AP52*$AJ$18-(BI52-BP52)*AR52*$AJ$18-(BJ52-BP52)*AT52*$AJ$18))</f>
        <v>8.2241511741217543</v>
      </c>
      <c r="BR52" s="3">
        <f>0.5*$O$12*BP52*BQ52 /1000</f>
        <v>1856.2106415437581</v>
      </c>
      <c r="BS52" s="3">
        <f>($BQ52/$BP52)*(BE52-$BP52)*$AJ$18*AJ52/1000</f>
        <v>711.21064154375779</v>
      </c>
      <c r="BT52" s="3">
        <f>($BQ52/$BP52)*(BF52-$BP52)*$AJ$18*AL52/1000</f>
        <v>0</v>
      </c>
      <c r="BU52" s="3">
        <f>($BQ52/$BP52)*(BG52-$BP52)*$AJ$18*AN52/1000</f>
        <v>0</v>
      </c>
      <c r="BV52" s="3">
        <f>($BQ52/$BP52)*(BH52-$BP52)*$AJ$18*AP52/1000</f>
        <v>0</v>
      </c>
      <c r="BW52" s="3">
        <f>($BQ52/$BP52)*(BI52-$BP52)*$AJ$18*AR52/1000</f>
        <v>0</v>
      </c>
      <c r="BX52" s="3">
        <f>($BQ52/$BP52)*(BJ52-$BP52)*$AJ$18*AT52/1000</f>
        <v>0</v>
      </c>
      <c r="BY52" s="175">
        <f>IF(Q52=0,0,(0.5*$O$12*BP52*BQ52/1000*(R52/2-$BP52/3)+BS52*(BE52-R52/2)+BT52*(BF52-R52/2)+BU52*(BG52-R52/2)+BV52*(BH52-R52/2)+BW52*(BI52-R52/2)+BX52*(BJ52-R52/2))/1000-ABS(P52))</f>
        <v>-7.2999454232558492E-6</v>
      </c>
      <c r="BZ52" s="10"/>
      <c r="CA52" s="176">
        <f>ABS(P52)/(BK52-BP52/3)/AV52*10^6-Q52*(R52/2-BP52/3)/(BK52-BP52/3)/AV52*1000</f>
        <v>132.64768444833544</v>
      </c>
      <c r="CB52" s="177">
        <f>(AV52/($O$12*MIN(2.5*(R52-BK52),(R52-BP52)/3,R52/2)-AV52))</f>
        <v>3.0205905704671007E-2</v>
      </c>
      <c r="CC52" s="177">
        <f>3.4*($O$16+$AX$14)+0.425*0.8*0.5*(T52^2+W52^2+Z52^2+AC52^2+AF52^2+AI52^2)/(T52+W52+Z52+AC52+AF52+AI52)/CB52</f>
        <v>462.29723175288746</v>
      </c>
      <c r="CD52" s="177">
        <f>MAX(0.6*CA52/$AJ$17,(CA52-0.4*0.3*$AJ$14^(2/3)/CB52*(1+$AJ$17/$AJ$15*CB52))/$AJ$17)</f>
        <v>0.39794305334500629</v>
      </c>
      <c r="CE52" s="178">
        <f>CC52*CD52/1000</f>
        <v>0.18396797195668801</v>
      </c>
      <c r="CF52" s="23" t="str">
        <f>IF(AND(AV52&gt;=BD52,AV52&gt;=BO52,CE52&lt;=(+IF(CO52="External",0.25,0.3))),"O.K", "Not O.K")</f>
        <v>O.K</v>
      </c>
      <c r="CG52" s="28"/>
      <c r="CH52" s="179" t="str">
        <f>IF(O52&lt;0.2*$AJ$14*R52*$O$12/1000,"N &lt; 0.2fckAc - OK!","TBA")</f>
        <v>N &lt; 0.2fckAc - OK!</v>
      </c>
      <c r="CI52" s="24"/>
      <c r="CJ52" s="25"/>
      <c r="CK52" s="6">
        <f t="shared" si="10"/>
        <v>103</v>
      </c>
      <c r="CL52" s="8" t="s">
        <v>72</v>
      </c>
      <c r="CM52" s="6">
        <f t="shared" si="11"/>
        <v>203</v>
      </c>
      <c r="CN52" s="26" t="s">
        <v>145</v>
      </c>
      <c r="CO52" s="27" t="s">
        <v>105</v>
      </c>
      <c r="CP52" s="2">
        <v>1286</v>
      </c>
      <c r="CQ52" s="15">
        <v>1578</v>
      </c>
      <c r="CR52" s="3">
        <v>934</v>
      </c>
      <c r="CS52" s="15">
        <v>1145</v>
      </c>
      <c r="CT52" s="20">
        <v>1000</v>
      </c>
      <c r="CU52" s="2">
        <v>103</v>
      </c>
      <c r="CV52" s="15">
        <v>203</v>
      </c>
      <c r="CW52" s="6"/>
      <c r="CX52" s="278"/>
      <c r="CY52" s="6"/>
      <c r="CZ52" s="6"/>
      <c r="DA52" s="6"/>
      <c r="DB52" s="6"/>
      <c r="DC52" s="6"/>
      <c r="DD52" s="6"/>
      <c r="DE52" s="6"/>
      <c r="DF52" s="6"/>
      <c r="DG52" s="6"/>
      <c r="DH52" s="6"/>
      <c r="DI52" s="6"/>
      <c r="DJ52" s="212"/>
      <c r="DK52" s="13"/>
      <c r="DL52" s="13"/>
      <c r="DM52" s="202"/>
      <c r="DN52" s="206">
        <f>IF(CO52="external",T52,0)</f>
        <v>32</v>
      </c>
      <c r="DO52" s="206">
        <f>IF(CO52="external",W52,0)</f>
        <v>0</v>
      </c>
      <c r="DP52" s="206">
        <f>IF(CO52="external",Z52,0)</f>
        <v>0</v>
      </c>
      <c r="DQ52" s="206">
        <f>IF(CO52="external",AC52,0)</f>
        <v>0</v>
      </c>
      <c r="DR52" s="206">
        <f>IF(CO52="external",AF52,0)</f>
        <v>0</v>
      </c>
      <c r="DS52" s="207">
        <f>IF(CO52="external",AI52,0)</f>
        <v>0</v>
      </c>
      <c r="DT52" s="208"/>
      <c r="DU52" s="207">
        <f>IF(CO52="internal",T52,0)</f>
        <v>0</v>
      </c>
      <c r="DV52" s="207">
        <f>IF(CO52="internal",W52,0)</f>
        <v>0</v>
      </c>
      <c r="DW52" s="207">
        <f>IF(CO52="internal",Z52,0)</f>
        <v>0</v>
      </c>
      <c r="DX52" s="207">
        <f>IF(CO52="internal",AC52,0)</f>
        <v>0</v>
      </c>
      <c r="DY52" s="207">
        <f>IF(CO52="internal",AF52,0)</f>
        <v>0</v>
      </c>
      <c r="DZ52" s="207">
        <f>IF(CO52="internal",AI52,0)</f>
        <v>0</v>
      </c>
    </row>
    <row r="53" spans="1:131" s="7" customFormat="1" x14ac:dyDescent="0.3">
      <c r="B53" s="19">
        <f>+CI53</f>
        <v>0</v>
      </c>
      <c r="C53" s="6">
        <f t="shared" si="31"/>
        <v>0</v>
      </c>
      <c r="D53" s="6">
        <f t="shared" si="31"/>
        <v>105</v>
      </c>
      <c r="E53" s="6" t="str">
        <f t="shared" si="31"/>
        <v>--</v>
      </c>
      <c r="F53" s="6">
        <f>+CM53</f>
        <v>205</v>
      </c>
      <c r="G53" s="174" t="str">
        <f t="shared" si="32"/>
        <v>Min Fx</v>
      </c>
      <c r="H53" s="6" t="str">
        <f t="shared" si="32"/>
        <v>External</v>
      </c>
      <c r="I53" s="156"/>
      <c r="J53" s="10">
        <f t="shared" si="33"/>
        <v>1312</v>
      </c>
      <c r="K53" s="10">
        <f t="shared" si="33"/>
        <v>840</v>
      </c>
      <c r="L53" s="10">
        <f t="shared" si="33"/>
        <v>1003</v>
      </c>
      <c r="M53" s="10">
        <f t="shared" si="33"/>
        <v>726</v>
      </c>
      <c r="N53" s="10">
        <f>IF(I53*J53&gt;=0,J53*$J$19+I53*$J$18,J53)</f>
        <v>1312</v>
      </c>
      <c r="O53" s="10">
        <f>(K53)*$J$19</f>
        <v>840</v>
      </c>
      <c r="P53" s="14">
        <f>IF(I53*L53&gt;=0,(L53)+I53,L53)</f>
        <v>1003</v>
      </c>
      <c r="Q53" s="3">
        <f>(M53)</f>
        <v>726</v>
      </c>
      <c r="R53" s="20">
        <f t="shared" si="30"/>
        <v>1000</v>
      </c>
      <c r="S53" s="23"/>
      <c r="T53" s="12">
        <v>40</v>
      </c>
      <c r="U53" s="28"/>
      <c r="V53" s="28"/>
      <c r="W53" s="12"/>
      <c r="X53" s="28"/>
      <c r="Y53" s="28"/>
      <c r="Z53" s="12"/>
      <c r="AA53" s="28"/>
      <c r="AB53" s="28"/>
      <c r="AC53" s="158"/>
      <c r="AD53" s="28"/>
      <c r="AE53" s="28"/>
      <c r="AF53" s="158"/>
      <c r="AG53" s="28"/>
      <c r="AH53" s="28"/>
      <c r="AI53" s="29"/>
      <c r="AJ53" s="6">
        <f>PI()/4*T53^2*$O$12/$AX$16</f>
        <v>8377.5804095727817</v>
      </c>
      <c r="AK53" s="28" t="str">
        <f>IF(W53=0,"","+")</f>
        <v/>
      </c>
      <c r="AL53" s="6">
        <f>PI()/4*W53^2*$O$12/$AX$16</f>
        <v>0</v>
      </c>
      <c r="AM53" s="28" t="str">
        <f>IF(Z53=0,"","+")</f>
        <v/>
      </c>
      <c r="AN53" s="6">
        <f>PI()/4*Z53^2*$O$12/$AX$16</f>
        <v>0</v>
      </c>
      <c r="AO53" s="28" t="str">
        <f>IF(AC53=0,"","+")</f>
        <v/>
      </c>
      <c r="AP53" s="6">
        <f>PI()/4*AC53^2*$O$12/$AX$16</f>
        <v>0</v>
      </c>
      <c r="AQ53" s="28" t="str">
        <f>IF(AF53=0,"","+")</f>
        <v/>
      </c>
      <c r="AR53" s="6">
        <f>PI()/4*AF53^2*$O$12/$AX$16</f>
        <v>0</v>
      </c>
      <c r="AS53" s="28" t="str">
        <f>IF(AI53=0,"","+")</f>
        <v/>
      </c>
      <c r="AT53" s="6">
        <f>PI()/4*AI53^2*$O$12/$AX$16</f>
        <v>0</v>
      </c>
      <c r="AU53" s="28" t="s">
        <v>24</v>
      </c>
      <c r="AV53" s="15">
        <f>VALUE(AJ53)+VALUE(AL53)+VALUE(AN53)+VALUE(AP53)+VALUE(AR53)+VALUE(AT53)</f>
        <v>8377.5804095727817</v>
      </c>
      <c r="AW53" s="228">
        <f>MAX(0.3*$AJ$14^(2/3)/$AJ$16*0.26*100,0.13)</f>
        <v>0.15723814702688016</v>
      </c>
      <c r="AX53" s="6">
        <f>AW53/100*$O$12*BK53</f>
        <v>1410.4261788311151</v>
      </c>
      <c r="AY53" s="6"/>
      <c r="AZ53" s="6"/>
      <c r="BA53" s="24" t="str">
        <f>IF(BB53=0,"","+")</f>
        <v/>
      </c>
      <c r="BB53" s="24"/>
      <c r="BC53" s="28" t="s">
        <v>24</v>
      </c>
      <c r="BD53" s="15">
        <f>AX53+AZ53+BB53</f>
        <v>1410.4261788311151</v>
      </c>
      <c r="BE53" s="2">
        <f>(R53-($AX$14+$O$16+T53/2))</f>
        <v>897</v>
      </c>
      <c r="BF53" s="3">
        <f>IF(W53=0,0,(R53-($AX$14+T53/2+$O$16+$BI$16)))</f>
        <v>0</v>
      </c>
      <c r="BG53" s="3">
        <f>IF(Z53=0,0,(R53-($AX$14+T53/2+$BI$16+$O$16+$BI$17)))</f>
        <v>0</v>
      </c>
      <c r="BH53" s="3">
        <f>IF(AC53=0,0,(R53-($AX$14+T53/2+$O$16+$BI$16+$BI$17+$BI$18)))</f>
        <v>0</v>
      </c>
      <c r="BI53" s="3">
        <f>IF(AF53=0,0,(R53-($AX$14+T53/2+$O$16+$BI$16+$BI$17+$BI$18+$BL$16)))</f>
        <v>0</v>
      </c>
      <c r="BJ53" s="3">
        <f>IF(AI53=0,0,(R53-($AX$14+T53/2+$O$16+$BI$16+$BI$17+$BI$18+$BL$16+$BL$17)))</f>
        <v>0</v>
      </c>
      <c r="BK53" s="6">
        <f>(BE53*AJ53+BF53*AL53+BG53*AN53+BH53*AP53+BI53*AR53+BJ53*AT53)/AV53</f>
        <v>897</v>
      </c>
      <c r="BL53" s="175">
        <f>ABS(N53)*1000000/$O$12/BK53^2</f>
        <v>1.6306056730660483</v>
      </c>
      <c r="BM53" s="175">
        <f>BL53/$AJ$14</f>
        <v>5.095642728331401E-2</v>
      </c>
      <c r="BN53" s="21">
        <f>IF(BM53&lt;0.167,0.5+SQRT(0.25-(BM53/1.134)),0.82)</f>
        <v>0.9528408980413281</v>
      </c>
      <c r="BO53" s="15">
        <f>ABS(N53)/(0.87*$AJ$16*BN53*BK53)*10^6</f>
        <v>3528.838193593167</v>
      </c>
      <c r="BP53" s="22">
        <v>454.59668530941639</v>
      </c>
      <c r="BQ53" s="175">
        <f>IF(Q53=0,2*ABS(P53*10^6)/$O$12/BP53/(BK53-BP53/3),Q53*BP53*1000/($O$12/2*BP53^2-(BE53-BP53)*AJ53*$AJ$18-(BF53-BP53)*AL53*$AJ$18-(BG53-BP53)*AN53*$AJ$18-(BH53-BP53)*AP53*$AJ$18-(BI53-BP53)*AR53*$AJ$18-(BJ53-BP53)*AT53*$AJ$18))</f>
        <v>7.6203650195808628</v>
      </c>
      <c r="BR53" s="3">
        <f>0.5*$O$12*BP53*BQ53 /1000</f>
        <v>1732.0963393746431</v>
      </c>
      <c r="BS53" s="3">
        <f>($BQ53/$BP53)*(BE53-$BP53)*$AJ$18*AJ53/1000</f>
        <v>1006.0963393746434</v>
      </c>
      <c r="BT53" s="3">
        <f>($BQ53/$BP53)*(BF53-$BP53)*$AJ$18*AL53/1000</f>
        <v>0</v>
      </c>
      <c r="BU53" s="3">
        <f>($BQ53/$BP53)*(BG53-$BP53)*$AJ$18*AN53/1000</f>
        <v>0</v>
      </c>
      <c r="BV53" s="3">
        <f>($BQ53/$BP53)*(BH53-$BP53)*$AJ$18*AP53/1000</f>
        <v>0</v>
      </c>
      <c r="BW53" s="3">
        <f>($BQ53/$BP53)*(BI53-$BP53)*$AJ$18*AR53/1000</f>
        <v>0</v>
      </c>
      <c r="BX53" s="3">
        <f>($BQ53/$BP53)*(BJ53-$BP53)*$AJ$18*AT53/1000</f>
        <v>0</v>
      </c>
      <c r="BY53" s="175">
        <f>IF(Q53=0,0,(0.5*$O$12*BP53*BQ53/1000*(R53/2-$BP53/3)+BS53*(BE53-R53/2)+BT53*(BF53-R53/2)+BU53*(BG53-R53/2)+BV53*(BH53-R53/2)+BW53*(BI53-R53/2)+BX53*(BJ53-R53/2))/1000-ABS(P53))</f>
        <v>-1.7530405784782488E-6</v>
      </c>
      <c r="BZ53" s="10"/>
      <c r="CA53" s="176">
        <f>ABS(P53)/(BK53-BP53/3)/AV53*10^6-Q53*(R53/2-BP53/3)/(BK53-BP53/3)/AV53*1000</f>
        <v>120.093904509303</v>
      </c>
      <c r="CB53" s="177">
        <f>(AV53/($O$12*MIN(2.5*(R53-BK53),(R53-BP53)/3,R53/2)-AV53))</f>
        <v>4.8307058885698299E-2</v>
      </c>
      <c r="CC53" s="177">
        <f>3.4*($O$16+$AX$14)+0.425*0.8*0.5*(T53^2+W53^2+Z53^2+AC53^2+AF53^2+AI53^2)/(T53+W53+Z53+AC53+AF53+AI53)/CB53</f>
        <v>422.96617696990853</v>
      </c>
      <c r="CD53" s="177">
        <f>MAX(0.6*CA53/$AJ$17,(CA53-0.4*0.3*$AJ$14^(2/3)/CB53*(1+$AJ$17/$AJ$15*CB53))/$AJ$17)</f>
        <v>0.37734333592157898</v>
      </c>
      <c r="CE53" s="178">
        <f>CC53*CD53/1000</f>
        <v>0.15960346819982224</v>
      </c>
      <c r="CF53" s="23" t="str">
        <f>IF(AND(AV53&gt;=BD53,AV53&gt;=BO53,CE53&lt;=(+IF(CO53="External",0.25,0.3))),"O.K", "Not O.K")</f>
        <v>O.K</v>
      </c>
      <c r="CG53" s="28"/>
      <c r="CH53" s="179" t="str">
        <f>IF(O53&lt;0.2*$AJ$14*R53*$O$12/1000,"N &lt; 0.2fckAc - OK!","TBA")</f>
        <v>N &lt; 0.2fckAc - OK!</v>
      </c>
      <c r="CI53" s="24"/>
      <c r="CJ53" s="25"/>
      <c r="CK53" s="6">
        <f t="shared" si="10"/>
        <v>105</v>
      </c>
      <c r="CL53" s="8" t="s">
        <v>72</v>
      </c>
      <c r="CM53" s="6">
        <f t="shared" si="11"/>
        <v>205</v>
      </c>
      <c r="CN53" s="26" t="s">
        <v>146</v>
      </c>
      <c r="CO53" s="27" t="s">
        <v>105</v>
      </c>
      <c r="CP53" s="2">
        <v>1312</v>
      </c>
      <c r="CQ53" s="15">
        <v>840</v>
      </c>
      <c r="CR53" s="3">
        <v>1003</v>
      </c>
      <c r="CS53" s="15">
        <v>726</v>
      </c>
      <c r="CT53" s="20">
        <v>1000</v>
      </c>
      <c r="CU53" s="2">
        <v>105</v>
      </c>
      <c r="CV53" s="15">
        <v>205</v>
      </c>
      <c r="CW53" s="6"/>
      <c r="CX53" s="278"/>
      <c r="CY53" s="6"/>
      <c r="CZ53" s="6"/>
      <c r="DA53" s="6"/>
      <c r="DB53" s="6"/>
      <c r="DC53" s="6"/>
      <c r="DD53" s="6"/>
      <c r="DE53" s="6"/>
      <c r="DF53" s="6"/>
      <c r="DG53" s="6"/>
      <c r="DH53" s="6"/>
      <c r="DI53" s="6"/>
      <c r="DJ53" s="212"/>
      <c r="DK53" s="13"/>
      <c r="DL53" s="13"/>
      <c r="DM53" s="202"/>
      <c r="DN53" s="206">
        <f>IF(CO53="external",T53,0)</f>
        <v>40</v>
      </c>
      <c r="DO53" s="206">
        <f>IF(CO53="external",W53,0)</f>
        <v>0</v>
      </c>
      <c r="DP53" s="206">
        <f>IF(CO53="external",Z53,0)</f>
        <v>0</v>
      </c>
      <c r="DQ53" s="206">
        <f>IF(CO53="external",AC53,0)</f>
        <v>0</v>
      </c>
      <c r="DR53" s="206">
        <f>IF(CO53="external",AF53,0)</f>
        <v>0</v>
      </c>
      <c r="DS53" s="207">
        <f>IF(CO53="external",AI53,0)</f>
        <v>0</v>
      </c>
      <c r="DT53" s="208"/>
      <c r="DU53" s="207">
        <f>IF(CO53="internal",T53,0)</f>
        <v>0</v>
      </c>
      <c r="DV53" s="207">
        <f>IF(CO53="internal",W53,0)</f>
        <v>0</v>
      </c>
      <c r="DW53" s="207">
        <f>IF(CO53="internal",Z53,0)</f>
        <v>0</v>
      </c>
      <c r="DX53" s="207">
        <f>IF(CO53="internal",AC53,0)</f>
        <v>0</v>
      </c>
      <c r="DY53" s="207">
        <f>IF(CO53="internal",AF53,0)</f>
        <v>0</v>
      </c>
      <c r="DZ53" s="207">
        <f>IF(CO53="internal",AI53,0)</f>
        <v>0</v>
      </c>
    </row>
    <row r="54" spans="1:131" s="7" customFormat="1" x14ac:dyDescent="0.3">
      <c r="B54" s="242"/>
      <c r="C54" s="238"/>
      <c r="D54" s="237"/>
      <c r="E54" s="238"/>
      <c r="F54" s="238"/>
      <c r="G54" s="239"/>
      <c r="H54" s="67"/>
      <c r="I54" s="67"/>
      <c r="J54" s="67"/>
      <c r="K54" s="67"/>
      <c r="L54" s="67"/>
      <c r="M54" s="67"/>
      <c r="N54" s="67"/>
      <c r="O54" s="67"/>
      <c r="P54" s="67"/>
      <c r="Q54" s="67"/>
      <c r="R54" s="67"/>
      <c r="S54" s="67"/>
      <c r="T54" s="240"/>
      <c r="U54" s="67"/>
      <c r="V54" s="67"/>
      <c r="W54" s="240"/>
      <c r="X54" s="67"/>
      <c r="Y54" s="67"/>
      <c r="Z54" s="67"/>
      <c r="AA54" s="67"/>
      <c r="AB54" s="67"/>
      <c r="AC54" s="67"/>
      <c r="AD54" s="67"/>
      <c r="AE54" s="67"/>
      <c r="AF54" s="67"/>
      <c r="AG54" s="67"/>
      <c r="AH54" s="67"/>
      <c r="AI54" s="241"/>
      <c r="AJ54" s="67"/>
      <c r="AK54" s="67"/>
      <c r="AL54" s="67"/>
      <c r="AM54" s="67"/>
      <c r="AN54" s="67"/>
      <c r="AO54" s="67"/>
      <c r="AP54" s="67"/>
      <c r="AQ54" s="67"/>
      <c r="AR54" s="67"/>
      <c r="AS54" s="67"/>
      <c r="AT54" s="67"/>
      <c r="AU54" s="67"/>
      <c r="AV54" s="67"/>
      <c r="AW54" s="67"/>
      <c r="AX54" s="67"/>
      <c r="AY54" s="67"/>
      <c r="AZ54" s="67"/>
      <c r="BA54" s="67"/>
      <c r="BB54" s="67"/>
      <c r="BC54" s="67"/>
      <c r="BD54" s="67"/>
      <c r="BE54" s="67"/>
      <c r="BF54" s="67"/>
      <c r="BG54" s="67"/>
      <c r="BH54" s="67"/>
      <c r="BI54" s="67"/>
      <c r="BJ54" s="67"/>
      <c r="BK54" s="67"/>
      <c r="BL54" s="67"/>
      <c r="BM54" s="67"/>
      <c r="BN54" s="67"/>
      <c r="BO54" s="67"/>
      <c r="BP54" s="67"/>
      <c r="BQ54" s="67"/>
      <c r="BR54" s="67"/>
      <c r="BS54" s="67"/>
      <c r="BT54" s="67"/>
      <c r="BU54" s="67"/>
      <c r="BV54" s="67"/>
      <c r="BW54" s="67"/>
      <c r="BX54" s="67"/>
      <c r="BY54" s="67"/>
      <c r="BZ54" s="67"/>
      <c r="CA54" s="67"/>
      <c r="CB54" s="67"/>
      <c r="CC54" s="67"/>
      <c r="CD54" s="67"/>
      <c r="CE54" s="67"/>
      <c r="CH54" s="243"/>
      <c r="CI54" s="6"/>
      <c r="CJ54" s="37"/>
      <c r="CK54" s="6">
        <f t="shared" si="10"/>
        <v>0</v>
      </c>
      <c r="CL54" s="8" t="s">
        <v>72</v>
      </c>
      <c r="CM54" s="6">
        <f t="shared" si="11"/>
        <v>0</v>
      </c>
      <c r="CN54" s="39"/>
      <c r="CO54" s="40"/>
      <c r="CP54" s="13"/>
      <c r="CQ54" s="13"/>
      <c r="CR54" s="13"/>
      <c r="CS54" s="13"/>
      <c r="CU54" s="6"/>
      <c r="CV54" s="6"/>
      <c r="CW54" s="28"/>
      <c r="CX54" s="280"/>
      <c r="CY54" s="185"/>
      <c r="CZ54" s="185"/>
      <c r="DA54" s="185"/>
      <c r="DB54" s="185"/>
      <c r="DC54" s="185"/>
      <c r="DD54" s="185"/>
      <c r="DE54" s="185"/>
      <c r="DF54" s="185"/>
      <c r="DG54" s="185"/>
      <c r="DH54" s="185"/>
      <c r="DI54" s="185"/>
      <c r="DJ54" s="209"/>
      <c r="DK54" s="185"/>
      <c r="DL54" s="185"/>
      <c r="DM54" s="186"/>
      <c r="DN54" s="187"/>
      <c r="DO54" s="187"/>
      <c r="DP54" s="187"/>
      <c r="DQ54" s="187"/>
      <c r="DR54" s="187"/>
      <c r="DS54" s="187"/>
      <c r="DT54" s="188"/>
      <c r="DU54" s="187"/>
      <c r="DV54" s="187"/>
      <c r="DW54" s="187"/>
      <c r="DX54" s="187"/>
      <c r="DY54" s="187"/>
      <c r="DZ54" s="187"/>
      <c r="EA54" s="185"/>
    </row>
    <row r="55" spans="1:131" s="7" customFormat="1" ht="13.8" x14ac:dyDescent="0.25">
      <c r="A55" s="7" t="s">
        <v>141</v>
      </c>
      <c r="B55" s="19">
        <f>+CI55</f>
        <v>7</v>
      </c>
      <c r="C55" s="6">
        <f t="shared" ref="C55:E58" si="36">CJ55</f>
        <v>0</v>
      </c>
      <c r="D55" s="6">
        <f t="shared" si="36"/>
        <v>104</v>
      </c>
      <c r="E55" s="6" t="str">
        <f t="shared" si="36"/>
        <v>--</v>
      </c>
      <c r="F55" s="6">
        <f>+CM55</f>
        <v>204</v>
      </c>
      <c r="G55" s="174" t="str">
        <f t="shared" ref="G55:H58" si="37">CN55</f>
        <v>Max Mz</v>
      </c>
      <c r="H55" s="6" t="str">
        <f t="shared" si="37"/>
        <v>Internal</v>
      </c>
      <c r="I55" s="156"/>
      <c r="J55" s="10">
        <f t="shared" ref="J55:M58" si="38">(CP55)</f>
        <v>-518</v>
      </c>
      <c r="K55" s="10">
        <f t="shared" si="38"/>
        <v>1419</v>
      </c>
      <c r="L55" s="10">
        <f t="shared" si="38"/>
        <v>-573</v>
      </c>
      <c r="M55" s="10">
        <f t="shared" si="38"/>
        <v>1060</v>
      </c>
      <c r="N55" s="10">
        <f>IF(I55*J55&gt;=0,J55*$J$19+I55*$J$18,J55)</f>
        <v>-518</v>
      </c>
      <c r="O55" s="10">
        <f>(K55)*$J$19</f>
        <v>1419</v>
      </c>
      <c r="P55" s="14">
        <f>IF(I55*L55&gt;=0,(L55)+I55,L55)</f>
        <v>-573</v>
      </c>
      <c r="Q55" s="3">
        <f>(M55)</f>
        <v>1060</v>
      </c>
      <c r="R55" s="20">
        <f>CT55</f>
        <v>1000</v>
      </c>
      <c r="S55" s="23"/>
      <c r="T55" s="12">
        <v>20</v>
      </c>
      <c r="U55" s="28"/>
      <c r="V55" s="28"/>
      <c r="W55" s="12"/>
      <c r="X55" s="28"/>
      <c r="Y55" s="28"/>
      <c r="Z55" s="12"/>
      <c r="AA55" s="28"/>
      <c r="AB55" s="28"/>
      <c r="AC55" s="158"/>
      <c r="AD55" s="28"/>
      <c r="AE55" s="28"/>
      <c r="AF55" s="158"/>
      <c r="AG55" s="28"/>
      <c r="AH55" s="28"/>
      <c r="AI55" s="29"/>
      <c r="AJ55" s="6">
        <f>PI()/4*T55^2*$O$12/$AX$16</f>
        <v>2094.3951023931954</v>
      </c>
      <c r="AK55" s="28" t="str">
        <f>IF(W55=0,"","+")</f>
        <v/>
      </c>
      <c r="AL55" s="6">
        <f>PI()/4*W55^2*$O$12/$AX$16</f>
        <v>0</v>
      </c>
      <c r="AM55" s="28" t="str">
        <f>IF(Z55=0,"","+")</f>
        <v/>
      </c>
      <c r="AN55" s="6">
        <f>PI()/4*Z55^2*$O$12/$AX$16</f>
        <v>0</v>
      </c>
      <c r="AO55" s="28" t="str">
        <f>IF(AC55=0,"","+")</f>
        <v/>
      </c>
      <c r="AP55" s="6">
        <f>PI()/4*AC55^2*$O$12/$AX$16</f>
        <v>0</v>
      </c>
      <c r="AQ55" s="28" t="str">
        <f>IF(AF55=0,"","+")</f>
        <v/>
      </c>
      <c r="AR55" s="6">
        <f>PI()/4*AF55^2*$O$12/$AX$16</f>
        <v>0</v>
      </c>
      <c r="AS55" s="28" t="str">
        <f>IF(AI55=0,"","+")</f>
        <v/>
      </c>
      <c r="AT55" s="6">
        <f>PI()/4*AI55^2*$O$12/$AX$16</f>
        <v>0</v>
      </c>
      <c r="AU55" s="28" t="s">
        <v>24</v>
      </c>
      <c r="AV55" s="15">
        <f>VALUE(AJ55)+VALUE(AL55)+VALUE(AN55)+VALUE(AP55)+VALUE(AR55)+VALUE(AT55)</f>
        <v>2094.3951023931954</v>
      </c>
      <c r="AW55" s="228">
        <f>MAX(0.3*$AJ$14^(2/3)/$AJ$16*0.26*100,0.13)</f>
        <v>0.15723814702688016</v>
      </c>
      <c r="AX55" s="6">
        <f>AW55/100*$O$12*BK55</f>
        <v>1426.1499935338031</v>
      </c>
      <c r="AY55" s="6"/>
      <c r="AZ55" s="6"/>
      <c r="BA55" s="24" t="str">
        <f>IF(BB55=0,"","+")</f>
        <v/>
      </c>
      <c r="BB55" s="24"/>
      <c r="BC55" s="28" t="s">
        <v>24</v>
      </c>
      <c r="BD55" s="15">
        <f>AX55+AZ55+BB55</f>
        <v>1426.1499935338031</v>
      </c>
      <c r="BE55" s="2">
        <f>(R55-($AX$14+$O$16+T55/2))</f>
        <v>907</v>
      </c>
      <c r="BF55" s="3">
        <f>IF(W55=0,0,(R55-($AX$14+T55/2+$O$16+$BI$16)))</f>
        <v>0</v>
      </c>
      <c r="BG55" s="3">
        <f>IF(Z55=0,0,(R55-($AX$14+T55/2+$BI$16+$O$16+$BI$17)))</f>
        <v>0</v>
      </c>
      <c r="BH55" s="3">
        <f>IF(AC55=0,0,(R55-($AX$14+T55/2+$O$16+$BI$16+$BI$17+$BI$18)))</f>
        <v>0</v>
      </c>
      <c r="BI55" s="3">
        <f>IF(AF55=0,0,(R55-($AX$14+T55/2+$O$16+$BI$16+$BI$17+$BI$18+$BL$16)))</f>
        <v>0</v>
      </c>
      <c r="BJ55" s="3">
        <f>IF(AI55=0,0,(R55-($AX$14+T55/2+$O$16+$BI$16+$BI$17+$BI$18+$BL$16+$BL$17)))</f>
        <v>0</v>
      </c>
      <c r="BK55" s="6">
        <f>(BE55*AJ55+BF55*AL55+BG55*AN55+BH55*AP55+BI55*AR55+BJ55*AT55)/AV55</f>
        <v>907</v>
      </c>
      <c r="BL55" s="175">
        <f>ABS(N55)*1000000/$O$12/BK55^2</f>
        <v>0.6296731655906711</v>
      </c>
      <c r="BM55" s="175">
        <f>BL55/$AJ$14</f>
        <v>1.9677286424708472E-2</v>
      </c>
      <c r="BN55" s="21">
        <f>IF(BM55&lt;0.167,0.5+SQRT(0.25-(BM55/1.134)),0.82)</f>
        <v>0.98233587422981516</v>
      </c>
      <c r="BO55" s="15">
        <f>ABS(N55)/(0.87*$AJ$16*BN55*BK55)*10^6</f>
        <v>1336.5130733913963</v>
      </c>
      <c r="BP55" s="22">
        <v>417.99383952947255</v>
      </c>
      <c r="BQ55" s="175">
        <f>IF(Q55=0,2*ABS(P55*10^6)/$O$12/BP55/(BK55-BP55/3),Q55*BP55*1000/($O$12/2*BP55^2-(BE55-BP55)*AJ55*$AJ$18-(BF55-BP55)*AL55*$AJ$18-(BG55-BP55)*AN55*$AJ$18-(BH55-BP55)*AP55*$AJ$18-(BI55-BP55)*AR55*$AJ$18-(BJ55-BP55)*AT55*$AJ$18))</f>
        <v>6.2603969226215215</v>
      </c>
      <c r="BR55" s="3">
        <f>0.5*$O$12*BP55*BQ55 /1000</f>
        <v>1308.4036733325322</v>
      </c>
      <c r="BS55" s="3">
        <f>($BQ55/$BP55)*(BE55-$BP55)*$AJ$18*AJ55/1000</f>
        <v>248.40367333253187</v>
      </c>
      <c r="BT55" s="3">
        <f>($BQ55/$BP55)*(BF55-$BP55)*$AJ$18*AL55/1000</f>
        <v>0</v>
      </c>
      <c r="BU55" s="3">
        <f>($BQ55/$BP55)*(BG55-$BP55)*$AJ$18*AN55/1000</f>
        <v>0</v>
      </c>
      <c r="BV55" s="3">
        <f>($BQ55/$BP55)*(BH55-$BP55)*$AJ$18*AP55/1000</f>
        <v>0</v>
      </c>
      <c r="BW55" s="3">
        <f>($BQ55/$BP55)*(BI55-$BP55)*$AJ$18*AR55/1000</f>
        <v>0</v>
      </c>
      <c r="BX55" s="3">
        <f>($BQ55/$BP55)*(BJ55-$BP55)*$AJ$18*AT55/1000</f>
        <v>0</v>
      </c>
      <c r="BY55" s="175">
        <f>IF(Q55=0,0,(0.5*$O$12*BP55*BQ55/1000*(R55/2-$BP55/3)+BS55*(BE55-R55/2)+BT55*(BF55-R55/2)+BU55*(BG55-R55/2)+BV55*(BH55-R55/2)+BW55*(BI55-R55/2)+BX55*(BJ55-R55/2))/1000-ABS(P55))</f>
        <v>5.7335569624683558E-4</v>
      </c>
      <c r="BZ55" s="10"/>
      <c r="CA55" s="176">
        <f>ABS(P55)/(BK55-BP55/3)/AV55*10^6-Q55*(R55/2-BP55/3)/(BK55-BP55/3)/AV55*1000</f>
        <v>118.60366087068525</v>
      </c>
      <c r="CB55" s="177">
        <f>(AV55/($O$12*MIN(2.5*(R55-BK55),(R55-BP55)/3,R55/2)-AV55))</f>
        <v>1.0913556655259206E-2</v>
      </c>
      <c r="CC55" s="177">
        <f>3.4*($O$16+$AX$14)+0.425*0.8*0.5*(T55^2+W55^2+Z55^2+AC55^2+AF55^2+AI55^2)/(T55+W55+Z55+AC55+AF55+AI55)/CB55</f>
        <v>593.73913498598563</v>
      </c>
      <c r="CD55" s="177">
        <f>MAX(0.6*CA55/$AJ$17,(CA55-0.4*0.3*$AJ$14^(2/3)/CB55*(1+$AJ$17/$AJ$15*CB55))/$AJ$17)</f>
        <v>0.35581098261205574</v>
      </c>
      <c r="CE55" s="178">
        <f>CC55*CD55/1000</f>
        <v>0.21125890503459555</v>
      </c>
      <c r="CF55" s="23" t="str">
        <f>IF(AND(AV55&gt;=BD55,AV55&gt;=BO55,CE55&lt;=(+IF(CO55="External",0.25,0.3))),"O.K", "Not O.K")</f>
        <v>O.K</v>
      </c>
      <c r="CG55" s="28"/>
      <c r="CH55" s="179" t="str">
        <f>IF(O55&lt;0.2*$AJ$14*R55*$O$12/1000,"N &lt; 0.2fckAc - OK!","TBA")</f>
        <v>N &lt; 0.2fckAc - OK!</v>
      </c>
      <c r="CI55" s="24">
        <v>7</v>
      </c>
      <c r="CJ55" s="25"/>
      <c r="CK55" s="6">
        <f t="shared" si="10"/>
        <v>104</v>
      </c>
      <c r="CL55" s="8" t="s">
        <v>72</v>
      </c>
      <c r="CM55" s="6">
        <f t="shared" si="11"/>
        <v>204</v>
      </c>
      <c r="CN55" s="26" t="s">
        <v>147</v>
      </c>
      <c r="CO55" s="27" t="s">
        <v>106</v>
      </c>
      <c r="CP55" s="2">
        <v>-518</v>
      </c>
      <c r="CQ55" s="15">
        <v>1419</v>
      </c>
      <c r="CR55" s="3">
        <v>-573</v>
      </c>
      <c r="CS55" s="3">
        <v>1060</v>
      </c>
      <c r="CT55" s="20">
        <v>1000</v>
      </c>
      <c r="CU55" s="2">
        <v>104</v>
      </c>
      <c r="CV55" s="15">
        <v>204</v>
      </c>
      <c r="CW55" s="6"/>
      <c r="CX55" s="278">
        <f>CI55</f>
        <v>7</v>
      </c>
      <c r="CY55" s="6">
        <f t="shared" ref="CY55:DD55" si="39">MAX(DN55:DN58)</f>
        <v>0</v>
      </c>
      <c r="CZ55" s="6">
        <f t="shared" si="39"/>
        <v>0</v>
      </c>
      <c r="DA55" s="6">
        <f t="shared" si="39"/>
        <v>0</v>
      </c>
      <c r="DB55" s="6">
        <f t="shared" si="39"/>
        <v>0</v>
      </c>
      <c r="DC55" s="6">
        <f t="shared" si="39"/>
        <v>0</v>
      </c>
      <c r="DD55" s="6">
        <f t="shared" si="39"/>
        <v>0</v>
      </c>
      <c r="DE55" s="6"/>
      <c r="DF55" s="6">
        <f t="shared" ref="DF55:DK55" si="40">MAX(DU55:DU58)</f>
        <v>40</v>
      </c>
      <c r="DG55" s="6">
        <f t="shared" si="40"/>
        <v>0</v>
      </c>
      <c r="DH55" s="6">
        <f t="shared" si="40"/>
        <v>0</v>
      </c>
      <c r="DI55" s="6">
        <f t="shared" si="40"/>
        <v>0</v>
      </c>
      <c r="DJ55" s="6">
        <f t="shared" si="40"/>
        <v>0</v>
      </c>
      <c r="DK55" s="6">
        <f t="shared" si="40"/>
        <v>0</v>
      </c>
      <c r="DL55" s="13"/>
      <c r="DM55" s="202">
        <f>CI55</f>
        <v>7</v>
      </c>
      <c r="DN55" s="206">
        <f>IF(CO55="external",T55,0)</f>
        <v>0</v>
      </c>
      <c r="DO55" s="206">
        <f>IF(CO55="external",W55,0)</f>
        <v>0</v>
      </c>
      <c r="DP55" s="206">
        <f>IF(CO55="external",Z55,0)</f>
        <v>0</v>
      </c>
      <c r="DQ55" s="206">
        <f>IF(CO55="external",AC55,0)</f>
        <v>0</v>
      </c>
      <c r="DR55" s="206">
        <f>IF(CO55="external",AF55,0)</f>
        <v>0</v>
      </c>
      <c r="DS55" s="207">
        <f>IF(CO55="external",AI55,0)</f>
        <v>0</v>
      </c>
      <c r="DT55" s="208"/>
      <c r="DU55" s="207">
        <f>IF(CO55="internal",T55,0)</f>
        <v>20</v>
      </c>
      <c r="DV55" s="207">
        <f>IF(CO55="internal",W55,0)</f>
        <v>0</v>
      </c>
      <c r="DW55" s="207">
        <f>IF(CO55="internal",Z55,0)</f>
        <v>0</v>
      </c>
      <c r="DX55" s="207">
        <f>IF(CO55="internal",AC55,0)</f>
        <v>0</v>
      </c>
      <c r="DY55" s="207">
        <f>IF(CO55="internal",AF55,0)</f>
        <v>0</v>
      </c>
      <c r="DZ55" s="207">
        <f>IF(CO55="internal",AI55,0)</f>
        <v>0</v>
      </c>
    </row>
    <row r="56" spans="1:131" s="7" customFormat="1" x14ac:dyDescent="0.3">
      <c r="B56" s="19">
        <f>+CI56</f>
        <v>0</v>
      </c>
      <c r="C56" s="6">
        <f t="shared" si="36"/>
        <v>0</v>
      </c>
      <c r="D56" s="6">
        <f t="shared" si="36"/>
        <v>103</v>
      </c>
      <c r="E56" s="6" t="str">
        <f t="shared" si="36"/>
        <v>--</v>
      </c>
      <c r="F56" s="6">
        <f>+CM56</f>
        <v>203</v>
      </c>
      <c r="G56" s="174" t="str">
        <f t="shared" si="37"/>
        <v>Min Mz</v>
      </c>
      <c r="H56" s="6" t="str">
        <f t="shared" si="37"/>
        <v>Internal</v>
      </c>
      <c r="I56" s="156"/>
      <c r="J56" s="10">
        <f t="shared" si="38"/>
        <v>-1827</v>
      </c>
      <c r="K56" s="10">
        <f t="shared" si="38"/>
        <v>1721</v>
      </c>
      <c r="L56" s="10">
        <f t="shared" si="38"/>
        <v>-1333</v>
      </c>
      <c r="M56" s="10">
        <f t="shared" si="38"/>
        <v>1251</v>
      </c>
      <c r="N56" s="10">
        <f>IF(I56*J56&gt;=0,J56*$J$19+I56*$J$18,J56)</f>
        <v>-1827</v>
      </c>
      <c r="O56" s="10">
        <f>(K56)*$J$19</f>
        <v>1721</v>
      </c>
      <c r="P56" s="14">
        <f>IF(I56*L56&gt;=0,(L56)+I56,L56)</f>
        <v>-1333</v>
      </c>
      <c r="Q56" s="3">
        <f>(M56)</f>
        <v>1251</v>
      </c>
      <c r="R56" s="20">
        <f t="shared" ref="R56:R63" si="41">CT56</f>
        <v>1000</v>
      </c>
      <c r="S56" s="23"/>
      <c r="T56" s="12">
        <v>40</v>
      </c>
      <c r="U56" s="28"/>
      <c r="V56" s="28"/>
      <c r="W56" s="12"/>
      <c r="X56" s="28"/>
      <c r="Y56" s="28"/>
      <c r="Z56" s="12"/>
      <c r="AA56" s="28"/>
      <c r="AB56" s="28"/>
      <c r="AC56" s="158"/>
      <c r="AD56" s="28"/>
      <c r="AE56" s="28"/>
      <c r="AF56" s="158"/>
      <c r="AG56" s="28"/>
      <c r="AH56" s="28"/>
      <c r="AI56" s="29"/>
      <c r="AJ56" s="6">
        <f>PI()/4*T56^2*$O$12/$AX$16</f>
        <v>8377.5804095727817</v>
      </c>
      <c r="AK56" s="28" t="str">
        <f>IF(W56=0,"","+")</f>
        <v/>
      </c>
      <c r="AL56" s="6">
        <f>PI()/4*W56^2*$O$12/$AX$16</f>
        <v>0</v>
      </c>
      <c r="AM56" s="28" t="str">
        <f>IF(Z56=0,"","+")</f>
        <v/>
      </c>
      <c r="AN56" s="6">
        <f>PI()/4*Z56^2*$O$12/$AX$16</f>
        <v>0</v>
      </c>
      <c r="AO56" s="28" t="str">
        <f>IF(AC56=0,"","+")</f>
        <v/>
      </c>
      <c r="AP56" s="6">
        <f>PI()/4*AC56^2*$O$12/$AX$16</f>
        <v>0</v>
      </c>
      <c r="AQ56" s="28" t="str">
        <f>IF(AF56=0,"","+")</f>
        <v/>
      </c>
      <c r="AR56" s="6">
        <f>PI()/4*AF56^2*$O$12/$AX$16</f>
        <v>0</v>
      </c>
      <c r="AS56" s="28" t="str">
        <f>IF(AI56=0,"","+")</f>
        <v/>
      </c>
      <c r="AT56" s="6">
        <f>PI()/4*AI56^2*$O$12/$AX$16</f>
        <v>0</v>
      </c>
      <c r="AU56" s="28" t="s">
        <v>24</v>
      </c>
      <c r="AV56" s="15">
        <f>VALUE(AJ56)+VALUE(AL56)+VALUE(AN56)+VALUE(AP56)+VALUE(AR56)+VALUE(AT56)</f>
        <v>8377.5804095727817</v>
      </c>
      <c r="AW56" s="228">
        <f>MAX(0.3*$AJ$14^(2/3)/$AJ$16*0.26*100,0.13)</f>
        <v>0.15723814702688016</v>
      </c>
      <c r="AX56" s="6">
        <f>AW56/100*$O$12*BK56</f>
        <v>1410.4261788311151</v>
      </c>
      <c r="AY56" s="6"/>
      <c r="AZ56" s="6"/>
      <c r="BA56" s="24" t="str">
        <f>IF(BB56=0,"","+")</f>
        <v/>
      </c>
      <c r="BB56" s="24"/>
      <c r="BC56" s="28" t="s">
        <v>24</v>
      </c>
      <c r="BD56" s="15">
        <f>AX56+AZ56+BB56</f>
        <v>1410.4261788311151</v>
      </c>
      <c r="BE56" s="2">
        <f>(R56-($AX$14+$O$16+T56/2))</f>
        <v>897</v>
      </c>
      <c r="BF56" s="3">
        <f>IF(W56=0,0,(R56-($AX$14+T56/2+$O$16+$BI$16)))</f>
        <v>0</v>
      </c>
      <c r="BG56" s="3">
        <f>IF(Z56=0,0,(R56-($AX$14+T56/2+$BI$16+$O$16+$BI$17)))</f>
        <v>0</v>
      </c>
      <c r="BH56" s="3">
        <f>IF(AC56=0,0,(R56-($AX$14+T56/2+$O$16+$BI$16+$BI$17+$BI$18)))</f>
        <v>0</v>
      </c>
      <c r="BI56" s="3">
        <f>IF(AF56=0,0,(R56-($AX$14+T56/2+$O$16+$BI$16+$BI$17+$BI$18+$BL$16)))</f>
        <v>0</v>
      </c>
      <c r="BJ56" s="3">
        <f>IF(AI56=0,0,(R56-($AX$14+T56/2+$O$16+$BI$16+$BI$17+$BI$18+$BL$16+$BL$17)))</f>
        <v>0</v>
      </c>
      <c r="BK56" s="6">
        <f>(BE56*AJ56+BF56*AL56+BG56*AN56+BH56*AP56+BI56*AR56+BJ56*AT56)/AV56</f>
        <v>897</v>
      </c>
      <c r="BL56" s="175">
        <f>ABS(N56)*1000000/$O$12/BK56^2</f>
        <v>2.2706681133320656</v>
      </c>
      <c r="BM56" s="175">
        <f>BL56/$AJ$14</f>
        <v>7.0958378541627051E-2</v>
      </c>
      <c r="BN56" s="21">
        <f>IF(BM56&lt;0.167,0.5+SQRT(0.25-(BM56/1.134)),0.82)</f>
        <v>0.93292779299691819</v>
      </c>
      <c r="BO56" s="15">
        <f>ABS(N56)/(0.87*$AJ$16*BN56*BK56)*10^6</f>
        <v>5018.9031591077346</v>
      </c>
      <c r="BP56" s="22">
        <v>478.5579055036215</v>
      </c>
      <c r="BQ56" s="175">
        <f>IF(Q56=0,2*ABS(P56*10^6)/$O$12/BP56/(BK56-BP56/3),Q56*BP56*1000/($O$12/2*BP56^2-(BE56-BP56)*AJ56*$AJ$18-(BF56-BP56)*AL56*$AJ$18-(BG56-BP56)*AN56*$AJ$18-(BH56-BP56)*AP56*$AJ$18-(BI56-BP56)*AR56*$AJ$18-(BJ56-BP56)*AT56*$AJ$18))</f>
        <v>10.368409717907747</v>
      </c>
      <c r="BR56" s="3">
        <f>0.5*$O$12*BP56*BQ56 /1000</f>
        <v>2480.942219002663</v>
      </c>
      <c r="BS56" s="3">
        <f>($BQ56/$BP56)*(BE56-$BP56)*$AJ$18*AJ56/1000</f>
        <v>1229.9422190026635</v>
      </c>
      <c r="BT56" s="3">
        <f>($BQ56/$BP56)*(BF56-$BP56)*$AJ$18*AL56/1000</f>
        <v>0</v>
      </c>
      <c r="BU56" s="3">
        <f>($BQ56/$BP56)*(BG56-$BP56)*$AJ$18*AN56/1000</f>
        <v>0</v>
      </c>
      <c r="BV56" s="3">
        <f>($BQ56/$BP56)*(BH56-$BP56)*$AJ$18*AP56/1000</f>
        <v>0</v>
      </c>
      <c r="BW56" s="3">
        <f>($BQ56/$BP56)*(BI56-$BP56)*$AJ$18*AR56/1000</f>
        <v>0</v>
      </c>
      <c r="BX56" s="3">
        <f>($BQ56/$BP56)*(BJ56-$BP56)*$AJ$18*AT56/1000</f>
        <v>0</v>
      </c>
      <c r="BY56" s="175">
        <f>IF(Q56=0,0,(0.5*$O$12*BP56*BQ56/1000*(R56/2-$BP56/3)+BS56*(BE56-R56/2)+BT56*(BF56-R56/2)+BU56*(BG56-R56/2)+BV56*(BH56-R56/2)+BW56*(BI56-R56/2)+BX56*(BJ56-R56/2))/1000-ABS(P56))</f>
        <v>-2.217516339442227E-7</v>
      </c>
      <c r="BZ56" s="10"/>
      <c r="CA56" s="176">
        <f>ABS(P56)/(BK56-BP56/3)/AV56*10^6-Q56*(R56/2-BP56/3)/(BK56-BP56/3)/AV56*1000</f>
        <v>146.81353793965826</v>
      </c>
      <c r="CB56" s="177">
        <f>(AV56/($O$12*MIN(2.5*(R56-BK56),(R56-BP56)/3,R56/2)-AV56))</f>
        <v>5.0639265738689855E-2</v>
      </c>
      <c r="CC56" s="177">
        <f>3.4*($O$16+$AX$14)+0.425*0.8*0.5*(T56^2+W56^2+Z56^2+AC56^2+AF56^2+AI56^2)/(T56+W56+Z56+AC56+AF56+AI56)/CB56</f>
        <v>416.48314768799275</v>
      </c>
      <c r="CD56" s="177">
        <f>MAX(0.6*CA56/$AJ$17,(CA56-0.4*0.3*$AJ$14^(2/3)/CB56*(1+$AJ$17/$AJ$15*CB56))/$AJ$17)</f>
        <v>0.51670722429173455</v>
      </c>
      <c r="CE56" s="178">
        <f>CC56*CD56/1000</f>
        <v>0.21519985120614729</v>
      </c>
      <c r="CF56" s="23" t="str">
        <f>IF(AND(AV56&gt;=BD56,AV56&gt;=BO56,CE56&lt;=(+IF(CO56="External",0.25,0.3))),"O.K", "Not O.K")</f>
        <v>O.K</v>
      </c>
      <c r="CG56" s="28"/>
      <c r="CH56" s="179" t="str">
        <f>IF(O56&lt;0.2*$AJ$14*R56*$O$12/1000,"N &lt; 0.2fckAc - OK!","TBA")</f>
        <v>N &lt; 0.2fckAc - OK!</v>
      </c>
      <c r="CI56" s="24"/>
      <c r="CJ56" s="25"/>
      <c r="CK56" s="6">
        <f t="shared" si="10"/>
        <v>103</v>
      </c>
      <c r="CL56" s="8" t="s">
        <v>72</v>
      </c>
      <c r="CM56" s="6">
        <f t="shared" si="11"/>
        <v>203</v>
      </c>
      <c r="CN56" s="26" t="s">
        <v>148</v>
      </c>
      <c r="CO56" s="27" t="s">
        <v>106</v>
      </c>
      <c r="CP56" s="2">
        <v>-1827</v>
      </c>
      <c r="CQ56" s="15">
        <v>1721</v>
      </c>
      <c r="CR56" s="3">
        <v>-1333</v>
      </c>
      <c r="CS56" s="15">
        <v>1251</v>
      </c>
      <c r="CT56" s="20">
        <v>1000</v>
      </c>
      <c r="CU56" s="2">
        <v>103</v>
      </c>
      <c r="CV56" s="15">
        <v>203</v>
      </c>
      <c r="CW56" s="6"/>
      <c r="CX56" s="278"/>
      <c r="CY56" s="6"/>
      <c r="CZ56" s="6"/>
      <c r="DA56" s="6"/>
      <c r="DB56" s="6"/>
      <c r="DC56" s="6"/>
      <c r="DD56" s="6"/>
      <c r="DE56" s="6"/>
      <c r="DF56" s="6"/>
      <c r="DG56" s="6"/>
      <c r="DH56" s="6"/>
      <c r="DI56" s="6"/>
      <c r="DJ56" s="212"/>
      <c r="DK56" s="13"/>
      <c r="DL56" s="13"/>
      <c r="DM56" s="202"/>
      <c r="DN56" s="206">
        <f>IF(CO56="external",T56,0)</f>
        <v>0</v>
      </c>
      <c r="DO56" s="206">
        <f>IF(CO56="external",W56,0)</f>
        <v>0</v>
      </c>
      <c r="DP56" s="206">
        <f>IF(CO56="external",Z56,0)</f>
        <v>0</v>
      </c>
      <c r="DQ56" s="206">
        <f>IF(CO56="external",AC56,0)</f>
        <v>0</v>
      </c>
      <c r="DR56" s="206">
        <f>IF(CO56="external",AF56,0)</f>
        <v>0</v>
      </c>
      <c r="DS56" s="207">
        <f>IF(CO56="external",AI56,0)</f>
        <v>0</v>
      </c>
      <c r="DT56" s="208"/>
      <c r="DU56" s="207">
        <f>IF(CO56="internal",T56,0)</f>
        <v>40</v>
      </c>
      <c r="DV56" s="207">
        <f>IF(CO56="internal",W56,0)</f>
        <v>0</v>
      </c>
      <c r="DW56" s="207">
        <f>IF(CO56="internal",Z56,0)</f>
        <v>0</v>
      </c>
      <c r="DX56" s="207">
        <f>IF(CO56="internal",AC56,0)</f>
        <v>0</v>
      </c>
      <c r="DY56" s="207">
        <f>IF(CO56="internal",AF56,0)</f>
        <v>0</v>
      </c>
      <c r="DZ56" s="207">
        <f>IF(CO56="internal",AI56,0)</f>
        <v>0</v>
      </c>
    </row>
    <row r="57" spans="1:131" s="7" customFormat="1" x14ac:dyDescent="0.3">
      <c r="B57" s="19">
        <f>+CI57</f>
        <v>0</v>
      </c>
      <c r="C57" s="6">
        <f t="shared" si="36"/>
        <v>0</v>
      </c>
      <c r="D57" s="6">
        <f t="shared" si="36"/>
        <v>103</v>
      </c>
      <c r="E57" s="6" t="str">
        <f t="shared" si="36"/>
        <v>--</v>
      </c>
      <c r="F57" s="6">
        <f>+CM57</f>
        <v>203</v>
      </c>
      <c r="G57" s="174" t="str">
        <f t="shared" si="37"/>
        <v>Max Fx</v>
      </c>
      <c r="H57" s="6" t="str">
        <f t="shared" si="37"/>
        <v>Internal</v>
      </c>
      <c r="I57" s="156"/>
      <c r="J57" s="10">
        <f t="shared" si="38"/>
        <v>-1827</v>
      </c>
      <c r="K57" s="10">
        <f t="shared" si="38"/>
        <v>1721</v>
      </c>
      <c r="L57" s="10">
        <f t="shared" si="38"/>
        <v>-1333</v>
      </c>
      <c r="M57" s="10">
        <f t="shared" si="38"/>
        <v>1251</v>
      </c>
      <c r="N57" s="10">
        <f>IF(I57*J57&gt;=0,J57*$J$19+I57*$J$18,J57)</f>
        <v>-1827</v>
      </c>
      <c r="O57" s="10">
        <f>(K57)*$J$19</f>
        <v>1721</v>
      </c>
      <c r="P57" s="14">
        <f>IF(I57*L57&gt;=0,(L57)+I57,L57)</f>
        <v>-1333</v>
      </c>
      <c r="Q57" s="3">
        <f>(M57)</f>
        <v>1251</v>
      </c>
      <c r="R57" s="20">
        <f t="shared" si="41"/>
        <v>1000</v>
      </c>
      <c r="S57" s="23"/>
      <c r="T57" s="12">
        <v>40</v>
      </c>
      <c r="U57" s="28"/>
      <c r="V57" s="28"/>
      <c r="W57" s="12"/>
      <c r="X57" s="28"/>
      <c r="Y57" s="28"/>
      <c r="Z57" s="12"/>
      <c r="AA57" s="28"/>
      <c r="AB57" s="28"/>
      <c r="AC57" s="158"/>
      <c r="AD57" s="28"/>
      <c r="AE57" s="28"/>
      <c r="AF57" s="158"/>
      <c r="AG57" s="28"/>
      <c r="AH57" s="28"/>
      <c r="AI57" s="29"/>
      <c r="AJ57" s="6">
        <f>PI()/4*T57^2*$O$12/$AX$16</f>
        <v>8377.5804095727817</v>
      </c>
      <c r="AK57" s="28" t="str">
        <f>IF(W57=0,"","+")</f>
        <v/>
      </c>
      <c r="AL57" s="6">
        <f>PI()/4*W57^2*$O$12/$AX$16</f>
        <v>0</v>
      </c>
      <c r="AM57" s="28" t="str">
        <f>IF(Z57=0,"","+")</f>
        <v/>
      </c>
      <c r="AN57" s="6">
        <f>PI()/4*Z57^2*$O$12/$AX$16</f>
        <v>0</v>
      </c>
      <c r="AO57" s="28" t="str">
        <f>IF(AC57=0,"","+")</f>
        <v/>
      </c>
      <c r="AP57" s="6">
        <f>PI()/4*AC57^2*$O$12/$AX$16</f>
        <v>0</v>
      </c>
      <c r="AQ57" s="28" t="str">
        <f>IF(AF57=0,"","+")</f>
        <v/>
      </c>
      <c r="AR57" s="6">
        <f>PI()/4*AF57^2*$O$12/$AX$16</f>
        <v>0</v>
      </c>
      <c r="AS57" s="28" t="str">
        <f>IF(AI57=0,"","+")</f>
        <v/>
      </c>
      <c r="AT57" s="6">
        <f>PI()/4*AI57^2*$O$12/$AX$16</f>
        <v>0</v>
      </c>
      <c r="AU57" s="28" t="s">
        <v>24</v>
      </c>
      <c r="AV57" s="15">
        <f>VALUE(AJ57)+VALUE(AL57)+VALUE(AN57)+VALUE(AP57)+VALUE(AR57)+VALUE(AT57)</f>
        <v>8377.5804095727817</v>
      </c>
      <c r="AW57" s="228">
        <f>MAX(0.3*$AJ$14^(2/3)/$AJ$16*0.26*100,0.13)</f>
        <v>0.15723814702688016</v>
      </c>
      <c r="AX57" s="6">
        <f>AW57/100*$O$12*BK57</f>
        <v>1410.4261788311151</v>
      </c>
      <c r="AY57" s="6"/>
      <c r="AZ57" s="6"/>
      <c r="BA57" s="24" t="str">
        <f>IF(BB57=0,"","+")</f>
        <v/>
      </c>
      <c r="BB57" s="24"/>
      <c r="BC57" s="28" t="s">
        <v>24</v>
      </c>
      <c r="BD57" s="15">
        <f>AX57+AZ57+BB57</f>
        <v>1410.4261788311151</v>
      </c>
      <c r="BE57" s="2">
        <f>(R57-($AX$14+$O$16+T57/2))</f>
        <v>897</v>
      </c>
      <c r="BF57" s="3">
        <f>IF(W57=0,0,(R57-($AX$14+T57/2+$O$16+$BI$16)))</f>
        <v>0</v>
      </c>
      <c r="BG57" s="3">
        <f>IF(Z57=0,0,(R57-($AX$14+T57/2+$BI$16+$O$16+$BI$17)))</f>
        <v>0</v>
      </c>
      <c r="BH57" s="3">
        <f>IF(AC57=0,0,(R57-($AX$14+T57/2+$O$16+$BI$16+$BI$17+$BI$18)))</f>
        <v>0</v>
      </c>
      <c r="BI57" s="3">
        <f>IF(AF57=0,0,(R57-($AX$14+T57/2+$O$16+$BI$16+$BI$17+$BI$18+$BL$16)))</f>
        <v>0</v>
      </c>
      <c r="BJ57" s="3">
        <f>IF(AI57=0,0,(R57-($AX$14+T57/2+$O$16+$BI$16+$BI$17+$BI$18+$BL$16+$BL$17)))</f>
        <v>0</v>
      </c>
      <c r="BK57" s="6">
        <f>(BE57*AJ57+BF57*AL57+BG57*AN57+BH57*AP57+BI57*AR57+BJ57*AT57)/AV57</f>
        <v>897</v>
      </c>
      <c r="BL57" s="175">
        <f>ABS(N57)*1000000/$O$12/BK57^2</f>
        <v>2.2706681133320656</v>
      </c>
      <c r="BM57" s="175">
        <f>BL57/$AJ$14</f>
        <v>7.0958378541627051E-2</v>
      </c>
      <c r="BN57" s="21">
        <f>IF(BM57&lt;0.167,0.5+SQRT(0.25-(BM57/1.134)),0.82)</f>
        <v>0.93292779299691819</v>
      </c>
      <c r="BO57" s="15">
        <f>ABS(N57)/(0.87*$AJ$16*BN57*BK57)*10^6</f>
        <v>5018.9031591077346</v>
      </c>
      <c r="BP57" s="22">
        <v>478.5579055036215</v>
      </c>
      <c r="BQ57" s="175">
        <f>IF(Q57=0,2*ABS(P57*10^6)/$O$12/BP57/(BK57-BP57/3),Q57*BP57*1000/($O$12/2*BP57^2-(BE57-BP57)*AJ57*$AJ$18-(BF57-BP57)*AL57*$AJ$18-(BG57-BP57)*AN57*$AJ$18-(BH57-BP57)*AP57*$AJ$18-(BI57-BP57)*AR57*$AJ$18-(BJ57-BP57)*AT57*$AJ$18))</f>
        <v>10.368409717907747</v>
      </c>
      <c r="BR57" s="3">
        <f>0.5*$O$12*BP57*BQ57 /1000</f>
        <v>2480.942219002663</v>
      </c>
      <c r="BS57" s="3">
        <f>($BQ57/$BP57)*(BE57-$BP57)*$AJ$18*AJ57/1000</f>
        <v>1229.9422190026635</v>
      </c>
      <c r="BT57" s="3">
        <f>($BQ57/$BP57)*(BF57-$BP57)*$AJ$18*AL57/1000</f>
        <v>0</v>
      </c>
      <c r="BU57" s="3">
        <f>($BQ57/$BP57)*(BG57-$BP57)*$AJ$18*AN57/1000</f>
        <v>0</v>
      </c>
      <c r="BV57" s="3">
        <f>($BQ57/$BP57)*(BH57-$BP57)*$AJ$18*AP57/1000</f>
        <v>0</v>
      </c>
      <c r="BW57" s="3">
        <f>($BQ57/$BP57)*(BI57-$BP57)*$AJ$18*AR57/1000</f>
        <v>0</v>
      </c>
      <c r="BX57" s="3">
        <f>($BQ57/$BP57)*(BJ57-$BP57)*$AJ$18*AT57/1000</f>
        <v>0</v>
      </c>
      <c r="BY57" s="175">
        <f>IF(Q57=0,0,(0.5*$O$12*BP57*BQ57/1000*(R57/2-$BP57/3)+BS57*(BE57-R57/2)+BT57*(BF57-R57/2)+BU57*(BG57-R57/2)+BV57*(BH57-R57/2)+BW57*(BI57-R57/2)+BX57*(BJ57-R57/2))/1000-ABS(P57))</f>
        <v>-2.217516339442227E-7</v>
      </c>
      <c r="BZ57" s="10"/>
      <c r="CA57" s="176">
        <f>ABS(P57)/(BK57-BP57/3)/AV57*10^6-Q57*(R57/2-BP57/3)/(BK57-BP57/3)/AV57*1000</f>
        <v>146.81353793965826</v>
      </c>
      <c r="CB57" s="177">
        <f>(AV57/($O$12*MIN(2.5*(R57-BK57),(R57-BP57)/3,R57/2)-AV57))</f>
        <v>5.0639265738689855E-2</v>
      </c>
      <c r="CC57" s="177">
        <f>3.4*($O$16+$AX$14)+0.425*0.8*0.5*(T57^2+W57^2+Z57^2+AC57^2+AF57^2+AI57^2)/(T57+W57+Z57+AC57+AF57+AI57)/CB57</f>
        <v>416.48314768799275</v>
      </c>
      <c r="CD57" s="177">
        <f>MAX(0.6*CA57/$AJ$17,(CA57-0.4*0.3*$AJ$14^(2/3)/CB57*(1+$AJ$17/$AJ$15*CB57))/$AJ$17)</f>
        <v>0.51670722429173455</v>
      </c>
      <c r="CE57" s="178">
        <f>CC57*CD57/1000</f>
        <v>0.21519985120614729</v>
      </c>
      <c r="CF57" s="23" t="str">
        <f>IF(AND(AV57&gt;=BD57,AV57&gt;=BO57,CE57&lt;=(+IF(CO57="External",0.25,0.3))),"O.K", "Not O.K")</f>
        <v>O.K</v>
      </c>
      <c r="CG57" s="28"/>
      <c r="CH57" s="179" t="str">
        <f>IF(O57&lt;0.2*$AJ$14*R57*$O$12/1000,"N &lt; 0.2fckAc - OK!","TBA")</f>
        <v>N &lt; 0.2fckAc - OK!</v>
      </c>
      <c r="CI57" s="24"/>
      <c r="CJ57" s="25"/>
      <c r="CK57" s="6">
        <f t="shared" si="10"/>
        <v>103</v>
      </c>
      <c r="CL57" s="8" t="s">
        <v>72</v>
      </c>
      <c r="CM57" s="6">
        <f t="shared" si="11"/>
        <v>203</v>
      </c>
      <c r="CN57" s="26" t="s">
        <v>145</v>
      </c>
      <c r="CO57" s="27" t="s">
        <v>106</v>
      </c>
      <c r="CP57" s="2">
        <v>-1827</v>
      </c>
      <c r="CQ57" s="15">
        <v>1721</v>
      </c>
      <c r="CR57" s="3">
        <v>-1333</v>
      </c>
      <c r="CS57" s="15">
        <v>1251</v>
      </c>
      <c r="CT57" s="20">
        <v>1000</v>
      </c>
      <c r="CU57" s="2">
        <v>103</v>
      </c>
      <c r="CV57" s="15">
        <v>203</v>
      </c>
      <c r="CW57" s="6"/>
      <c r="CX57" s="278"/>
      <c r="CY57" s="6"/>
      <c r="CZ57" s="6"/>
      <c r="DA57" s="6"/>
      <c r="DB57" s="6"/>
      <c r="DC57" s="6"/>
      <c r="DD57" s="6"/>
      <c r="DE57" s="6"/>
      <c r="DF57" s="6"/>
      <c r="DG57" s="6"/>
      <c r="DH57" s="6"/>
      <c r="DI57" s="6"/>
      <c r="DJ57" s="212"/>
      <c r="DK57" s="13"/>
      <c r="DL57" s="13"/>
      <c r="DM57" s="202"/>
      <c r="DN57" s="206">
        <f>IF(CO57="external",T57,0)</f>
        <v>0</v>
      </c>
      <c r="DO57" s="206">
        <f>IF(CO57="external",W57,0)</f>
        <v>0</v>
      </c>
      <c r="DP57" s="206">
        <f>IF(CO57="external",Z57,0)</f>
        <v>0</v>
      </c>
      <c r="DQ57" s="206">
        <f>IF(CO57="external",AC57,0)</f>
        <v>0</v>
      </c>
      <c r="DR57" s="206">
        <f>IF(CO57="external",AF57,0)</f>
        <v>0</v>
      </c>
      <c r="DS57" s="207">
        <f>IF(CO57="external",AI57,0)</f>
        <v>0</v>
      </c>
      <c r="DT57" s="208"/>
      <c r="DU57" s="207">
        <f>IF(CO57="internal",T57,0)</f>
        <v>40</v>
      </c>
      <c r="DV57" s="207">
        <f>IF(CO57="internal",W57,0)</f>
        <v>0</v>
      </c>
      <c r="DW57" s="207">
        <f>IF(CO57="internal",Z57,0)</f>
        <v>0</v>
      </c>
      <c r="DX57" s="207">
        <f>IF(CO57="internal",AC57,0)</f>
        <v>0</v>
      </c>
      <c r="DY57" s="207">
        <f>IF(CO57="internal",AF57,0)</f>
        <v>0</v>
      </c>
      <c r="DZ57" s="207">
        <f>IF(CO57="internal",AI57,0)</f>
        <v>0</v>
      </c>
    </row>
    <row r="58" spans="1:131" s="7" customFormat="1" x14ac:dyDescent="0.3">
      <c r="B58" s="19">
        <f>+CI58</f>
        <v>0</v>
      </c>
      <c r="C58" s="6">
        <f t="shared" si="36"/>
        <v>0</v>
      </c>
      <c r="D58" s="6">
        <f t="shared" si="36"/>
        <v>105</v>
      </c>
      <c r="E58" s="6" t="str">
        <f t="shared" si="36"/>
        <v>--</v>
      </c>
      <c r="F58" s="6">
        <f>+CM58</f>
        <v>205</v>
      </c>
      <c r="G58" s="174" t="str">
        <f t="shared" si="37"/>
        <v>Min Fx</v>
      </c>
      <c r="H58" s="6" t="str">
        <f t="shared" si="37"/>
        <v>Internal</v>
      </c>
      <c r="I58" s="156"/>
      <c r="J58" s="10">
        <f t="shared" si="38"/>
        <v>-1659</v>
      </c>
      <c r="K58" s="10">
        <f t="shared" si="38"/>
        <v>984</v>
      </c>
      <c r="L58" s="10">
        <f t="shared" si="38"/>
        <v>-1133</v>
      </c>
      <c r="M58" s="10">
        <f t="shared" si="38"/>
        <v>832</v>
      </c>
      <c r="N58" s="10">
        <f>IF(I58*J58&gt;=0,J58*$J$19+I58*$J$18,J58)</f>
        <v>-1659</v>
      </c>
      <c r="O58" s="10">
        <f>(K58)*$J$19</f>
        <v>984</v>
      </c>
      <c r="P58" s="14">
        <f>IF(I58*L58&gt;=0,(L58)+I58,L58)</f>
        <v>-1133</v>
      </c>
      <c r="Q58" s="3">
        <f>(M58)</f>
        <v>832</v>
      </c>
      <c r="R58" s="20">
        <f t="shared" si="41"/>
        <v>1000</v>
      </c>
      <c r="S58" s="23"/>
      <c r="T58" s="12">
        <v>40</v>
      </c>
      <c r="U58" s="28"/>
      <c r="V58" s="28"/>
      <c r="W58" s="12"/>
      <c r="X58" s="28"/>
      <c r="Y58" s="28"/>
      <c r="Z58" s="12"/>
      <c r="AA58" s="28"/>
      <c r="AB58" s="28"/>
      <c r="AC58" s="158"/>
      <c r="AD58" s="28"/>
      <c r="AE58" s="28"/>
      <c r="AF58" s="158"/>
      <c r="AG58" s="28"/>
      <c r="AH58" s="28"/>
      <c r="AI58" s="29"/>
      <c r="AJ58" s="6">
        <f>PI()/4*T58^2*$O$12/$AX$16</f>
        <v>8377.5804095727817</v>
      </c>
      <c r="AK58" s="28" t="str">
        <f>IF(W58=0,"","+")</f>
        <v/>
      </c>
      <c r="AL58" s="6">
        <f>PI()/4*W58^2*$O$12/$AX$16</f>
        <v>0</v>
      </c>
      <c r="AM58" s="28" t="str">
        <f>IF(Z58=0,"","+")</f>
        <v/>
      </c>
      <c r="AN58" s="6">
        <f>PI()/4*Z58^2*$O$12/$AX$16</f>
        <v>0</v>
      </c>
      <c r="AO58" s="28" t="str">
        <f>IF(AC58=0,"","+")</f>
        <v/>
      </c>
      <c r="AP58" s="6">
        <f>PI()/4*AC58^2*$O$12/$AX$16</f>
        <v>0</v>
      </c>
      <c r="AQ58" s="28" t="str">
        <f>IF(AF58=0,"","+")</f>
        <v/>
      </c>
      <c r="AR58" s="6">
        <f>PI()/4*AF58^2*$O$12/$AX$16</f>
        <v>0</v>
      </c>
      <c r="AS58" s="28" t="str">
        <f>IF(AI58=0,"","+")</f>
        <v/>
      </c>
      <c r="AT58" s="6">
        <f>PI()/4*AI58^2*$O$12/$AX$16</f>
        <v>0</v>
      </c>
      <c r="AU58" s="28" t="s">
        <v>24</v>
      </c>
      <c r="AV58" s="15">
        <f>VALUE(AJ58)+VALUE(AL58)+VALUE(AN58)+VALUE(AP58)+VALUE(AR58)+VALUE(AT58)</f>
        <v>8377.5804095727817</v>
      </c>
      <c r="AW58" s="228">
        <f>MAX(0.3*$AJ$14^(2/3)/$AJ$16*0.26*100,0.13)</f>
        <v>0.15723814702688016</v>
      </c>
      <c r="AX58" s="6">
        <f>AW58/100*$O$12*BK58</f>
        <v>1410.4261788311151</v>
      </c>
      <c r="AY58" s="6"/>
      <c r="AZ58" s="6"/>
      <c r="BA58" s="24" t="str">
        <f>IF(BB58=0,"","+")</f>
        <v/>
      </c>
      <c r="BB58" s="24"/>
      <c r="BC58" s="28" t="s">
        <v>24</v>
      </c>
      <c r="BD58" s="15">
        <f>AX58+AZ58+BB58</f>
        <v>1410.4261788311151</v>
      </c>
      <c r="BE58" s="2">
        <f>(R58-($AX$14+$O$16+T58/2))</f>
        <v>897</v>
      </c>
      <c r="BF58" s="3">
        <f>IF(W58=0,0,(R58-($AX$14+T58/2+$O$16+$BI$16)))</f>
        <v>0</v>
      </c>
      <c r="BG58" s="3">
        <f>IF(Z58=0,0,(R58-($AX$14+T58/2+$BI$16+$O$16+$BI$17)))</f>
        <v>0</v>
      </c>
      <c r="BH58" s="3">
        <f>IF(AC58=0,0,(R58-($AX$14+T58/2+$O$16+$BI$16+$BI$17+$BI$18)))</f>
        <v>0</v>
      </c>
      <c r="BI58" s="3">
        <f>IF(AF58=0,0,(R58-($AX$14+T58/2+$O$16+$BI$16+$BI$17+$BI$18+$BL$16)))</f>
        <v>0</v>
      </c>
      <c r="BJ58" s="3">
        <f>IF(AI58=0,0,(R58-($AX$14+T58/2+$O$16+$BI$16+$BI$17+$BI$18+$BL$16+$BL$17)))</f>
        <v>0</v>
      </c>
      <c r="BK58" s="6">
        <f>(BE58*AJ58+BF58*AL58+BG58*AN58+BH58*AP58+BI58*AR58+BJ58*AT58)/AV58</f>
        <v>897</v>
      </c>
      <c r="BL58" s="175">
        <f>ABS(N58)*1000000/$O$12/BK58^2</f>
        <v>2.061871045439462</v>
      </c>
      <c r="BM58" s="175">
        <f>BL58/$AJ$14</f>
        <v>6.4433470169983187E-2</v>
      </c>
      <c r="BN58" s="21">
        <f>IF(BM58&lt;0.167,0.5+SQRT(0.25-(BM58/1.134)),0.82)</f>
        <v>0.93952287927038713</v>
      </c>
      <c r="BO58" s="15">
        <f>ABS(N58)/(0.87*$AJ$16*BN58*BK58)*10^6</f>
        <v>4525.4036783022211</v>
      </c>
      <c r="BP58" s="22">
        <v>455.76211922576829</v>
      </c>
      <c r="BQ58" s="175">
        <f>IF(Q58=0,2*ABS(P58*10^6)/$O$12/BP58/(BK58-BP58/3),Q58*BP58*1000/($O$12/2*BP58^2-(BE58-BP58)*AJ58*$AJ$18-(BF58-BP58)*AL58*$AJ$18-(BG58-BP58)*AN58*$AJ$18-(BH58-BP58)*AP58*$AJ$18-(BI58-BP58)*AR58*$AJ$18-(BJ58-BP58)*AT58*$AJ$18))</f>
        <v>8.6183441880486829</v>
      </c>
      <c r="BR58" s="3">
        <f>0.5*$O$12*BP58*BQ58 /1000</f>
        <v>1963.9574056810754</v>
      </c>
      <c r="BS58" s="3">
        <f>($BQ58/$BP58)*(BE58-$BP58)*$AJ$18*AJ58/1000</f>
        <v>1131.9574056810754</v>
      </c>
      <c r="BT58" s="3">
        <f>($BQ58/$BP58)*(BF58-$BP58)*$AJ$18*AL58/1000</f>
        <v>0</v>
      </c>
      <c r="BU58" s="3">
        <f>($BQ58/$BP58)*(BG58-$BP58)*$AJ$18*AN58/1000</f>
        <v>0</v>
      </c>
      <c r="BV58" s="3">
        <f>($BQ58/$BP58)*(BH58-$BP58)*$AJ$18*AP58/1000</f>
        <v>0</v>
      </c>
      <c r="BW58" s="3">
        <f>($BQ58/$BP58)*(BI58-$BP58)*$AJ$18*AR58/1000</f>
        <v>0</v>
      </c>
      <c r="BX58" s="3">
        <f>($BQ58/$BP58)*(BJ58-$BP58)*$AJ$18*AT58/1000</f>
        <v>0</v>
      </c>
      <c r="BY58" s="175">
        <f>IF(Q58=0,0,(0.5*$O$12*BP58*BQ58/1000*(R58/2-$BP58/3)+BS58*(BE58-R58/2)+BT58*(BF58-R58/2)+BU58*(BG58-R58/2)+BV58*(BH58-R58/2)+BW58*(BI58-R58/2)+BX58*(BJ58-R58/2))/1000-ABS(P58))</f>
        <v>-3.531525180733297E-6</v>
      </c>
      <c r="BZ58" s="10"/>
      <c r="CA58" s="176">
        <f>ABS(P58)/(BK58-BP58/3)/AV58*10^6-Q58*(R58/2-BP58/3)/(BK58-BP58/3)/AV58*1000</f>
        <v>135.11746292848744</v>
      </c>
      <c r="CB58" s="177">
        <f>(AV58/($O$12*MIN(2.5*(R58-BK58),(R58-BP58)/3,R58/2)-AV58))</f>
        <v>4.8415512223058607E-2</v>
      </c>
      <c r="CC58" s="177">
        <f>3.4*($O$16+$AX$14)+0.425*0.8*0.5*(T58^2+W58^2+Z58^2+AC58^2+AF58^2+AI58^2)/(T58+W58+Z58+AC58+AF58+AI58)/CB58</f>
        <v>422.65085320323016</v>
      </c>
      <c r="CD58" s="177">
        <f>MAX(0.6*CA58/$AJ$17,(CA58-0.4*0.3*$AJ$14^(2/3)/CB58*(1+$AJ$17/$AJ$15*CB58))/$AJ$17)</f>
        <v>0.45274156311244484</v>
      </c>
      <c r="CE58" s="178">
        <f>CC58*CD58/1000</f>
        <v>0.19135160793003889</v>
      </c>
      <c r="CF58" s="23" t="str">
        <f>IF(AND(AV58&gt;=BD58,AV58&gt;=BO58,CE58&lt;=(+IF(CO58="External",0.25,0.3))),"O.K", "Not O.K")</f>
        <v>O.K</v>
      </c>
      <c r="CG58" s="28"/>
      <c r="CH58" s="179" t="str">
        <f>IF(O58&lt;0.2*$AJ$14*R58*$O$12/1000,"N &lt; 0.2fckAc - OK!","TBA")</f>
        <v>N &lt; 0.2fckAc - OK!</v>
      </c>
      <c r="CI58" s="24"/>
      <c r="CJ58" s="25"/>
      <c r="CK58" s="6">
        <f t="shared" si="10"/>
        <v>105</v>
      </c>
      <c r="CL58" s="8" t="s">
        <v>72</v>
      </c>
      <c r="CM58" s="6">
        <f t="shared" si="11"/>
        <v>205</v>
      </c>
      <c r="CN58" s="26" t="s">
        <v>146</v>
      </c>
      <c r="CO58" s="27" t="s">
        <v>106</v>
      </c>
      <c r="CP58" s="2">
        <v>-1659</v>
      </c>
      <c r="CQ58" s="15">
        <v>984</v>
      </c>
      <c r="CR58" s="3">
        <v>-1133</v>
      </c>
      <c r="CS58" s="15">
        <v>832</v>
      </c>
      <c r="CT58" s="20">
        <v>1000</v>
      </c>
      <c r="CU58" s="2">
        <v>105</v>
      </c>
      <c r="CV58" s="15">
        <v>205</v>
      </c>
      <c r="CW58" s="6"/>
      <c r="CX58" s="278"/>
      <c r="CY58" s="6"/>
      <c r="CZ58" s="6"/>
      <c r="DA58" s="6"/>
      <c r="DB58" s="6"/>
      <c r="DC58" s="6"/>
      <c r="DD58" s="6"/>
      <c r="DE58" s="6"/>
      <c r="DF58" s="6"/>
      <c r="DG58" s="6"/>
      <c r="DH58" s="6"/>
      <c r="DI58" s="6"/>
      <c r="DJ58" s="212"/>
      <c r="DK58" s="13"/>
      <c r="DL58" s="13"/>
      <c r="DM58" s="202"/>
      <c r="DN58" s="206">
        <f>IF(CO58="external",T58,0)</f>
        <v>0</v>
      </c>
      <c r="DO58" s="206">
        <f>IF(CO58="external",W58,0)</f>
        <v>0</v>
      </c>
      <c r="DP58" s="206">
        <f>IF(CO58="external",Z58,0)</f>
        <v>0</v>
      </c>
      <c r="DQ58" s="206">
        <f>IF(CO58="external",AC58,0)</f>
        <v>0</v>
      </c>
      <c r="DR58" s="206">
        <f>IF(CO58="external",AF58,0)</f>
        <v>0</v>
      </c>
      <c r="DS58" s="207">
        <f>IF(CO58="external",AI58,0)</f>
        <v>0</v>
      </c>
      <c r="DT58" s="208"/>
      <c r="DU58" s="207">
        <f>IF(CO58="internal",T58,0)</f>
        <v>40</v>
      </c>
      <c r="DV58" s="207">
        <f>IF(CO58="internal",W58,0)</f>
        <v>0</v>
      </c>
      <c r="DW58" s="207">
        <f>IF(CO58="internal",Z58,0)</f>
        <v>0</v>
      </c>
      <c r="DX58" s="207">
        <f>IF(CO58="internal",AC58,0)</f>
        <v>0</v>
      </c>
      <c r="DY58" s="207">
        <f>IF(CO58="internal",AF58,0)</f>
        <v>0</v>
      </c>
      <c r="DZ58" s="207">
        <f>IF(CO58="internal",AI58,0)</f>
        <v>0</v>
      </c>
    </row>
    <row r="59" spans="1:131" s="7" customFormat="1" x14ac:dyDescent="0.3">
      <c r="B59" s="298" t="s">
        <v>167</v>
      </c>
      <c r="C59" s="6"/>
      <c r="D59" s="6"/>
      <c r="E59" s="6"/>
      <c r="F59" s="6"/>
      <c r="G59" s="232"/>
      <c r="H59" s="6"/>
      <c r="I59" s="24"/>
      <c r="J59" s="6"/>
      <c r="K59" s="6"/>
      <c r="L59" s="6"/>
      <c r="M59" s="6"/>
      <c r="N59" s="6"/>
      <c r="O59" s="6"/>
      <c r="P59" s="24"/>
      <c r="Q59" s="6"/>
      <c r="R59" s="6"/>
      <c r="S59" s="28"/>
      <c r="T59" s="12"/>
      <c r="U59" s="28"/>
      <c r="V59" s="28"/>
      <c r="W59" s="12"/>
      <c r="X59" s="28"/>
      <c r="Y59" s="28"/>
      <c r="Z59" s="12"/>
      <c r="AA59" s="28"/>
      <c r="AB59" s="28"/>
      <c r="AC59" s="158"/>
      <c r="AD59" s="28"/>
      <c r="AE59" s="28"/>
      <c r="AF59" s="158"/>
      <c r="AG59" s="28"/>
      <c r="AH59" s="28"/>
      <c r="AI59" s="12"/>
      <c r="AJ59" s="6"/>
      <c r="AK59" s="28"/>
      <c r="AL59" s="6"/>
      <c r="AM59" s="28"/>
      <c r="AN59" s="6"/>
      <c r="AO59" s="28"/>
      <c r="AP59" s="6"/>
      <c r="AQ59" s="28"/>
      <c r="AR59" s="6"/>
      <c r="AS59" s="28"/>
      <c r="AT59" s="6"/>
      <c r="AU59" s="28"/>
      <c r="AV59" s="6"/>
      <c r="AW59" s="233"/>
      <c r="AX59" s="6"/>
      <c r="AY59" s="6"/>
      <c r="AZ59" s="6"/>
      <c r="BA59" s="24"/>
      <c r="BB59" s="24"/>
      <c r="BC59" s="28"/>
      <c r="BD59" s="6"/>
      <c r="BE59" s="6"/>
      <c r="BF59" s="6"/>
      <c r="BG59" s="6"/>
      <c r="BH59" s="6"/>
      <c r="BI59" s="6"/>
      <c r="BJ59" s="6"/>
      <c r="BK59" s="6"/>
      <c r="BL59" s="231"/>
      <c r="BM59" s="231"/>
      <c r="BN59" s="231"/>
      <c r="BO59" s="6"/>
      <c r="BP59" s="234"/>
      <c r="BQ59" s="231"/>
      <c r="BR59" s="6"/>
      <c r="BS59" s="6"/>
      <c r="BT59" s="6"/>
      <c r="BU59" s="6"/>
      <c r="BV59" s="6"/>
      <c r="BW59" s="6"/>
      <c r="BX59" s="6"/>
      <c r="BY59" s="231"/>
      <c r="BZ59" s="6"/>
      <c r="CA59" s="234"/>
      <c r="CB59" s="235"/>
      <c r="CC59" s="235"/>
      <c r="CD59" s="235"/>
      <c r="CE59" s="235"/>
      <c r="CF59" s="28"/>
      <c r="CG59" s="28"/>
      <c r="CH59" s="173"/>
      <c r="CI59" s="24"/>
      <c r="CJ59" s="25"/>
      <c r="CK59" s="6">
        <f t="shared" si="10"/>
        <v>0</v>
      </c>
      <c r="CL59" s="8" t="s">
        <v>72</v>
      </c>
      <c r="CM59" s="6">
        <f t="shared" si="11"/>
        <v>0</v>
      </c>
      <c r="CN59" s="236"/>
      <c r="CO59" s="24"/>
      <c r="CP59" s="6"/>
      <c r="CQ59" s="6"/>
      <c r="CR59" s="6"/>
      <c r="CS59" s="6"/>
      <c r="CT59" s="6"/>
      <c r="CU59" s="6"/>
      <c r="CV59" s="6"/>
      <c r="CW59" s="6"/>
      <c r="CX59" s="278"/>
      <c r="CY59" s="6"/>
      <c r="CZ59" s="6"/>
      <c r="DA59" s="6"/>
      <c r="DB59" s="6"/>
      <c r="DC59" s="6"/>
      <c r="DD59" s="6"/>
      <c r="DE59" s="6"/>
      <c r="DF59" s="6"/>
      <c r="DG59" s="6"/>
      <c r="DH59" s="6"/>
      <c r="DI59" s="6"/>
      <c r="DJ59" s="212"/>
      <c r="DK59" s="13"/>
      <c r="DL59" s="13"/>
      <c r="DM59" s="202"/>
      <c r="DN59" s="206"/>
      <c r="DO59" s="206"/>
      <c r="DP59" s="206"/>
      <c r="DQ59" s="206"/>
      <c r="DR59" s="206"/>
      <c r="DS59" s="207"/>
      <c r="DT59" s="208"/>
      <c r="DU59" s="207"/>
      <c r="DV59" s="207"/>
      <c r="DW59" s="207"/>
      <c r="DX59" s="207"/>
      <c r="DY59" s="207"/>
      <c r="DZ59" s="207"/>
    </row>
    <row r="60" spans="1:131" s="7" customFormat="1" ht="13.8" x14ac:dyDescent="0.25">
      <c r="A60" s="7" t="s">
        <v>141</v>
      </c>
      <c r="B60" s="19">
        <f>+CI60</f>
        <v>24</v>
      </c>
      <c r="C60" s="6">
        <f t="shared" ref="C60:E63" si="42">CJ60</f>
        <v>0</v>
      </c>
      <c r="D60" s="6">
        <f t="shared" si="42"/>
        <v>104</v>
      </c>
      <c r="E60" s="6" t="str">
        <f t="shared" si="42"/>
        <v>--</v>
      </c>
      <c r="F60" s="6">
        <f>+CM60</f>
        <v>214</v>
      </c>
      <c r="G60" s="174" t="str">
        <f t="shared" ref="G60:H63" si="43">CN60</f>
        <v>Max Mz</v>
      </c>
      <c r="H60" s="6" t="str">
        <f t="shared" si="43"/>
        <v>Internal</v>
      </c>
      <c r="I60" s="156"/>
      <c r="J60" s="10">
        <f t="shared" ref="J60:M63" si="44">(CP60)</f>
        <v>147</v>
      </c>
      <c r="K60" s="10">
        <f t="shared" si="44"/>
        <v>3</v>
      </c>
      <c r="L60" s="10">
        <f t="shared" si="44"/>
        <v>73</v>
      </c>
      <c r="M60" s="10">
        <f t="shared" si="44"/>
        <v>38</v>
      </c>
      <c r="N60" s="10">
        <f>IF(I60*J60&gt;=0,J60*$J$19+I60*$J$18,J60)</f>
        <v>147</v>
      </c>
      <c r="O60" s="10">
        <f>(K60)*$J$19</f>
        <v>3</v>
      </c>
      <c r="P60" s="14">
        <f>IF(I60*L60&gt;=0,(L60)+I60,L60)</f>
        <v>73</v>
      </c>
      <c r="Q60" s="3">
        <f>(M60)</f>
        <v>38</v>
      </c>
      <c r="R60" s="20">
        <f t="shared" si="41"/>
        <v>1000</v>
      </c>
      <c r="S60" s="23"/>
      <c r="T60" s="12">
        <v>20</v>
      </c>
      <c r="U60" s="28"/>
      <c r="V60" s="28"/>
      <c r="W60" s="12"/>
      <c r="X60" s="28"/>
      <c r="Y60" s="28"/>
      <c r="Z60" s="12"/>
      <c r="AA60" s="28"/>
      <c r="AB60" s="28"/>
      <c r="AC60" s="158"/>
      <c r="AD60" s="28"/>
      <c r="AE60" s="28"/>
      <c r="AF60" s="158"/>
      <c r="AG60" s="28"/>
      <c r="AH60" s="28"/>
      <c r="AI60" s="29"/>
      <c r="AJ60" s="6">
        <f>PI()/4*T60^2*$O$12/$AX$16</f>
        <v>2094.3951023931954</v>
      </c>
      <c r="AK60" s="28" t="str">
        <f>IF(W60=0,"","+")</f>
        <v/>
      </c>
      <c r="AL60" s="6">
        <f>PI()/4*W60^2*$O$12/$AX$16</f>
        <v>0</v>
      </c>
      <c r="AM60" s="28" t="str">
        <f>IF(Z60=0,"","+")</f>
        <v/>
      </c>
      <c r="AN60" s="6">
        <f>PI()/4*Z60^2*$O$12/$AX$16</f>
        <v>0</v>
      </c>
      <c r="AO60" s="28" t="str">
        <f>IF(AC60=0,"","+")</f>
        <v/>
      </c>
      <c r="AP60" s="6">
        <f>PI()/4*AC60^2*$O$12/$AX$16</f>
        <v>0</v>
      </c>
      <c r="AQ60" s="28" t="str">
        <f>IF(AF60=0,"","+")</f>
        <v/>
      </c>
      <c r="AR60" s="6">
        <f>PI()/4*AF60^2*$O$12/$AX$16</f>
        <v>0</v>
      </c>
      <c r="AS60" s="28" t="str">
        <f>IF(AI60=0,"","+")</f>
        <v/>
      </c>
      <c r="AT60" s="6">
        <f>PI()/4*AI60^2*$O$12/$AX$16</f>
        <v>0</v>
      </c>
      <c r="AU60" s="28" t="s">
        <v>24</v>
      </c>
      <c r="AV60" s="15">
        <f>VALUE(AJ60)+VALUE(AL60)+VALUE(AN60)+VALUE(AP60)+VALUE(AR60)+VALUE(AT60)</f>
        <v>2094.3951023931954</v>
      </c>
      <c r="AW60" s="228">
        <f>MAX(0.3*$AJ$14^(2/3)/$AJ$16*0.26*100,0.13)</f>
        <v>0.15723814702688016</v>
      </c>
      <c r="AX60" s="6">
        <f>AW60/100*$O$12*BK60</f>
        <v>1426.1499935338031</v>
      </c>
      <c r="AY60" s="6"/>
      <c r="AZ60" s="6"/>
      <c r="BA60" s="24" t="str">
        <f>IF(BB60=0,"","+")</f>
        <v/>
      </c>
      <c r="BB60" s="24"/>
      <c r="BC60" s="28" t="s">
        <v>24</v>
      </c>
      <c r="BD60" s="15">
        <f>AX60+AZ60+BB60</f>
        <v>1426.1499935338031</v>
      </c>
      <c r="BE60" s="2">
        <f>(R60-($AX$14+$O$16+T60/2))</f>
        <v>907</v>
      </c>
      <c r="BF60" s="3">
        <f>IF(W60=0,0,(R60-($AX$14+T60/2+$O$16+$BI$16)))</f>
        <v>0</v>
      </c>
      <c r="BG60" s="3">
        <f>IF(Z60=0,0,(R60-($AX$14+T60/2+$BI$16+$O$16+$BI$17)))</f>
        <v>0</v>
      </c>
      <c r="BH60" s="3">
        <f>IF(AC60=0,0,(R60-($AX$14+T60/2+$O$16+$BI$16+$BI$17+$BI$18)))</f>
        <v>0</v>
      </c>
      <c r="BI60" s="3">
        <f>IF(AF60=0,0,(R60-($AX$14+T60/2+$O$16+$BI$16+$BI$17+$BI$18+$BL$16)))</f>
        <v>0</v>
      </c>
      <c r="BJ60" s="3">
        <f>IF(AI60=0,0,(R60-($AX$14+T60/2+$O$16+$BI$16+$BI$17+$BI$18+$BL$16+$BL$17)))</f>
        <v>0</v>
      </c>
      <c r="BK60" s="6">
        <f>(BE60*AJ60+BF60*AL60+BG60*AN60+BH60*AP60+BI60*AR60+BJ60*AT60)/AV60</f>
        <v>907</v>
      </c>
      <c r="BL60" s="175">
        <f>ABS(N60)*1000000/$O$12/BK60^2</f>
        <v>0.17869103347843368</v>
      </c>
      <c r="BM60" s="175">
        <f>BL60/$AJ$14</f>
        <v>5.5840947962010525E-3</v>
      </c>
      <c r="BN60" s="21">
        <f>IF(BM60&lt;0.167,0.5+SQRT(0.25-(BM60/1.134)),0.82)</f>
        <v>0.9950512641615723</v>
      </c>
      <c r="BO60" s="15">
        <f>ABS(N60)/(0.87*$AJ$16*BN60*BK60)*10^6</f>
        <v>374.43404960255521</v>
      </c>
      <c r="BP60" s="22">
        <v>260.26101524750226</v>
      </c>
      <c r="BQ60" s="175">
        <f>IF(Q60=0,2*ABS(P60*10^6)/$O$12/BP60/(BK60-BP60/3),Q60*BP60*1000/($O$12/2*BP60^2-(BE60-BP60)*AJ60*$AJ$18-(BF60-BP60)*AL60*$AJ$18-(BG60-BP60)*AN60*$AJ$18-(BH60-BP60)*AP60*$AJ$18-(BI60-BP60)*AR60*$AJ$18-(BJ60-BP60)*AT60*$AJ$18))</f>
        <v>0.82880522406757795</v>
      </c>
      <c r="BR60" s="3">
        <f>0.5*$O$12*BP60*BQ60 /1000</f>
        <v>107.85284452913072</v>
      </c>
      <c r="BS60" s="3">
        <f>($BQ60/$BP60)*(BE60-$BP60)*$AJ$18*AJ60/1000</f>
        <v>69.852844529130692</v>
      </c>
      <c r="BT60" s="3">
        <f>($BQ60/$BP60)*(BF60-$BP60)*$AJ$18*AL60/1000</f>
        <v>0</v>
      </c>
      <c r="BU60" s="3">
        <f>($BQ60/$BP60)*(BG60-$BP60)*$AJ$18*AN60/1000</f>
        <v>0</v>
      </c>
      <c r="BV60" s="3">
        <f>($BQ60/$BP60)*(BH60-$BP60)*$AJ$18*AP60/1000</f>
        <v>0</v>
      </c>
      <c r="BW60" s="3">
        <f>($BQ60/$BP60)*(BI60-$BP60)*$AJ$18*AR60/1000</f>
        <v>0</v>
      </c>
      <c r="BX60" s="3">
        <f>($BQ60/$BP60)*(BJ60-$BP60)*$AJ$18*AT60/1000</f>
        <v>0</v>
      </c>
      <c r="BY60" s="175">
        <f>IF(Q60=0,0,(0.5*$O$12*BP60*BQ60/1000*(R60/2-$BP60/3)+BS60*(BE60-R60/2)+BT60*(BF60-R60/2)+BU60*(BG60-R60/2)+BV60*(BH60-R60/2)+BW60*(BI60-R60/2)+BX60*(BJ60-R60/2))/1000-ABS(P60))</f>
        <v>-1.0028357263536236E-4</v>
      </c>
      <c r="BZ60" s="10"/>
      <c r="CA60" s="176">
        <f>ABS(P60)/(BK60-BP60/3)/AV60*10^6-Q60*(R60/2-BP60/3)/(BK60-BP60/3)/AV60*1000</f>
        <v>33.352334862521793</v>
      </c>
      <c r="CB60" s="177">
        <f>(AV60/($O$12*MIN(2.5*(R60-BK60),(R60-BP60)/3,R60/2)-AV60))</f>
        <v>9.0900353892170004E-3</v>
      </c>
      <c r="CC60" s="177">
        <f>3.4*($O$16+$AX$14)+0.425*0.8*0.5*(T60^2+W60^2+Z60^2+AC60^2+AF60^2+AI60^2)/(T60+W60+Z60+AC60+AF60+AI60)/CB60</f>
        <v>656.23594754242981</v>
      </c>
      <c r="CD60" s="177">
        <f>MAX(0.6*CA60/$AJ$17,(CA60-0.4*0.3*$AJ$14^(2/3)/CB60*(1+$AJ$17/$AJ$15*CB60))/$AJ$17)</f>
        <v>0.10005700458756538</v>
      </c>
      <c r="CE60" s="178">
        <f>CC60*CD60/1000</f>
        <v>6.5661003213778213E-2</v>
      </c>
      <c r="CF60" s="23" t="str">
        <f>IF(AND(AV60&gt;=BD60,AV60&gt;=BO60,CE60&lt;=(+IF(CO60="External",0.25,0.3))),"O.K", "Not O.K")</f>
        <v>O.K</v>
      </c>
      <c r="CG60" s="28"/>
      <c r="CH60" s="179" t="str">
        <f>IF(O60&lt;0.2*$AJ$14*R60*$O$12/1000,"N &lt; 0.2fckAc - OK!","TBA")</f>
        <v>N &lt; 0.2fckAc - OK!</v>
      </c>
      <c r="CI60" s="24">
        <v>24</v>
      </c>
      <c r="CJ60" s="25"/>
      <c r="CK60" s="6">
        <f t="shared" si="10"/>
        <v>104</v>
      </c>
      <c r="CL60" s="8" t="s">
        <v>72</v>
      </c>
      <c r="CM60" s="6">
        <f t="shared" si="11"/>
        <v>214</v>
      </c>
      <c r="CN60" s="26" t="s">
        <v>147</v>
      </c>
      <c r="CO60" s="27" t="s">
        <v>106</v>
      </c>
      <c r="CP60" s="2">
        <v>147</v>
      </c>
      <c r="CQ60" s="15">
        <v>3</v>
      </c>
      <c r="CR60" s="3">
        <v>73</v>
      </c>
      <c r="CS60" s="15">
        <v>38</v>
      </c>
      <c r="CT60" s="20">
        <v>1000</v>
      </c>
      <c r="CU60" s="2">
        <v>104</v>
      </c>
      <c r="CV60" s="15">
        <v>214</v>
      </c>
      <c r="CW60" s="6"/>
      <c r="CX60" s="278">
        <f>CI60</f>
        <v>24</v>
      </c>
      <c r="CY60" s="6">
        <f t="shared" ref="CY60:DD60" si="45">MAX(DN60:DN63)</f>
        <v>40</v>
      </c>
      <c r="CZ60" s="6">
        <f t="shared" si="45"/>
        <v>0</v>
      </c>
      <c r="DA60" s="6">
        <f t="shared" si="45"/>
        <v>0</v>
      </c>
      <c r="DB60" s="6">
        <f t="shared" si="45"/>
        <v>0</v>
      </c>
      <c r="DC60" s="6">
        <f t="shared" si="45"/>
        <v>0</v>
      </c>
      <c r="DD60" s="6">
        <f t="shared" si="45"/>
        <v>0</v>
      </c>
      <c r="DE60" s="6"/>
      <c r="DF60" s="6">
        <f t="shared" ref="DF60:DK60" si="46">MAX(DU60:DU63)</f>
        <v>20</v>
      </c>
      <c r="DG60" s="6">
        <f t="shared" si="46"/>
        <v>0</v>
      </c>
      <c r="DH60" s="6">
        <f t="shared" si="46"/>
        <v>0</v>
      </c>
      <c r="DI60" s="6">
        <f t="shared" si="46"/>
        <v>0</v>
      </c>
      <c r="DJ60" s="6">
        <f t="shared" si="46"/>
        <v>0</v>
      </c>
      <c r="DK60" s="6">
        <f t="shared" si="46"/>
        <v>0</v>
      </c>
      <c r="DL60" s="13"/>
      <c r="DM60" s="202">
        <f>CI60</f>
        <v>24</v>
      </c>
      <c r="DN60" s="206">
        <f>IF(CO60="external",T60,0)</f>
        <v>0</v>
      </c>
      <c r="DO60" s="206">
        <f>IF(CO60="external",W60,0)</f>
        <v>0</v>
      </c>
      <c r="DP60" s="206">
        <f>IF(CO60="external",Z60,0)</f>
        <v>0</v>
      </c>
      <c r="DQ60" s="206">
        <f>IF(CO60="external",AC60,0)</f>
        <v>0</v>
      </c>
      <c r="DR60" s="206">
        <f>IF(CO60="external",AF60,0)</f>
        <v>0</v>
      </c>
      <c r="DS60" s="207">
        <f>IF(CO60="external",AI60,0)</f>
        <v>0</v>
      </c>
      <c r="DT60" s="208"/>
      <c r="DU60" s="207">
        <f>IF(CO60="internal",T60,0)</f>
        <v>20</v>
      </c>
      <c r="DV60" s="207">
        <f>IF(CO60="internal",W60,0)</f>
        <v>0</v>
      </c>
      <c r="DW60" s="207">
        <f>IF(CO60="internal",Z60,0)</f>
        <v>0</v>
      </c>
      <c r="DX60" s="207">
        <f>IF(CO60="internal",AC60,0)</f>
        <v>0</v>
      </c>
      <c r="DY60" s="207">
        <f>IF(CO60="internal",AF60,0)</f>
        <v>0</v>
      </c>
      <c r="DZ60" s="207">
        <f>IF(CO60="internal",AI60,0)</f>
        <v>0</v>
      </c>
    </row>
    <row r="61" spans="1:131" s="7" customFormat="1" x14ac:dyDescent="0.3">
      <c r="B61" s="19">
        <f>+CI61</f>
        <v>0</v>
      </c>
      <c r="C61" s="6">
        <f t="shared" si="42"/>
        <v>0</v>
      </c>
      <c r="D61" s="6">
        <f t="shared" si="42"/>
        <v>105</v>
      </c>
      <c r="E61" s="6" t="str">
        <f t="shared" si="42"/>
        <v>--</v>
      </c>
      <c r="F61" s="6">
        <f>+CM61</f>
        <v>205</v>
      </c>
      <c r="G61" s="174" t="str">
        <f t="shared" si="43"/>
        <v>Min Mz</v>
      </c>
      <c r="H61" s="6" t="str">
        <f t="shared" si="43"/>
        <v>External</v>
      </c>
      <c r="I61" s="156"/>
      <c r="J61" s="10">
        <f t="shared" si="44"/>
        <v>-1302</v>
      </c>
      <c r="K61" s="10">
        <f t="shared" si="44"/>
        <v>4</v>
      </c>
      <c r="L61" s="10">
        <f t="shared" si="44"/>
        <v>-1014</v>
      </c>
      <c r="M61" s="10">
        <f t="shared" si="44"/>
        <v>3</v>
      </c>
      <c r="N61" s="10">
        <f>IF(I61*J61&gt;=0,J61*$J$19+I61*$J$18,J61)</f>
        <v>-1302</v>
      </c>
      <c r="O61" s="10">
        <f>(K61)*$J$19</f>
        <v>4</v>
      </c>
      <c r="P61" s="14">
        <f>IF(I61*L61&gt;=0,(L61)+I61,L61)</f>
        <v>-1014</v>
      </c>
      <c r="Q61" s="3">
        <f>(M61)</f>
        <v>3</v>
      </c>
      <c r="R61" s="20">
        <f t="shared" si="41"/>
        <v>1000</v>
      </c>
      <c r="S61" s="23"/>
      <c r="T61" s="12">
        <v>40</v>
      </c>
      <c r="U61" s="28"/>
      <c r="V61" s="28"/>
      <c r="W61" s="12"/>
      <c r="X61" s="28"/>
      <c r="Y61" s="28"/>
      <c r="Z61" s="12"/>
      <c r="AA61" s="28"/>
      <c r="AB61" s="28"/>
      <c r="AC61" s="158"/>
      <c r="AD61" s="28"/>
      <c r="AE61" s="28"/>
      <c r="AF61" s="158"/>
      <c r="AG61" s="28"/>
      <c r="AH61" s="28"/>
      <c r="AI61" s="29"/>
      <c r="AJ61" s="6">
        <f>PI()/4*T61^2*$O$12/$AX$16</f>
        <v>8377.5804095727817</v>
      </c>
      <c r="AK61" s="28" t="str">
        <f>IF(W61=0,"","+")</f>
        <v/>
      </c>
      <c r="AL61" s="6">
        <f>PI()/4*W61^2*$O$12/$AX$16</f>
        <v>0</v>
      </c>
      <c r="AM61" s="28" t="str">
        <f>IF(Z61=0,"","+")</f>
        <v/>
      </c>
      <c r="AN61" s="6">
        <f>PI()/4*Z61^2*$O$12/$AX$16</f>
        <v>0</v>
      </c>
      <c r="AO61" s="28" t="str">
        <f>IF(AC61=0,"","+")</f>
        <v/>
      </c>
      <c r="AP61" s="6">
        <f>PI()/4*AC61^2*$O$12/$AX$16</f>
        <v>0</v>
      </c>
      <c r="AQ61" s="28" t="str">
        <f>IF(AF61=0,"","+")</f>
        <v/>
      </c>
      <c r="AR61" s="6">
        <f>PI()/4*AF61^2*$O$12/$AX$16</f>
        <v>0</v>
      </c>
      <c r="AS61" s="28" t="str">
        <f>IF(AI61=0,"","+")</f>
        <v/>
      </c>
      <c r="AT61" s="6">
        <f>PI()/4*AI61^2*$O$12/$AX$16</f>
        <v>0</v>
      </c>
      <c r="AU61" s="28" t="s">
        <v>24</v>
      </c>
      <c r="AV61" s="15">
        <f>VALUE(AJ61)+VALUE(AL61)+VALUE(AN61)+VALUE(AP61)+VALUE(AR61)+VALUE(AT61)</f>
        <v>8377.5804095727817</v>
      </c>
      <c r="AW61" s="228">
        <f>MAX(0.3*$AJ$14^(2/3)/$AJ$16*0.26*100,0.13)</f>
        <v>0.15723814702688016</v>
      </c>
      <c r="AX61" s="6">
        <f>AW61/100*$O$12*BK61</f>
        <v>1410.4261788311151</v>
      </c>
      <c r="AY61" s="6"/>
      <c r="AZ61" s="6"/>
      <c r="BA61" s="24" t="str">
        <f>IF(BB61=0,"","+")</f>
        <v/>
      </c>
      <c r="BB61" s="24"/>
      <c r="BC61" s="28" t="s">
        <v>24</v>
      </c>
      <c r="BD61" s="15">
        <f>AX61+AZ61+BB61</f>
        <v>1410.4261788311151</v>
      </c>
      <c r="BE61" s="2">
        <f>(R61-($AX$14+$O$16+T61/2))</f>
        <v>897</v>
      </c>
      <c r="BF61" s="3">
        <f>IF(W61=0,0,(R61-($AX$14+T61/2+$O$16+$BI$16)))</f>
        <v>0</v>
      </c>
      <c r="BG61" s="3">
        <f>IF(Z61=0,0,(R61-($AX$14+T61/2+$BI$16+$O$16+$BI$17)))</f>
        <v>0</v>
      </c>
      <c r="BH61" s="3">
        <f>IF(AC61=0,0,(R61-($AX$14+T61/2+$O$16+$BI$16+$BI$17+$BI$18)))</f>
        <v>0</v>
      </c>
      <c r="BI61" s="3">
        <f>IF(AF61=0,0,(R61-($AX$14+T61/2+$O$16+$BI$16+$BI$17+$BI$18+$BL$16)))</f>
        <v>0</v>
      </c>
      <c r="BJ61" s="3">
        <f>IF(AI61=0,0,(R61-($AX$14+T61/2+$O$16+$BI$16+$BI$17+$BI$18+$BL$16+$BL$17)))</f>
        <v>0</v>
      </c>
      <c r="BK61" s="6">
        <f>(BE61*AJ61+BF61*AL61+BG61*AN61+BH61*AP61+BI61*AR61+BJ61*AT61)/AV61</f>
        <v>897</v>
      </c>
      <c r="BL61" s="175">
        <f>ABS(N61)*1000000/$O$12/BK61^2</f>
        <v>1.6181772761676789</v>
      </c>
      <c r="BM61" s="175">
        <f>BL61/$AJ$14</f>
        <v>5.0568039880239966E-2</v>
      </c>
      <c r="BN61" s="21">
        <f>IF(BM61&lt;0.167,0.5+SQRT(0.25-(BM61/1.134)),0.82)</f>
        <v>0.95321890101765094</v>
      </c>
      <c r="BO61" s="15">
        <f>ABS(N61)/(0.87*$AJ$16*BN61*BK61)*10^6</f>
        <v>3500.5528513211943</v>
      </c>
      <c r="BP61" s="22">
        <v>376.30387338828587</v>
      </c>
      <c r="BQ61" s="175">
        <f>IF(Q61=0,2*ABS(P61*10^6)/$O$12/BP61/(BK61-BP61/3),Q61*BP61*1000/($O$12/2*BP61^2-(BE61-BP61)*AJ61*$AJ$18-(BF61-BP61)*AL61*$AJ$18-(BG61-BP61)*AN61*$AJ$18-(BH61-BP61)*AP61*$AJ$18-(BI61-BP61)*AR61*$AJ$18-(BJ61-BP61)*AT61*$AJ$18))</f>
        <v>6.9930447578409138</v>
      </c>
      <c r="BR61" s="3">
        <f>0.5*$O$12*BP61*BQ61 /1000</f>
        <v>1315.7549145765918</v>
      </c>
      <c r="BS61" s="3">
        <f>($BQ61/$BP61)*(BE61-$BP61)*$AJ$18*AJ61/1000</f>
        <v>1312.7549145765922</v>
      </c>
      <c r="BT61" s="3">
        <f>($BQ61/$BP61)*(BF61-$BP61)*$AJ$18*AL61/1000</f>
        <v>0</v>
      </c>
      <c r="BU61" s="3">
        <f>($BQ61/$BP61)*(BG61-$BP61)*$AJ$18*AN61/1000</f>
        <v>0</v>
      </c>
      <c r="BV61" s="3">
        <f>($BQ61/$BP61)*(BH61-$BP61)*$AJ$18*AP61/1000</f>
        <v>0</v>
      </c>
      <c r="BW61" s="3">
        <f>($BQ61/$BP61)*(BI61-$BP61)*$AJ$18*AR61/1000</f>
        <v>0</v>
      </c>
      <c r="BX61" s="3">
        <f>($BQ61/$BP61)*(BJ61-$BP61)*$AJ$18*AT61/1000</f>
        <v>0</v>
      </c>
      <c r="BY61" s="175">
        <f>IF(Q61=0,0,(0.5*$O$12*BP61*BQ61/1000*(R61/2-$BP61/3)+BS61*(BE61-R61/2)+BT61*(BF61-R61/2)+BU61*(BG61-R61/2)+BV61*(BH61-R61/2)+BW61*(BI61-R61/2)+BX61*(BJ61-R61/2))/1000-ABS(P61))</f>
        <v>-6.5219745238209725E-5</v>
      </c>
      <c r="BZ61" s="10"/>
      <c r="CA61" s="176">
        <f>ABS(P61)/(BK61-BP61/3)/AV61*10^6-Q61*(R61/2-BP61/3)/(BK61-BP61/3)/AV61*1000</f>
        <v>156.69858538220348</v>
      </c>
      <c r="CB61" s="177">
        <f>(AV61/($O$12*MIN(2.5*(R61-BK61),(R61-BP61)/3,R61/2)-AV61))</f>
        <v>4.1988437386020448E-2</v>
      </c>
      <c r="CC61" s="177">
        <f>3.4*($O$16+$AX$14)+0.425*0.8*0.5*(T61^2+W61^2+Z61^2+AC61^2+AF61^2+AI61^2)/(T61+W61+Z61+AC61+AF61+AI61)/CB61</f>
        <v>444.14934661378891</v>
      </c>
      <c r="CD61" s="177">
        <f>MAX(0.6*CA61/$AJ$17,(CA61-0.4*0.3*$AJ$14^(2/3)/CB61*(1+$AJ$17/$AJ$15*CB61))/$AJ$17)</f>
        <v>0.54152736051820904</v>
      </c>
      <c r="CE61" s="178">
        <f>CC61*CD61/1000</f>
        <v>0.24051902334765224</v>
      </c>
      <c r="CF61" s="23" t="str">
        <f>IF(AND(AV61&gt;=BD61,AV61&gt;=BO61,CE61&lt;=(+IF(CO61="External",0.25,0.3))),"O.K", "Not O.K")</f>
        <v>O.K</v>
      </c>
      <c r="CG61" s="28"/>
      <c r="CH61" s="179" t="str">
        <f>IF(O61&lt;0.2*$AJ$14*R61*$O$12/1000,"N &lt; 0.2fckAc - OK!","TBA")</f>
        <v>N &lt; 0.2fckAc - OK!</v>
      </c>
      <c r="CI61" s="24"/>
      <c r="CJ61" s="25"/>
      <c r="CK61" s="6">
        <f t="shared" si="10"/>
        <v>105</v>
      </c>
      <c r="CL61" s="8" t="s">
        <v>72</v>
      </c>
      <c r="CM61" s="6">
        <f t="shared" si="11"/>
        <v>205</v>
      </c>
      <c r="CN61" s="26" t="s">
        <v>148</v>
      </c>
      <c r="CO61" s="27" t="s">
        <v>105</v>
      </c>
      <c r="CP61" s="2">
        <v>-1302</v>
      </c>
      <c r="CQ61" s="15">
        <v>4</v>
      </c>
      <c r="CR61" s="3">
        <v>-1014</v>
      </c>
      <c r="CS61" s="15">
        <v>3</v>
      </c>
      <c r="CT61" s="20">
        <v>1000</v>
      </c>
      <c r="CU61" s="2">
        <v>105</v>
      </c>
      <c r="CV61" s="15">
        <v>205</v>
      </c>
      <c r="CW61" s="6"/>
      <c r="CX61" s="278"/>
      <c r="CY61" s="6"/>
      <c r="CZ61" s="6"/>
      <c r="DA61" s="6"/>
      <c r="DB61" s="6"/>
      <c r="DC61" s="6"/>
      <c r="DD61" s="6"/>
      <c r="DE61" s="6"/>
      <c r="DF61" s="6"/>
      <c r="DG61" s="6"/>
      <c r="DH61" s="6"/>
      <c r="DI61" s="6"/>
      <c r="DJ61" s="212"/>
      <c r="DK61" s="13"/>
      <c r="DL61" s="13"/>
      <c r="DM61" s="202"/>
      <c r="DN61" s="206">
        <f>IF(CO61="external",T61,0)</f>
        <v>40</v>
      </c>
      <c r="DO61" s="206">
        <f>IF(CO61="external",W61,0)</f>
        <v>0</v>
      </c>
      <c r="DP61" s="206">
        <f>IF(CO61="external",Z61,0)</f>
        <v>0</v>
      </c>
      <c r="DQ61" s="206">
        <f>IF(CO61="external",AC61,0)</f>
        <v>0</v>
      </c>
      <c r="DR61" s="206">
        <f>IF(CO61="external",AF61,0)</f>
        <v>0</v>
      </c>
      <c r="DS61" s="207">
        <f>IF(CO61="external",AI61,0)</f>
        <v>0</v>
      </c>
      <c r="DT61" s="208"/>
      <c r="DU61" s="207">
        <f>IF(CO61="internal",T61,0)</f>
        <v>0</v>
      </c>
      <c r="DV61" s="207">
        <f>IF(CO61="internal",W61,0)</f>
        <v>0</v>
      </c>
      <c r="DW61" s="207">
        <f>IF(CO61="internal",Z61,0)</f>
        <v>0</v>
      </c>
      <c r="DX61" s="207">
        <f>IF(CO61="internal",AC61,0)</f>
        <v>0</v>
      </c>
      <c r="DY61" s="207">
        <f>IF(CO61="internal",AF61,0)</f>
        <v>0</v>
      </c>
      <c r="DZ61" s="207">
        <f>IF(CO61="internal",AI61,0)</f>
        <v>0</v>
      </c>
    </row>
    <row r="62" spans="1:131" s="7" customFormat="1" x14ac:dyDescent="0.3">
      <c r="B62" s="19">
        <f>+CI62</f>
        <v>0</v>
      </c>
      <c r="C62" s="6">
        <f t="shared" si="42"/>
        <v>0</v>
      </c>
      <c r="D62" s="6">
        <f t="shared" si="42"/>
        <v>113</v>
      </c>
      <c r="E62" s="6" t="str">
        <f t="shared" si="42"/>
        <v>--</v>
      </c>
      <c r="F62" s="6">
        <f>+CM62</f>
        <v>213</v>
      </c>
      <c r="G62" s="174" t="str">
        <f t="shared" si="43"/>
        <v>Max Fx</v>
      </c>
      <c r="H62" s="6" t="str">
        <f t="shared" si="43"/>
        <v>External</v>
      </c>
      <c r="I62" s="156"/>
      <c r="J62" s="10">
        <f t="shared" si="44"/>
        <v>-241</v>
      </c>
      <c r="K62" s="10">
        <f t="shared" si="44"/>
        <v>45</v>
      </c>
      <c r="L62" s="10">
        <f t="shared" si="44"/>
        <v>-235</v>
      </c>
      <c r="M62" s="10">
        <f t="shared" si="44"/>
        <v>38</v>
      </c>
      <c r="N62" s="10">
        <f>IF(I62*J62&gt;=0,J62*$J$19+I62*$J$18,J62)</f>
        <v>-241</v>
      </c>
      <c r="O62" s="10">
        <f>(K62)*$J$19</f>
        <v>45</v>
      </c>
      <c r="P62" s="14">
        <f>IF(I62*L62&gt;=0,(L62)+I62,L62)</f>
        <v>-235</v>
      </c>
      <c r="Q62" s="3">
        <f>(M62)</f>
        <v>38</v>
      </c>
      <c r="R62" s="20">
        <f t="shared" si="41"/>
        <v>1000</v>
      </c>
      <c r="S62" s="23"/>
      <c r="T62" s="12">
        <v>20</v>
      </c>
      <c r="U62" s="28"/>
      <c r="V62" s="28"/>
      <c r="W62" s="12"/>
      <c r="X62" s="28"/>
      <c r="Y62" s="28"/>
      <c r="Z62" s="12"/>
      <c r="AA62" s="28"/>
      <c r="AB62" s="28"/>
      <c r="AC62" s="158"/>
      <c r="AD62" s="28"/>
      <c r="AE62" s="28"/>
      <c r="AF62" s="158"/>
      <c r="AG62" s="28"/>
      <c r="AH62" s="28"/>
      <c r="AI62" s="29"/>
      <c r="AJ62" s="6">
        <f>PI()/4*T62^2*$O$12/$AX$16</f>
        <v>2094.3951023931954</v>
      </c>
      <c r="AK62" s="28" t="str">
        <f>IF(W62=0,"","+")</f>
        <v/>
      </c>
      <c r="AL62" s="6">
        <f>PI()/4*W62^2*$O$12/$AX$16</f>
        <v>0</v>
      </c>
      <c r="AM62" s="28" t="str">
        <f>IF(Z62=0,"","+")</f>
        <v/>
      </c>
      <c r="AN62" s="6">
        <f>PI()/4*Z62^2*$O$12/$AX$16</f>
        <v>0</v>
      </c>
      <c r="AO62" s="28" t="str">
        <f>IF(AC62=0,"","+")</f>
        <v/>
      </c>
      <c r="AP62" s="6">
        <f>PI()/4*AC62^2*$O$12/$AX$16</f>
        <v>0</v>
      </c>
      <c r="AQ62" s="28" t="str">
        <f>IF(AF62=0,"","+")</f>
        <v/>
      </c>
      <c r="AR62" s="6">
        <f>PI()/4*AF62^2*$O$12/$AX$16</f>
        <v>0</v>
      </c>
      <c r="AS62" s="28" t="str">
        <f>IF(AI62=0,"","+")</f>
        <v/>
      </c>
      <c r="AT62" s="6">
        <f>PI()/4*AI62^2*$O$12/$AX$16</f>
        <v>0</v>
      </c>
      <c r="AU62" s="28" t="s">
        <v>24</v>
      </c>
      <c r="AV62" s="15">
        <f>VALUE(AJ62)+VALUE(AL62)+VALUE(AN62)+VALUE(AP62)+VALUE(AR62)+VALUE(AT62)</f>
        <v>2094.3951023931954</v>
      </c>
      <c r="AW62" s="228">
        <f>MAX(0.3*$AJ$14^(2/3)/$AJ$16*0.26*100,0.13)</f>
        <v>0.15723814702688016</v>
      </c>
      <c r="AX62" s="6">
        <f>AW62/100*$O$12*BK62</f>
        <v>1426.1499935338031</v>
      </c>
      <c r="AY62" s="6"/>
      <c r="AZ62" s="6"/>
      <c r="BA62" s="24" t="str">
        <f>IF(BB62=0,"","+")</f>
        <v/>
      </c>
      <c r="BB62" s="24"/>
      <c r="BC62" s="28" t="s">
        <v>24</v>
      </c>
      <c r="BD62" s="15">
        <f>AX62+AZ62+BB62</f>
        <v>1426.1499935338031</v>
      </c>
      <c r="BE62" s="2">
        <f>(R62-($AX$14+$O$16+T62/2))</f>
        <v>907</v>
      </c>
      <c r="BF62" s="3">
        <f>IF(W62=0,0,(R62-($AX$14+T62/2+$O$16+$BI$16)))</f>
        <v>0</v>
      </c>
      <c r="BG62" s="3">
        <f>IF(Z62=0,0,(R62-($AX$14+T62/2+$BI$16+$O$16+$BI$17)))</f>
        <v>0</v>
      </c>
      <c r="BH62" s="3">
        <f>IF(AC62=0,0,(R62-($AX$14+T62/2+$O$16+$BI$16+$BI$17+$BI$18)))</f>
        <v>0</v>
      </c>
      <c r="BI62" s="3">
        <f>IF(AF62=0,0,(R62-($AX$14+T62/2+$O$16+$BI$16+$BI$17+$BI$18+$BL$16)))</f>
        <v>0</v>
      </c>
      <c r="BJ62" s="3">
        <f>IF(AI62=0,0,(R62-($AX$14+T62/2+$O$16+$BI$16+$BI$17+$BI$18+$BL$16+$BL$17)))</f>
        <v>0</v>
      </c>
      <c r="BK62" s="6">
        <f>(BE62*AJ62+BF62*AL62+BG62*AN62+BH62*AP62+BI62*AR62+BJ62*AT62)/AV62</f>
        <v>907</v>
      </c>
      <c r="BL62" s="175">
        <f>ABS(N62)*1000000/$O$12/BK62^2</f>
        <v>0.29295604808369063</v>
      </c>
      <c r="BM62" s="175">
        <f>BL62/$AJ$14</f>
        <v>9.1548765026153323E-3</v>
      </c>
      <c r="BN62" s="21">
        <f>IF(BM62&lt;0.167,0.5+SQRT(0.25-(BM62/1.134)),0.82)</f>
        <v>0.99186066793794403</v>
      </c>
      <c r="BO62" s="15">
        <f>ABS(N62)/(0.87*$AJ$16*BN62*BK62)*10^6</f>
        <v>615.84274541189802</v>
      </c>
      <c r="BP62" s="22">
        <v>229.33708506744895</v>
      </c>
      <c r="BQ62" s="175">
        <f>IF(Q62=0,2*ABS(P62*10^6)/$O$12/BP62/(BK62-BP62/3),Q62*BP62*1000/($O$12/2*BP62^2-(BE62-BP62)*AJ62*$AJ$18-(BF62-BP62)*AL62*$AJ$18-(BG62-BP62)*AN62*$AJ$18-(BH62-BP62)*AP62*$AJ$18-(BI62-BP62)*AR62*$AJ$18-(BJ62-BP62)*AT62*$AJ$18))</f>
        <v>2.6298856296778741</v>
      </c>
      <c r="BR62" s="3">
        <f>0.5*$O$12*BP62*BQ62 /1000</f>
        <v>301.56515218554807</v>
      </c>
      <c r="BS62" s="3">
        <f>($BQ62/$BP62)*(BE62-$BP62)*$AJ$18*AJ62/1000</f>
        <v>263.56515218554802</v>
      </c>
      <c r="BT62" s="3">
        <f>($BQ62/$BP62)*(BF62-$BP62)*$AJ$18*AL62/1000</f>
        <v>0</v>
      </c>
      <c r="BU62" s="3">
        <f>($BQ62/$BP62)*(BG62-$BP62)*$AJ$18*AN62/1000</f>
        <v>0</v>
      </c>
      <c r="BV62" s="3">
        <f>($BQ62/$BP62)*(BH62-$BP62)*$AJ$18*AP62/1000</f>
        <v>0</v>
      </c>
      <c r="BW62" s="3">
        <f>($BQ62/$BP62)*(BI62-$BP62)*$AJ$18*AR62/1000</f>
        <v>0</v>
      </c>
      <c r="BX62" s="3">
        <f>($BQ62/$BP62)*(BJ62-$BP62)*$AJ$18*AT62/1000</f>
        <v>0</v>
      </c>
      <c r="BY62" s="175">
        <f>IF(Q62=0,0,(0.5*$O$12*BP62*BQ62/1000*(R62/2-$BP62/3)+BS62*(BE62-R62/2)+BT62*(BF62-R62/2)+BU62*(BG62-R62/2)+BV62*(BH62-R62/2)+BW62*(BI62-R62/2)+BX62*(BJ62-R62/2))/1000-ABS(P62))</f>
        <v>2.3537890700708886E-4</v>
      </c>
      <c r="BZ62" s="10"/>
      <c r="CA62" s="176">
        <f>ABS(P62)/(BK62-BP62/3)/AV62*10^6-Q62*(R62/2-BP62/3)/(BK62-BP62/3)/AV62*1000</f>
        <v>125.84295507786548</v>
      </c>
      <c r="CB62" s="177">
        <f>(AV62/($O$12*MIN(2.5*(R62-BK62),(R62-BP62)/3,R62/2)-AV62))</f>
        <v>9.0900353892170004E-3</v>
      </c>
      <c r="CC62" s="177">
        <f>3.4*($O$16+$AX$14)+0.425*0.8*0.5*(T62^2+W62^2+Z62^2+AC62^2+AF62^2+AI62^2)/(T62+W62+Z62+AC62+AF62+AI62)/CB62</f>
        <v>656.23594754242981</v>
      </c>
      <c r="CD62" s="177">
        <f>MAX(0.6*CA62/$AJ$17,(CA62-0.4*0.3*$AJ$14^(2/3)/CB62*(1+$AJ$17/$AJ$15*CB62))/$AJ$17)</f>
        <v>0.37752886523359641</v>
      </c>
      <c r="CE62" s="178">
        <f>CC62*CD62/1000</f>
        <v>0.24774801260118745</v>
      </c>
      <c r="CF62" s="23" t="str">
        <f>IF(AND(AV62&gt;=BD62,AV62&gt;=BO62,CE62&lt;=(+IF(CO62="External",0.25,0.3))),"O.K", "Not O.K")</f>
        <v>O.K</v>
      </c>
      <c r="CG62" s="28"/>
      <c r="CH62" s="179" t="str">
        <f>IF(O62&lt;0.2*$AJ$14*R62*$O$12/1000,"N &lt; 0.2fckAc - OK!","TBA")</f>
        <v>N &lt; 0.2fckAc - OK!</v>
      </c>
      <c r="CI62" s="24"/>
      <c r="CJ62" s="25"/>
      <c r="CK62" s="6">
        <f t="shared" si="10"/>
        <v>113</v>
      </c>
      <c r="CL62" s="8" t="s">
        <v>72</v>
      </c>
      <c r="CM62" s="6">
        <f t="shared" si="11"/>
        <v>213</v>
      </c>
      <c r="CN62" s="26" t="s">
        <v>145</v>
      </c>
      <c r="CO62" s="27" t="s">
        <v>105</v>
      </c>
      <c r="CP62" s="2">
        <v>-241</v>
      </c>
      <c r="CQ62" s="15">
        <v>45</v>
      </c>
      <c r="CR62" s="3">
        <v>-235</v>
      </c>
      <c r="CS62" s="15">
        <v>38</v>
      </c>
      <c r="CT62" s="20">
        <v>1000</v>
      </c>
      <c r="CU62" s="2">
        <v>113</v>
      </c>
      <c r="CV62" s="15">
        <v>213</v>
      </c>
      <c r="CW62" s="6"/>
      <c r="CX62" s="278"/>
      <c r="CY62" s="6"/>
      <c r="CZ62" s="6"/>
      <c r="DA62" s="6"/>
      <c r="DB62" s="6"/>
      <c r="DC62" s="6"/>
      <c r="DD62" s="6"/>
      <c r="DE62" s="6"/>
      <c r="DF62" s="6"/>
      <c r="DG62" s="6"/>
      <c r="DH62" s="6"/>
      <c r="DI62" s="6"/>
      <c r="DJ62" s="212"/>
      <c r="DK62" s="13"/>
      <c r="DL62" s="13"/>
      <c r="DM62" s="202"/>
      <c r="DN62" s="206">
        <f>IF(CO62="external",T62,0)</f>
        <v>20</v>
      </c>
      <c r="DO62" s="206">
        <f>IF(CO62="external",W62,0)</f>
        <v>0</v>
      </c>
      <c r="DP62" s="206">
        <f>IF(CO62="external",Z62,0)</f>
        <v>0</v>
      </c>
      <c r="DQ62" s="206">
        <f>IF(CO62="external",AC62,0)</f>
        <v>0</v>
      </c>
      <c r="DR62" s="206">
        <f>IF(CO62="external",AF62,0)</f>
        <v>0</v>
      </c>
      <c r="DS62" s="207">
        <f>IF(CO62="external",AI62,0)</f>
        <v>0</v>
      </c>
      <c r="DT62" s="208"/>
      <c r="DU62" s="207">
        <f>IF(CO62="internal",T62,0)</f>
        <v>0</v>
      </c>
      <c r="DV62" s="207">
        <f>IF(CO62="internal",W62,0)</f>
        <v>0</v>
      </c>
      <c r="DW62" s="207">
        <f>IF(CO62="internal",Z62,0)</f>
        <v>0</v>
      </c>
      <c r="DX62" s="207">
        <f>IF(CO62="internal",AC62,0)</f>
        <v>0</v>
      </c>
      <c r="DY62" s="207">
        <f>IF(CO62="internal",AF62,0)</f>
        <v>0</v>
      </c>
      <c r="DZ62" s="207">
        <f>IF(CO62="internal",AI62,0)</f>
        <v>0</v>
      </c>
    </row>
    <row r="63" spans="1:131" s="7" customFormat="1" x14ac:dyDescent="0.3">
      <c r="B63" s="19">
        <f>+CI63</f>
        <v>0</v>
      </c>
      <c r="C63" s="6">
        <f t="shared" si="42"/>
        <v>0</v>
      </c>
      <c r="D63" s="6">
        <f t="shared" si="42"/>
        <v>112</v>
      </c>
      <c r="E63" s="6" t="str">
        <f t="shared" si="42"/>
        <v>--</v>
      </c>
      <c r="F63" s="6">
        <f>+CM63</f>
        <v>211</v>
      </c>
      <c r="G63" s="174" t="str">
        <f t="shared" si="43"/>
        <v>Min Fx</v>
      </c>
      <c r="H63" s="6" t="str">
        <f t="shared" si="43"/>
        <v>External</v>
      </c>
      <c r="I63" s="156"/>
      <c r="J63" s="10">
        <f t="shared" si="44"/>
        <v>-934</v>
      </c>
      <c r="K63" s="10">
        <f t="shared" si="44"/>
        <v>1</v>
      </c>
      <c r="L63" s="10">
        <f t="shared" si="44"/>
        <v>-900</v>
      </c>
      <c r="M63" s="10">
        <f t="shared" si="44"/>
        <v>1</v>
      </c>
      <c r="N63" s="10">
        <f>IF(I63*J63&gt;=0,J63*$J$19+I63*$J$18,J63)</f>
        <v>-934</v>
      </c>
      <c r="O63" s="10">
        <f>(K63)*$J$19</f>
        <v>1</v>
      </c>
      <c r="P63" s="14">
        <f>IF(I63*L63&gt;=0,(L63)+I63,L63)</f>
        <v>-900</v>
      </c>
      <c r="Q63" s="3">
        <f>(M63)</f>
        <v>1</v>
      </c>
      <c r="R63" s="20">
        <f t="shared" si="41"/>
        <v>1000</v>
      </c>
      <c r="S63" s="23"/>
      <c r="T63" s="12">
        <v>40</v>
      </c>
      <c r="U63" s="28"/>
      <c r="V63" s="28"/>
      <c r="W63" s="12"/>
      <c r="X63" s="28"/>
      <c r="Y63" s="28"/>
      <c r="Z63" s="12"/>
      <c r="AA63" s="28"/>
      <c r="AB63" s="28"/>
      <c r="AC63" s="158"/>
      <c r="AD63" s="28"/>
      <c r="AE63" s="28"/>
      <c r="AF63" s="158"/>
      <c r="AG63" s="28"/>
      <c r="AH63" s="28"/>
      <c r="AI63" s="29"/>
      <c r="AJ63" s="6">
        <f>PI()/4*T63^2*$O$12/$AX$16</f>
        <v>8377.5804095727817</v>
      </c>
      <c r="AK63" s="28" t="str">
        <f>IF(W63=0,"","+")</f>
        <v/>
      </c>
      <c r="AL63" s="6">
        <f>PI()/4*W63^2*$O$12/$AX$16</f>
        <v>0</v>
      </c>
      <c r="AM63" s="28" t="str">
        <f>IF(Z63=0,"","+")</f>
        <v/>
      </c>
      <c r="AN63" s="6">
        <f>PI()/4*Z63^2*$O$12/$AX$16</f>
        <v>0</v>
      </c>
      <c r="AO63" s="28" t="str">
        <f>IF(AC63=0,"","+")</f>
        <v/>
      </c>
      <c r="AP63" s="6">
        <f>PI()/4*AC63^2*$O$12/$AX$16</f>
        <v>0</v>
      </c>
      <c r="AQ63" s="28" t="str">
        <f>IF(AF63=0,"","+")</f>
        <v/>
      </c>
      <c r="AR63" s="6">
        <f>PI()/4*AF63^2*$O$12/$AX$16</f>
        <v>0</v>
      </c>
      <c r="AS63" s="28" t="str">
        <f>IF(AI63=0,"","+")</f>
        <v/>
      </c>
      <c r="AT63" s="6">
        <f>PI()/4*AI63^2*$O$12/$AX$16</f>
        <v>0</v>
      </c>
      <c r="AU63" s="28" t="s">
        <v>24</v>
      </c>
      <c r="AV63" s="15">
        <f>VALUE(AJ63)+VALUE(AL63)+VALUE(AN63)+VALUE(AP63)+VALUE(AR63)+VALUE(AT63)</f>
        <v>8377.5804095727817</v>
      </c>
      <c r="AW63" s="228">
        <f>MAX(0.3*$AJ$14^(2/3)/$AJ$16*0.26*100,0.13)</f>
        <v>0.15723814702688016</v>
      </c>
      <c r="AX63" s="6">
        <f>AW63/100*$O$12*BK63</f>
        <v>1410.4261788311151</v>
      </c>
      <c r="AY63" s="6"/>
      <c r="AZ63" s="6"/>
      <c r="BA63" s="24" t="str">
        <f>IF(BB63=0,"","+")</f>
        <v/>
      </c>
      <c r="BB63" s="24"/>
      <c r="BC63" s="28" t="s">
        <v>24</v>
      </c>
      <c r="BD63" s="15">
        <f>AX63+AZ63+BB63</f>
        <v>1410.4261788311151</v>
      </c>
      <c r="BE63" s="2">
        <f>(R63-($AX$14+$O$16+T63/2))</f>
        <v>897</v>
      </c>
      <c r="BF63" s="3">
        <f>IF(W63=0,0,(R63-($AX$14+T63/2+$O$16+$BI$16)))</f>
        <v>0</v>
      </c>
      <c r="BG63" s="3">
        <f>IF(Z63=0,0,(R63-($AX$14+T63/2+$BI$16+$O$16+$BI$17)))</f>
        <v>0</v>
      </c>
      <c r="BH63" s="3">
        <f>IF(AC63=0,0,(R63-($AX$14+T63/2+$O$16+$BI$16+$BI$17+$BI$18)))</f>
        <v>0</v>
      </c>
      <c r="BI63" s="3">
        <f>IF(AF63=0,0,(R63-($AX$14+T63/2+$O$16+$BI$16+$BI$17+$BI$18+$BL$16)))</f>
        <v>0</v>
      </c>
      <c r="BJ63" s="3">
        <f>IF(AI63=0,0,(R63-($AX$14+T63/2+$O$16+$BI$16+$BI$17+$BI$18+$BL$16+$BL$17)))</f>
        <v>0</v>
      </c>
      <c r="BK63" s="6">
        <f>(BE63*AJ63+BF63*AL63+BG63*AN63+BH63*AP63+BI63*AR63+BJ63*AT63)/AV63</f>
        <v>897</v>
      </c>
      <c r="BL63" s="175">
        <f>ABS(N63)*1000000/$O$12/BK63^2</f>
        <v>1.1608122703076897</v>
      </c>
      <c r="BM63" s="175">
        <f>BL63/$AJ$14</f>
        <v>3.6275383447115304E-2</v>
      </c>
      <c r="BN63" s="21">
        <f>IF(BM63&lt;0.167,0.5+SQRT(0.25-(BM63/1.134)),0.82)</f>
        <v>0.96691661536939466</v>
      </c>
      <c r="BO63" s="15">
        <f>ABS(N63)/(0.87*$AJ$16*BN63*BK63)*10^6</f>
        <v>2475.5753695251519</v>
      </c>
      <c r="BP63" s="22">
        <v>376.1069095888281</v>
      </c>
      <c r="BQ63" s="175">
        <f>IF(Q63=0,2*ABS(P63*10^6)/$O$12/BP63/(BK63-BP63/3),Q63*BP63*1000/($O$12/2*BP63^2-(BE63-BP63)*AJ63*$AJ$18-(BF63-BP63)*AL63*$AJ$18-(BG63-BP63)*AN63*$AJ$18-(BH63-BP63)*AP63*$AJ$18-(BI63-BP63)*AR63*$AJ$18-(BJ63-BP63)*AT63*$AJ$18))</f>
        <v>6.2050213039898061</v>
      </c>
      <c r="BR63" s="3">
        <f>0.5*$O$12*BP63*BQ63 /1000</f>
        <v>1166.8756932882231</v>
      </c>
      <c r="BS63" s="3">
        <f>($BQ63/$BP63)*(BE63-$BP63)*$AJ$18*AJ63/1000</f>
        <v>1165.8756932882231</v>
      </c>
      <c r="BT63" s="3">
        <f>($BQ63/$BP63)*(BF63-$BP63)*$AJ$18*AL63/1000</f>
        <v>0</v>
      </c>
      <c r="BU63" s="3">
        <f>($BQ63/$BP63)*(BG63-$BP63)*$AJ$18*AN63/1000</f>
        <v>0</v>
      </c>
      <c r="BV63" s="3">
        <f>($BQ63/$BP63)*(BH63-$BP63)*$AJ$18*AP63/1000</f>
        <v>0</v>
      </c>
      <c r="BW63" s="3">
        <f>($BQ63/$BP63)*(BI63-$BP63)*$AJ$18*AR63/1000</f>
        <v>0</v>
      </c>
      <c r="BX63" s="3">
        <f>($BQ63/$BP63)*(BJ63-$BP63)*$AJ$18*AT63/1000</f>
        <v>0</v>
      </c>
      <c r="BY63" s="175">
        <f>IF(Q63=0,0,(0.5*$O$12*BP63*BQ63/1000*(R63/2-$BP63/3)+BS63*(BE63-R63/2)+BT63*(BF63-R63/2)+BU63*(BG63-R63/2)+BV63*(BH63-R63/2)+BW63*(BI63-R63/2)+BX63*(BJ63-R63/2))/1000-ABS(P63))</f>
        <v>4.9325388454235508E-4</v>
      </c>
      <c r="BZ63" s="10"/>
      <c r="CA63" s="176">
        <f>ABS(P63)/(BK63-BP63/3)/AV63*10^6-Q63*(R63/2-BP63/3)/(BK63-BP63/3)/AV63*1000</f>
        <v>139.16608341002589</v>
      </c>
      <c r="CB63" s="177">
        <f>(AV63/($O$12*MIN(2.5*(R63-BK63),(R63-BP63)/3,R63/2)-AV63))</f>
        <v>4.1974625178561931E-2</v>
      </c>
      <c r="CC63" s="177">
        <f>3.4*($O$16+$AX$14)+0.425*0.8*0.5*(T63^2+W63^2+Z63^2+AC63^2+AF63^2+AI63^2)/(T63+W63+Z63+AC63+AF63+AI63)/CB63</f>
        <v>444.2026378096885</v>
      </c>
      <c r="CD63" s="177">
        <f>MAX(0.6*CA63/$AJ$17,(CA63-0.4*0.3*$AJ$14^(2/3)/CB63*(1+$AJ$17/$AJ$15*CB63))/$AJ$17)</f>
        <v>0.45381745581062383</v>
      </c>
      <c r="CE63" s="178">
        <f>CC63*CD63/1000</f>
        <v>0.20158691095516085</v>
      </c>
      <c r="CF63" s="23" t="str">
        <f>IF(AND(AV63&gt;=BD63,AV63&gt;=BO63,CE63&lt;=(+IF(CO63="External",0.25,0.3))),"O.K", "Not O.K")</f>
        <v>O.K</v>
      </c>
      <c r="CG63" s="28"/>
      <c r="CH63" s="179" t="str">
        <f>IF(O63&lt;0.2*$AJ$14*R63*$O$12/1000,"N &lt; 0.2fckAc - OK!","TBA")</f>
        <v>N &lt; 0.2fckAc - OK!</v>
      </c>
      <c r="CI63" s="24"/>
      <c r="CJ63" s="25"/>
      <c r="CK63" s="6">
        <f t="shared" si="10"/>
        <v>112</v>
      </c>
      <c r="CL63" s="8" t="s">
        <v>72</v>
      </c>
      <c r="CM63" s="6">
        <f t="shared" si="11"/>
        <v>211</v>
      </c>
      <c r="CN63" s="26" t="s">
        <v>146</v>
      </c>
      <c r="CO63" s="27" t="s">
        <v>105</v>
      </c>
      <c r="CP63" s="2">
        <v>-934</v>
      </c>
      <c r="CQ63" s="15">
        <v>1</v>
      </c>
      <c r="CR63" s="3">
        <v>-900</v>
      </c>
      <c r="CS63" s="15">
        <v>1</v>
      </c>
      <c r="CT63" s="20">
        <v>1000</v>
      </c>
      <c r="CU63" s="2">
        <v>112</v>
      </c>
      <c r="CV63" s="15">
        <v>211</v>
      </c>
      <c r="CW63" s="6"/>
      <c r="CX63" s="278"/>
      <c r="CY63" s="6"/>
      <c r="CZ63" s="6"/>
      <c r="DA63" s="6"/>
      <c r="DB63" s="6"/>
      <c r="DC63" s="6"/>
      <c r="DD63" s="6"/>
      <c r="DE63" s="6"/>
      <c r="DF63" s="6"/>
      <c r="DG63" s="6"/>
      <c r="DH63" s="6"/>
      <c r="DI63" s="6"/>
      <c r="DJ63" s="212"/>
      <c r="DK63" s="13"/>
      <c r="DL63" s="13"/>
      <c r="DM63" s="202"/>
      <c r="DN63" s="206">
        <f>IF(CO63="external",T63,0)</f>
        <v>40</v>
      </c>
      <c r="DO63" s="206">
        <f>IF(CO63="external",W63,0)</f>
        <v>0</v>
      </c>
      <c r="DP63" s="206">
        <f>IF(CO63="external",Z63,0)</f>
        <v>0</v>
      </c>
      <c r="DQ63" s="206">
        <f>IF(CO63="external",AC63,0)</f>
        <v>0</v>
      </c>
      <c r="DR63" s="206">
        <f>IF(CO63="external",AF63,0)</f>
        <v>0</v>
      </c>
      <c r="DS63" s="207">
        <f>IF(CO63="external",AI63,0)</f>
        <v>0</v>
      </c>
      <c r="DT63" s="208"/>
      <c r="DU63" s="207">
        <f>IF(CO63="internal",T63,0)</f>
        <v>0</v>
      </c>
      <c r="DV63" s="207">
        <f>IF(CO63="internal",W63,0)</f>
        <v>0</v>
      </c>
      <c r="DW63" s="207">
        <f>IF(CO63="internal",Z63,0)</f>
        <v>0</v>
      </c>
      <c r="DX63" s="207">
        <f>IF(CO63="internal",AC63,0)</f>
        <v>0</v>
      </c>
      <c r="DY63" s="207">
        <f>IF(CO63="internal",AF63,0)</f>
        <v>0</v>
      </c>
      <c r="DZ63" s="207">
        <f>IF(CO63="internal",AI63,0)</f>
        <v>0</v>
      </c>
    </row>
    <row r="64" spans="1:131" s="7" customFormat="1" x14ac:dyDescent="0.3">
      <c r="B64" s="242"/>
      <c r="C64" s="238"/>
      <c r="D64" s="237"/>
      <c r="E64" s="238"/>
      <c r="F64" s="238"/>
      <c r="G64" s="239"/>
      <c r="H64" s="67"/>
      <c r="I64" s="67"/>
      <c r="J64" s="67"/>
      <c r="K64" s="67"/>
      <c r="L64" s="67"/>
      <c r="M64" s="67"/>
      <c r="N64" s="67"/>
      <c r="O64" s="67"/>
      <c r="P64" s="67"/>
      <c r="Q64" s="67"/>
      <c r="R64" s="67"/>
      <c r="S64" s="67"/>
      <c r="T64" s="240"/>
      <c r="U64" s="67"/>
      <c r="V64" s="67"/>
      <c r="W64" s="240"/>
      <c r="X64" s="67"/>
      <c r="Y64" s="67"/>
      <c r="Z64" s="67"/>
      <c r="AA64" s="67"/>
      <c r="AB64" s="67"/>
      <c r="AC64" s="67"/>
      <c r="AD64" s="67"/>
      <c r="AE64" s="67"/>
      <c r="AF64" s="67"/>
      <c r="AG64" s="67"/>
      <c r="AH64" s="67"/>
      <c r="AI64" s="241"/>
      <c r="AJ64" s="67"/>
      <c r="AK64" s="67"/>
      <c r="AL64" s="67"/>
      <c r="AM64" s="67"/>
      <c r="AN64" s="67"/>
      <c r="AO64" s="67"/>
      <c r="AP64" s="67"/>
      <c r="AQ64" s="67"/>
      <c r="AR64" s="67"/>
      <c r="AS64" s="67"/>
      <c r="AT64" s="67"/>
      <c r="AU64" s="67"/>
      <c r="AV64" s="67"/>
      <c r="AW64" s="67"/>
      <c r="AX64" s="67"/>
      <c r="AY64" s="67"/>
      <c r="AZ64" s="67"/>
      <c r="BA64" s="67"/>
      <c r="BB64" s="67"/>
      <c r="BC64" s="67"/>
      <c r="BD64" s="67"/>
      <c r="BE64" s="67"/>
      <c r="BF64" s="67"/>
      <c r="BG64" s="67"/>
      <c r="BH64" s="67"/>
      <c r="BI64" s="67"/>
      <c r="BJ64" s="67"/>
      <c r="BK64" s="67"/>
      <c r="BL64" s="67"/>
      <c r="BM64" s="67"/>
      <c r="BN64" s="67"/>
      <c r="BO64" s="67"/>
      <c r="BP64" s="67"/>
      <c r="BQ64" s="67"/>
      <c r="BR64" s="67"/>
      <c r="BS64" s="67"/>
      <c r="BT64" s="67"/>
      <c r="BU64" s="67"/>
      <c r="BV64" s="67"/>
      <c r="BW64" s="67"/>
      <c r="BX64" s="67"/>
      <c r="BY64" s="67"/>
      <c r="BZ64" s="67"/>
      <c r="CA64" s="67"/>
      <c r="CB64" s="67"/>
      <c r="CC64" s="67"/>
      <c r="CD64" s="67"/>
      <c r="CE64" s="67"/>
      <c r="CH64" s="243"/>
      <c r="CI64" s="6"/>
      <c r="CJ64" s="37"/>
      <c r="CK64" s="6">
        <f t="shared" si="10"/>
        <v>0</v>
      </c>
      <c r="CL64" s="8" t="s">
        <v>72</v>
      </c>
      <c r="CM64" s="6">
        <f t="shared" si="11"/>
        <v>0</v>
      </c>
      <c r="CN64" s="39"/>
      <c r="CO64" s="40"/>
      <c r="CP64" s="13"/>
      <c r="CQ64" s="13"/>
      <c r="CR64" s="13"/>
      <c r="CS64" s="13"/>
      <c r="CU64" s="6"/>
      <c r="CV64" s="6"/>
      <c r="CW64" s="28"/>
      <c r="CX64" s="280"/>
      <c r="CY64" s="185"/>
      <c r="CZ64" s="185"/>
      <c r="DA64" s="185"/>
      <c r="DB64" s="185"/>
      <c r="DC64" s="185"/>
      <c r="DD64" s="185"/>
      <c r="DE64" s="185"/>
      <c r="DF64" s="185"/>
      <c r="DG64" s="185"/>
      <c r="DH64" s="185"/>
      <c r="DI64" s="185"/>
      <c r="DJ64" s="209"/>
      <c r="DK64" s="185"/>
      <c r="DL64" s="185"/>
      <c r="DM64" s="186"/>
      <c r="DN64" s="187"/>
      <c r="DO64" s="187"/>
      <c r="DP64" s="187"/>
      <c r="DQ64" s="187"/>
      <c r="DR64" s="187"/>
      <c r="DS64" s="187"/>
      <c r="DT64" s="188"/>
      <c r="DU64" s="187"/>
      <c r="DV64" s="187"/>
      <c r="DW64" s="187"/>
      <c r="DX64" s="187"/>
      <c r="DY64" s="187"/>
      <c r="DZ64" s="187"/>
      <c r="EA64" s="185"/>
    </row>
    <row r="65" spans="1:130" s="7" customFormat="1" ht="13.8" x14ac:dyDescent="0.25">
      <c r="A65" s="7" t="s">
        <v>141</v>
      </c>
      <c r="B65" s="19">
        <f>+CI65</f>
        <v>27</v>
      </c>
      <c r="C65" s="6">
        <f t="shared" ref="C65:E68" si="47">CJ65</f>
        <v>0</v>
      </c>
      <c r="D65" s="6">
        <f t="shared" si="47"/>
        <v>113</v>
      </c>
      <c r="E65" s="6" t="str">
        <f t="shared" si="47"/>
        <v>--</v>
      </c>
      <c r="F65" s="6">
        <f>+CM65</f>
        <v>213</v>
      </c>
      <c r="G65" s="174" t="str">
        <f t="shared" ref="G65:H68" si="48">CN65</f>
        <v>Max Mz</v>
      </c>
      <c r="H65" s="6" t="str">
        <f t="shared" si="48"/>
        <v>Internal</v>
      </c>
      <c r="I65" s="156"/>
      <c r="J65" s="10">
        <f t="shared" ref="J65:M68" si="49">(CP65)</f>
        <v>215</v>
      </c>
      <c r="K65" s="10">
        <f t="shared" si="49"/>
        <v>45</v>
      </c>
      <c r="L65" s="10">
        <f t="shared" si="49"/>
        <v>229</v>
      </c>
      <c r="M65" s="10">
        <f t="shared" si="49"/>
        <v>38</v>
      </c>
      <c r="N65" s="10">
        <f>IF(I65*J65&gt;=0,J65*$J$19+I65*$J$18,J65)</f>
        <v>215</v>
      </c>
      <c r="O65" s="10">
        <f>(K65)*$J$19</f>
        <v>45</v>
      </c>
      <c r="P65" s="14">
        <f>IF(I65*L65&gt;=0,(L65)+I65,L65)</f>
        <v>229</v>
      </c>
      <c r="Q65" s="3">
        <f>(M65)</f>
        <v>38</v>
      </c>
      <c r="R65" s="20">
        <f>CT65</f>
        <v>1000</v>
      </c>
      <c r="S65" s="23"/>
      <c r="T65" s="12">
        <v>20</v>
      </c>
      <c r="U65" s="28"/>
      <c r="V65" s="28"/>
      <c r="W65" s="12"/>
      <c r="X65" s="28"/>
      <c r="Y65" s="28"/>
      <c r="Z65" s="12"/>
      <c r="AA65" s="28"/>
      <c r="AB65" s="28"/>
      <c r="AC65" s="158"/>
      <c r="AD65" s="28"/>
      <c r="AE65" s="28"/>
      <c r="AF65" s="158"/>
      <c r="AG65" s="28"/>
      <c r="AH65" s="28"/>
      <c r="AI65" s="29"/>
      <c r="AJ65" s="6">
        <f>PI()/4*T65^2*$O$12/$AX$16</f>
        <v>2094.3951023931954</v>
      </c>
      <c r="AK65" s="28" t="str">
        <f>IF(W65=0,"","+")</f>
        <v/>
      </c>
      <c r="AL65" s="6">
        <f>PI()/4*W65^2*$O$12/$AX$16</f>
        <v>0</v>
      </c>
      <c r="AM65" s="28" t="str">
        <f>IF(Z65=0,"","+")</f>
        <v/>
      </c>
      <c r="AN65" s="6">
        <f>PI()/4*Z65^2*$O$12/$AX$16</f>
        <v>0</v>
      </c>
      <c r="AO65" s="28" t="str">
        <f>IF(AC65=0,"","+")</f>
        <v/>
      </c>
      <c r="AP65" s="6">
        <f>PI()/4*AC65^2*$O$12/$AX$16</f>
        <v>0</v>
      </c>
      <c r="AQ65" s="28" t="str">
        <f>IF(AF65=0,"","+")</f>
        <v/>
      </c>
      <c r="AR65" s="6">
        <f>PI()/4*AF65^2*$O$12/$AX$16</f>
        <v>0</v>
      </c>
      <c r="AS65" s="28" t="str">
        <f>IF(AI65=0,"","+")</f>
        <v/>
      </c>
      <c r="AT65" s="6">
        <f>PI()/4*AI65^2*$O$12/$AX$16</f>
        <v>0</v>
      </c>
      <c r="AU65" s="28" t="s">
        <v>24</v>
      </c>
      <c r="AV65" s="15">
        <f>VALUE(AJ65)+VALUE(AL65)+VALUE(AN65)+VALUE(AP65)+VALUE(AR65)+VALUE(AT65)</f>
        <v>2094.3951023931954</v>
      </c>
      <c r="AW65" s="228">
        <f>MAX(0.3*$AJ$14^(2/3)/$AJ$16*0.26*100,0.13)</f>
        <v>0.15723814702688016</v>
      </c>
      <c r="AX65" s="6">
        <f>AW65/100*$O$12*BK65</f>
        <v>1426.1499935338031</v>
      </c>
      <c r="AY65" s="6"/>
      <c r="AZ65" s="6"/>
      <c r="BA65" s="24" t="str">
        <f>IF(BB65=0,"","+")</f>
        <v/>
      </c>
      <c r="BB65" s="24"/>
      <c r="BC65" s="28" t="s">
        <v>24</v>
      </c>
      <c r="BD65" s="15">
        <f>AX65+AZ65+BB65</f>
        <v>1426.1499935338031</v>
      </c>
      <c r="BE65" s="2">
        <f>(R65-($AX$14+$O$16+T65/2))</f>
        <v>907</v>
      </c>
      <c r="BF65" s="3">
        <f>IF(W65=0,0,(R65-($AX$14+T65/2+$O$16+$BI$16)))</f>
        <v>0</v>
      </c>
      <c r="BG65" s="3">
        <f>IF(Z65=0,0,(R65-($AX$14+T65/2+$BI$16+$O$16+$BI$17)))</f>
        <v>0</v>
      </c>
      <c r="BH65" s="3">
        <f>IF(AC65=0,0,(R65-($AX$14+T65/2+$O$16+$BI$16+$BI$17+$BI$18)))</f>
        <v>0</v>
      </c>
      <c r="BI65" s="3">
        <f>IF(AF65=0,0,(R65-($AX$14+T65/2+$O$16+$BI$16+$BI$17+$BI$18+$BL$16)))</f>
        <v>0</v>
      </c>
      <c r="BJ65" s="3">
        <f>IF(AI65=0,0,(R65-($AX$14+T65/2+$O$16+$BI$16+$BI$17+$BI$18+$BL$16+$BL$17)))</f>
        <v>0</v>
      </c>
      <c r="BK65" s="6">
        <f>(BE65*AJ65+BF65*AL65+BG65*AN65+BH65*AP65+BI65*AR65+BJ65*AT65)/AV65</f>
        <v>907</v>
      </c>
      <c r="BL65" s="175">
        <f>ABS(N65)*1000000/$O$12/BK65^2</f>
        <v>0.26135083127798125</v>
      </c>
      <c r="BM65" s="175">
        <f>BL65/$AJ$14</f>
        <v>8.1672134774369142E-3</v>
      </c>
      <c r="BN65" s="21">
        <f>IF(BM65&lt;0.167,0.5+SQRT(0.25-(BM65/1.134)),0.82)</f>
        <v>0.99274524017286925</v>
      </c>
      <c r="BO65" s="15">
        <f>ABS(N65)/(0.87*$AJ$16*BN65*BK65)*10^6</f>
        <v>548.91374073213149</v>
      </c>
      <c r="BP65" s="22">
        <v>229.68294540123281</v>
      </c>
      <c r="BQ65" s="175">
        <f>IF(Q65=0,2*ABS(P65*10^6)/$O$12/BP65/(BK65-BP65/3),Q65*BP65*1000/($O$12/2*BP65^2-(BE65-BP65)*AJ65*$AJ$18-(BF65-BP65)*AL65*$AJ$18-(BG65-BP65)*AN65*$AJ$18-(BH65-BP65)*AP65*$AJ$18-(BI65-BP65)*AR65*$AJ$18-(BJ65-BP65)*AT65*$AJ$18))</f>
        <v>2.5633740957056408</v>
      </c>
      <c r="BR65" s="3">
        <f>0.5*$O$12*BP65*BQ65 /1000</f>
        <v>294.38165623344662</v>
      </c>
      <c r="BS65" s="3">
        <f>($BQ65/$BP65)*(BE65-$BP65)*$AJ$18*AJ65/1000</f>
        <v>256.38165623344656</v>
      </c>
      <c r="BT65" s="3">
        <f>($BQ65/$BP65)*(BF65-$BP65)*$AJ$18*AL65/1000</f>
        <v>0</v>
      </c>
      <c r="BU65" s="3">
        <f>($BQ65/$BP65)*(BG65-$BP65)*$AJ$18*AN65/1000</f>
        <v>0</v>
      </c>
      <c r="BV65" s="3">
        <f>($BQ65/$BP65)*(BH65-$BP65)*$AJ$18*AP65/1000</f>
        <v>0</v>
      </c>
      <c r="BW65" s="3">
        <f>($BQ65/$BP65)*(BI65-$BP65)*$AJ$18*AR65/1000</f>
        <v>0</v>
      </c>
      <c r="BX65" s="3">
        <f>($BQ65/$BP65)*(BJ65-$BP65)*$AJ$18*AT65/1000</f>
        <v>0</v>
      </c>
      <c r="BY65" s="175">
        <f>IF(Q65=0,0,(0.5*$O$12*BP65*BQ65/1000*(R65/2-$BP65/3)+BS65*(BE65-R65/2)+BT65*(BF65-R65/2)+BU65*(BG65-R65/2)+BV65*(BH65-R65/2)+BW65*(BI65-R65/2)+BX65*(BJ65-R65/2))/1000-ABS(P65))</f>
        <v>1.3578472305653122E-5</v>
      </c>
      <c r="BZ65" s="10"/>
      <c r="CA65" s="176">
        <f>ABS(P65)/(BK65-BP65/3)/AV65*10^6-Q65*(R65/2-BP65/3)/(BK65-BP65/3)/AV65*1000</f>
        <v>122.41321591591353</v>
      </c>
      <c r="CB65" s="177">
        <f>(AV65/($O$12*MIN(2.5*(R65-BK65),(R65-BP65)/3,R65/2)-AV65))</f>
        <v>9.0900353892170004E-3</v>
      </c>
      <c r="CC65" s="177">
        <f>3.4*($O$16+$AX$14)+0.425*0.8*0.5*(T65^2+W65^2+Z65^2+AC65^2+AF65^2+AI65^2)/(T65+W65+Z65+AC65+AF65+AI65)/CB65</f>
        <v>656.23594754242981</v>
      </c>
      <c r="CD65" s="177">
        <f>MAX(0.6*CA65/$AJ$17,(CA65-0.4*0.3*$AJ$14^(2/3)/CB65*(1+$AJ$17/$AJ$15*CB65))/$AJ$17)</f>
        <v>0.36723964774774054</v>
      </c>
      <c r="CE65" s="178">
        <f>CC65*CD65/1000</f>
        <v>0.24099585821488664</v>
      </c>
      <c r="CF65" s="23" t="str">
        <f>IF(AND(AV65&gt;=BD65,AV65&gt;=BO65,CE65&lt;=(+IF(CO65="External",0.25,0.3))),"O.K", "Not O.K")</f>
        <v>O.K</v>
      </c>
      <c r="CG65" s="28"/>
      <c r="CH65" s="179" t="str">
        <f>IF(O65&lt;0.2*$AJ$14*R65*$O$12/1000,"N &lt; 0.2fckAc - OK!","TBA")</f>
        <v>N &lt; 0.2fckAc - OK!</v>
      </c>
      <c r="CI65" s="24">
        <v>27</v>
      </c>
      <c r="CJ65" s="25"/>
      <c r="CK65" s="6">
        <f t="shared" si="10"/>
        <v>113</v>
      </c>
      <c r="CL65" s="8" t="s">
        <v>72</v>
      </c>
      <c r="CM65" s="6">
        <f t="shared" si="11"/>
        <v>213</v>
      </c>
      <c r="CN65" s="26" t="s">
        <v>147</v>
      </c>
      <c r="CO65" s="27" t="s">
        <v>106</v>
      </c>
      <c r="CP65" s="2">
        <v>215</v>
      </c>
      <c r="CQ65" s="15">
        <v>45</v>
      </c>
      <c r="CR65" s="3">
        <v>229</v>
      </c>
      <c r="CS65" s="3">
        <v>38</v>
      </c>
      <c r="CT65" s="20">
        <v>1000</v>
      </c>
      <c r="CU65" s="2">
        <v>113</v>
      </c>
      <c r="CV65" s="15">
        <v>213</v>
      </c>
      <c r="CW65" s="6"/>
      <c r="CX65" s="278">
        <f>CI65</f>
        <v>27</v>
      </c>
      <c r="CY65" s="6">
        <f t="shared" ref="CY65:DD65" si="50">MAX(DN65:DN68)</f>
        <v>40</v>
      </c>
      <c r="CZ65" s="6">
        <f t="shared" si="50"/>
        <v>0</v>
      </c>
      <c r="DA65" s="6">
        <f t="shared" si="50"/>
        <v>0</v>
      </c>
      <c r="DB65" s="6">
        <f t="shared" si="50"/>
        <v>0</v>
      </c>
      <c r="DC65" s="6">
        <f t="shared" si="50"/>
        <v>0</v>
      </c>
      <c r="DD65" s="6">
        <f t="shared" si="50"/>
        <v>0</v>
      </c>
      <c r="DE65" s="6"/>
      <c r="DF65" s="6">
        <f t="shared" ref="DF65:DK65" si="51">MAX(DU65:DU68)</f>
        <v>20</v>
      </c>
      <c r="DG65" s="6">
        <f t="shared" si="51"/>
        <v>0</v>
      </c>
      <c r="DH65" s="6">
        <f t="shared" si="51"/>
        <v>0</v>
      </c>
      <c r="DI65" s="6">
        <f t="shared" si="51"/>
        <v>0</v>
      </c>
      <c r="DJ65" s="6">
        <f t="shared" si="51"/>
        <v>0</v>
      </c>
      <c r="DK65" s="6">
        <f t="shared" si="51"/>
        <v>0</v>
      </c>
      <c r="DL65" s="13"/>
      <c r="DM65" s="202">
        <f>CI65</f>
        <v>27</v>
      </c>
      <c r="DN65" s="206">
        <f>IF(CO65="external",T65,0)</f>
        <v>0</v>
      </c>
      <c r="DO65" s="206">
        <f>IF(CO65="external",W65,0)</f>
        <v>0</v>
      </c>
      <c r="DP65" s="206">
        <f>IF(CO65="external",Z65,0)</f>
        <v>0</v>
      </c>
      <c r="DQ65" s="206">
        <f>IF(CO65="external",AC65,0)</f>
        <v>0</v>
      </c>
      <c r="DR65" s="206">
        <f>IF(CO65="external",AF65,0)</f>
        <v>0</v>
      </c>
      <c r="DS65" s="207">
        <f>IF(CO65="external",AI65,0)</f>
        <v>0</v>
      </c>
      <c r="DT65" s="208"/>
      <c r="DU65" s="207">
        <f>IF(CO65="internal",T65,0)</f>
        <v>20</v>
      </c>
      <c r="DV65" s="207">
        <f>IF(CO65="internal",W65,0)</f>
        <v>0</v>
      </c>
      <c r="DW65" s="207">
        <f>IF(CO65="internal",Z65,0)</f>
        <v>0</v>
      </c>
      <c r="DX65" s="207">
        <f>IF(CO65="internal",AC65,0)</f>
        <v>0</v>
      </c>
      <c r="DY65" s="207">
        <f>IF(CO65="internal",AF65,0)</f>
        <v>0</v>
      </c>
      <c r="DZ65" s="207">
        <f>IF(CO65="internal",AI65,0)</f>
        <v>0</v>
      </c>
    </row>
    <row r="66" spans="1:130" s="7" customFormat="1" x14ac:dyDescent="0.3">
      <c r="B66" s="19">
        <f>+CI66</f>
        <v>0</v>
      </c>
      <c r="C66" s="6">
        <f t="shared" si="47"/>
        <v>0</v>
      </c>
      <c r="D66" s="6">
        <f t="shared" si="47"/>
        <v>103</v>
      </c>
      <c r="E66" s="6" t="str">
        <f t="shared" si="47"/>
        <v>--</v>
      </c>
      <c r="F66" s="6">
        <f>+CM66</f>
        <v>203</v>
      </c>
      <c r="G66" s="174" t="str">
        <f t="shared" si="48"/>
        <v>Min Mz</v>
      </c>
      <c r="H66" s="6" t="str">
        <f t="shared" si="48"/>
        <v>External</v>
      </c>
      <c r="I66" s="156"/>
      <c r="J66" s="10">
        <f t="shared" si="49"/>
        <v>-1227</v>
      </c>
      <c r="K66" s="10">
        <f t="shared" si="49"/>
        <v>2</v>
      </c>
      <c r="L66" s="10">
        <f t="shared" si="49"/>
        <v>-896</v>
      </c>
      <c r="M66" s="10">
        <f t="shared" si="49"/>
        <v>1</v>
      </c>
      <c r="N66" s="10">
        <f>IF(I66*J66&gt;=0,J66*$J$19+I66*$J$18,J66)</f>
        <v>-1227</v>
      </c>
      <c r="O66" s="10">
        <f>(K66)*$J$19</f>
        <v>2</v>
      </c>
      <c r="P66" s="14">
        <f>IF(I66*L66&gt;=0,(L66)+I66,L66)</f>
        <v>-896</v>
      </c>
      <c r="Q66" s="3">
        <f>(M66)</f>
        <v>1</v>
      </c>
      <c r="R66" s="20">
        <f t="shared" ref="R66:R73" si="52">CT66</f>
        <v>1000</v>
      </c>
      <c r="S66" s="23"/>
      <c r="T66" s="12">
        <v>40</v>
      </c>
      <c r="U66" s="28"/>
      <c r="V66" s="28"/>
      <c r="W66" s="12"/>
      <c r="X66" s="28"/>
      <c r="Y66" s="28"/>
      <c r="Z66" s="12"/>
      <c r="AA66" s="28"/>
      <c r="AB66" s="28"/>
      <c r="AC66" s="158"/>
      <c r="AD66" s="28"/>
      <c r="AE66" s="28"/>
      <c r="AF66" s="158"/>
      <c r="AG66" s="28"/>
      <c r="AH66" s="28"/>
      <c r="AI66" s="29"/>
      <c r="AJ66" s="6">
        <f>PI()/4*T66^2*$O$12/$AX$16</f>
        <v>8377.5804095727817</v>
      </c>
      <c r="AK66" s="28" t="str">
        <f>IF(W66=0,"","+")</f>
        <v/>
      </c>
      <c r="AL66" s="6">
        <f>PI()/4*W66^2*$O$12/$AX$16</f>
        <v>0</v>
      </c>
      <c r="AM66" s="28" t="str">
        <f>IF(Z66=0,"","+")</f>
        <v/>
      </c>
      <c r="AN66" s="6">
        <f>PI()/4*Z66^2*$O$12/$AX$16</f>
        <v>0</v>
      </c>
      <c r="AO66" s="28" t="str">
        <f>IF(AC66=0,"","+")</f>
        <v/>
      </c>
      <c r="AP66" s="6">
        <f>PI()/4*AC66^2*$O$12/$AX$16</f>
        <v>0</v>
      </c>
      <c r="AQ66" s="28" t="str">
        <f>IF(AF66=0,"","+")</f>
        <v/>
      </c>
      <c r="AR66" s="6">
        <f>PI()/4*AF66^2*$O$12/$AX$16</f>
        <v>0</v>
      </c>
      <c r="AS66" s="28" t="str">
        <f>IF(AI66=0,"","+")</f>
        <v/>
      </c>
      <c r="AT66" s="6">
        <f>PI()/4*AI66^2*$O$12/$AX$16</f>
        <v>0</v>
      </c>
      <c r="AU66" s="28" t="s">
        <v>24</v>
      </c>
      <c r="AV66" s="15">
        <f>VALUE(AJ66)+VALUE(AL66)+VALUE(AN66)+VALUE(AP66)+VALUE(AR66)+VALUE(AT66)</f>
        <v>8377.5804095727817</v>
      </c>
      <c r="AW66" s="228">
        <f>MAX(0.3*$AJ$14^(2/3)/$AJ$16*0.26*100,0.13)</f>
        <v>0.15723814702688016</v>
      </c>
      <c r="AX66" s="6">
        <f>AW66/100*$O$12*BK66</f>
        <v>1410.4261788311151</v>
      </c>
      <c r="AY66" s="6"/>
      <c r="AZ66" s="6"/>
      <c r="BA66" s="24" t="str">
        <f>IF(BB66=0,"","+")</f>
        <v/>
      </c>
      <c r="BB66" s="24"/>
      <c r="BC66" s="28" t="s">
        <v>24</v>
      </c>
      <c r="BD66" s="15">
        <f>AX66+AZ66+BB66</f>
        <v>1410.4261788311151</v>
      </c>
      <c r="BE66" s="2">
        <f>(R66-($AX$14+$O$16+T66/2))</f>
        <v>897</v>
      </c>
      <c r="BF66" s="3">
        <f>IF(W66=0,0,(R66-($AX$14+T66/2+$O$16+$BI$16)))</f>
        <v>0</v>
      </c>
      <c r="BG66" s="3">
        <f>IF(Z66=0,0,(R66-($AX$14+T66/2+$BI$16+$O$16+$BI$17)))</f>
        <v>0</v>
      </c>
      <c r="BH66" s="3">
        <f>IF(AC66=0,0,(R66-($AX$14+T66/2+$O$16+$BI$16+$BI$17+$BI$18)))</f>
        <v>0</v>
      </c>
      <c r="BI66" s="3">
        <f>IF(AF66=0,0,(R66-($AX$14+T66/2+$O$16+$BI$16+$BI$17+$BI$18+$BL$16)))</f>
        <v>0</v>
      </c>
      <c r="BJ66" s="3">
        <f>IF(AI66=0,0,(R66-($AX$14+T66/2+$O$16+$BI$16+$BI$17+$BI$18+$BL$16+$BL$17)))</f>
        <v>0</v>
      </c>
      <c r="BK66" s="6">
        <f>(BE66*AJ66+BF66*AL66+BG66*AN66+BH66*AP66+BI66*AR66+BJ66*AT66)/AV66</f>
        <v>897</v>
      </c>
      <c r="BL66" s="175">
        <f>ABS(N66)*1000000/$O$12/BK66^2</f>
        <v>1.5249642994299095</v>
      </c>
      <c r="BM66" s="175">
        <f>BL66/$AJ$14</f>
        <v>4.7655134357184673E-2</v>
      </c>
      <c r="BN66" s="21">
        <f>IF(BM66&lt;0.167,0.5+SQRT(0.25-(BM66/1.134)),0.82)</f>
        <v>0.95604393647479624</v>
      </c>
      <c r="BO66" s="15">
        <f>ABS(N66)/(0.87*$AJ$16*BN66*BK66)*10^6</f>
        <v>3289.1600850177633</v>
      </c>
      <c r="BP66" s="22">
        <v>376.10743847083899</v>
      </c>
      <c r="BQ66" s="175">
        <f>IF(Q66=0,2*ABS(P66*10^6)/$O$12/BP66/(BK66-BP66/3),Q66*BP66*1000/($O$12/2*BP66^2-(BE66-BP66)*AJ66*$AJ$18-(BF66-BP66)*AL66*$AJ$18-(BG66-BP66)*AN66*$AJ$18-(BH66-BP66)*AP66*$AJ$18-(BI66-BP66)*AR66*$AJ$18-(BJ66-BP66)*AT66*$AJ$18))</f>
        <v>6.1774447540810975</v>
      </c>
      <c r="BR66" s="3">
        <f>0.5*$O$12*BP66*BQ66 /1000</f>
        <v>1161.6914613762817</v>
      </c>
      <c r="BS66" s="3">
        <f>($BQ66/$BP66)*(BE66-$BP66)*$AJ$18*AJ66/1000</f>
        <v>1160.6914613762815</v>
      </c>
      <c r="BT66" s="3">
        <f>($BQ66/$BP66)*(BF66-$BP66)*$AJ$18*AL66/1000</f>
        <v>0</v>
      </c>
      <c r="BU66" s="3">
        <f>($BQ66/$BP66)*(BG66-$BP66)*$AJ$18*AN66/1000</f>
        <v>0</v>
      </c>
      <c r="BV66" s="3">
        <f>($BQ66/$BP66)*(BH66-$BP66)*$AJ$18*AP66/1000</f>
        <v>0</v>
      </c>
      <c r="BW66" s="3">
        <f>($BQ66/$BP66)*(BI66-$BP66)*$AJ$18*AR66/1000</f>
        <v>0</v>
      </c>
      <c r="BX66" s="3">
        <f>($BQ66/$BP66)*(BJ66-$BP66)*$AJ$18*AT66/1000</f>
        <v>0</v>
      </c>
      <c r="BY66" s="175">
        <f>IF(Q66=0,0,(0.5*$O$12*BP66*BQ66/1000*(R66/2-$BP66/3)+BS66*(BE66-R66/2)+BT66*(BF66-R66/2)+BU66*(BG66-R66/2)+BV66*(BH66-R66/2)+BW66*(BI66-R66/2)+BX66*(BJ66-R66/2))/1000-ABS(P66))</f>
        <v>-2.5756035029189661E-5</v>
      </c>
      <c r="BZ66" s="10"/>
      <c r="CA66" s="176">
        <f>ABS(P66)/(BK66-BP66/3)/AV66*10^6-Q66*(R66/2-BP66/3)/(BK66-BP66/3)/AV66*1000</f>
        <v>138.54734159623203</v>
      </c>
      <c r="CB66" s="177">
        <f>(AV66/($O$12*MIN(2.5*(R66-BK66),(R66-BP66)/3,R66/2)-AV66))</f>
        <v>4.1974662254570395E-2</v>
      </c>
      <c r="CC66" s="177">
        <f>3.4*($O$16+$AX$14)+0.425*0.8*0.5*(T66^2+W66^2+Z66^2+AC66^2+AF66^2+AI66^2)/(T66+W66+Z66+AC66+AF66+AI66)/CB66</f>
        <v>444.2024947135717</v>
      </c>
      <c r="CD66" s="177">
        <f>MAX(0.6*CA66/$AJ$17,(CA66-0.4*0.3*$AJ$14^(2/3)/CB66*(1+$AJ$17/$AJ$15*CB66))/$AJ$17)</f>
        <v>0.4507238740050496</v>
      </c>
      <c r="CE66" s="178">
        <f>CC66*CD66/1000</f>
        <v>0.20021266926000861</v>
      </c>
      <c r="CF66" s="23" t="str">
        <f>IF(AND(AV66&gt;=BD66,AV66&gt;=BO66,CE66&lt;=(+IF(CO66="External",0.25,0.3))),"O.K", "Not O.K")</f>
        <v>O.K</v>
      </c>
      <c r="CG66" s="28"/>
      <c r="CH66" s="179" t="str">
        <f>IF(O66&lt;0.2*$AJ$14*R66*$O$12/1000,"N &lt; 0.2fckAc - OK!","TBA")</f>
        <v>N &lt; 0.2fckAc - OK!</v>
      </c>
      <c r="CI66" s="24"/>
      <c r="CJ66" s="25"/>
      <c r="CK66" s="6">
        <f t="shared" si="10"/>
        <v>103</v>
      </c>
      <c r="CL66" s="8" t="s">
        <v>72</v>
      </c>
      <c r="CM66" s="6">
        <f t="shared" si="11"/>
        <v>203</v>
      </c>
      <c r="CN66" s="26" t="s">
        <v>148</v>
      </c>
      <c r="CO66" s="27" t="s">
        <v>105</v>
      </c>
      <c r="CP66" s="2">
        <v>-1227</v>
      </c>
      <c r="CQ66" s="15">
        <v>2</v>
      </c>
      <c r="CR66" s="3">
        <v>-896</v>
      </c>
      <c r="CS66" s="15">
        <v>1</v>
      </c>
      <c r="CT66" s="20">
        <v>1000</v>
      </c>
      <c r="CU66" s="2">
        <v>103</v>
      </c>
      <c r="CV66" s="15">
        <v>203</v>
      </c>
      <c r="CW66" s="6"/>
      <c r="CX66" s="278"/>
      <c r="CY66" s="6"/>
      <c r="CZ66" s="6"/>
      <c r="DA66" s="6"/>
      <c r="DB66" s="6"/>
      <c r="DC66" s="6"/>
      <c r="DD66" s="6"/>
      <c r="DE66" s="6"/>
      <c r="DF66" s="6"/>
      <c r="DG66" s="6"/>
      <c r="DH66" s="6"/>
      <c r="DI66" s="6"/>
      <c r="DJ66" s="212"/>
      <c r="DK66" s="13"/>
      <c r="DL66" s="13"/>
      <c r="DM66" s="202"/>
      <c r="DN66" s="206">
        <f>IF(CO66="external",T66,0)</f>
        <v>40</v>
      </c>
      <c r="DO66" s="206">
        <f>IF(CO66="external",W66,0)</f>
        <v>0</v>
      </c>
      <c r="DP66" s="206">
        <f>IF(CO66="external",Z66,0)</f>
        <v>0</v>
      </c>
      <c r="DQ66" s="206">
        <f>IF(CO66="external",AC66,0)</f>
        <v>0</v>
      </c>
      <c r="DR66" s="206">
        <f>IF(CO66="external",AF66,0)</f>
        <v>0</v>
      </c>
      <c r="DS66" s="207">
        <f>IF(CO66="external",AI66,0)</f>
        <v>0</v>
      </c>
      <c r="DT66" s="208"/>
      <c r="DU66" s="207">
        <f>IF(CO66="internal",T66,0)</f>
        <v>0</v>
      </c>
      <c r="DV66" s="207">
        <f>IF(CO66="internal",W66,0)</f>
        <v>0</v>
      </c>
      <c r="DW66" s="207">
        <f>IF(CO66="internal",Z66,0)</f>
        <v>0</v>
      </c>
      <c r="DX66" s="207">
        <f>IF(CO66="internal",AC66,0)</f>
        <v>0</v>
      </c>
      <c r="DY66" s="207">
        <f>IF(CO66="internal",AF66,0)</f>
        <v>0</v>
      </c>
      <c r="DZ66" s="207">
        <f>IF(CO66="internal",AI66,0)</f>
        <v>0</v>
      </c>
    </row>
    <row r="67" spans="1:130" s="7" customFormat="1" x14ac:dyDescent="0.3">
      <c r="B67" s="19">
        <f>+CI67</f>
        <v>0</v>
      </c>
      <c r="C67" s="6">
        <f t="shared" si="47"/>
        <v>0</v>
      </c>
      <c r="D67" s="6">
        <f t="shared" si="47"/>
        <v>113</v>
      </c>
      <c r="E67" s="6" t="str">
        <f t="shared" si="47"/>
        <v>--</v>
      </c>
      <c r="F67" s="6">
        <f>+CM67</f>
        <v>213</v>
      </c>
      <c r="G67" s="174" t="str">
        <f t="shared" si="48"/>
        <v>Max Fx</v>
      </c>
      <c r="H67" s="6" t="str">
        <f t="shared" si="48"/>
        <v>Internal</v>
      </c>
      <c r="I67" s="156"/>
      <c r="J67" s="10">
        <f t="shared" si="49"/>
        <v>215</v>
      </c>
      <c r="K67" s="10">
        <f t="shared" si="49"/>
        <v>45</v>
      </c>
      <c r="L67" s="10">
        <f t="shared" si="49"/>
        <v>229</v>
      </c>
      <c r="M67" s="10">
        <f t="shared" si="49"/>
        <v>38</v>
      </c>
      <c r="N67" s="10">
        <f>IF(I67*J67&gt;=0,J67*$J$19+I67*$J$18,J67)</f>
        <v>215</v>
      </c>
      <c r="O67" s="10">
        <f>(K67)*$J$19</f>
        <v>45</v>
      </c>
      <c r="P67" s="14">
        <f>IF(I67*L67&gt;=0,(L67)+I67,L67)</f>
        <v>229</v>
      </c>
      <c r="Q67" s="3">
        <f>(M67)</f>
        <v>38</v>
      </c>
      <c r="R67" s="20">
        <f t="shared" si="52"/>
        <v>1000</v>
      </c>
      <c r="S67" s="23"/>
      <c r="T67" s="12">
        <v>20</v>
      </c>
      <c r="U67" s="28"/>
      <c r="V67" s="28"/>
      <c r="W67" s="12"/>
      <c r="X67" s="28"/>
      <c r="Y67" s="28"/>
      <c r="Z67" s="12"/>
      <c r="AA67" s="28"/>
      <c r="AB67" s="28"/>
      <c r="AC67" s="158"/>
      <c r="AD67" s="28"/>
      <c r="AE67" s="28"/>
      <c r="AF67" s="158"/>
      <c r="AG67" s="28"/>
      <c r="AH67" s="28"/>
      <c r="AI67" s="29"/>
      <c r="AJ67" s="6">
        <f>PI()/4*T67^2*$O$12/$AX$16</f>
        <v>2094.3951023931954</v>
      </c>
      <c r="AK67" s="28" t="str">
        <f>IF(W67=0,"","+")</f>
        <v/>
      </c>
      <c r="AL67" s="6">
        <f>PI()/4*W67^2*$O$12/$AX$16</f>
        <v>0</v>
      </c>
      <c r="AM67" s="28" t="str">
        <f>IF(Z67=0,"","+")</f>
        <v/>
      </c>
      <c r="AN67" s="6">
        <f>PI()/4*Z67^2*$O$12/$AX$16</f>
        <v>0</v>
      </c>
      <c r="AO67" s="28" t="str">
        <f>IF(AC67=0,"","+")</f>
        <v/>
      </c>
      <c r="AP67" s="6">
        <f>PI()/4*AC67^2*$O$12/$AX$16</f>
        <v>0</v>
      </c>
      <c r="AQ67" s="28" t="str">
        <f>IF(AF67=0,"","+")</f>
        <v/>
      </c>
      <c r="AR67" s="6">
        <f>PI()/4*AF67^2*$O$12/$AX$16</f>
        <v>0</v>
      </c>
      <c r="AS67" s="28" t="str">
        <f>IF(AI67=0,"","+")</f>
        <v/>
      </c>
      <c r="AT67" s="6">
        <f>PI()/4*AI67^2*$O$12/$AX$16</f>
        <v>0</v>
      </c>
      <c r="AU67" s="28" t="s">
        <v>24</v>
      </c>
      <c r="AV67" s="15">
        <f>VALUE(AJ67)+VALUE(AL67)+VALUE(AN67)+VALUE(AP67)+VALUE(AR67)+VALUE(AT67)</f>
        <v>2094.3951023931954</v>
      </c>
      <c r="AW67" s="228">
        <f>MAX(0.3*$AJ$14^(2/3)/$AJ$16*0.26*100,0.13)</f>
        <v>0.15723814702688016</v>
      </c>
      <c r="AX67" s="6">
        <f>AW67/100*$O$12*BK67</f>
        <v>1426.1499935338031</v>
      </c>
      <c r="AY67" s="6"/>
      <c r="AZ67" s="6"/>
      <c r="BA67" s="24" t="str">
        <f>IF(BB67=0,"","+")</f>
        <v/>
      </c>
      <c r="BB67" s="24"/>
      <c r="BC67" s="28" t="s">
        <v>24</v>
      </c>
      <c r="BD67" s="15">
        <f>AX67+AZ67+BB67</f>
        <v>1426.1499935338031</v>
      </c>
      <c r="BE67" s="2">
        <f>(R67-($AX$14+$O$16+T67/2))</f>
        <v>907</v>
      </c>
      <c r="BF67" s="3">
        <f>IF(W67=0,0,(R67-($AX$14+T67/2+$O$16+$BI$16)))</f>
        <v>0</v>
      </c>
      <c r="BG67" s="3">
        <f>IF(Z67=0,0,(R67-($AX$14+T67/2+$BI$16+$O$16+$BI$17)))</f>
        <v>0</v>
      </c>
      <c r="BH67" s="3">
        <f>IF(AC67=0,0,(R67-($AX$14+T67/2+$O$16+$BI$16+$BI$17+$BI$18)))</f>
        <v>0</v>
      </c>
      <c r="BI67" s="3">
        <f>IF(AF67=0,0,(R67-($AX$14+T67/2+$O$16+$BI$16+$BI$17+$BI$18+$BL$16)))</f>
        <v>0</v>
      </c>
      <c r="BJ67" s="3">
        <f>IF(AI67=0,0,(R67-($AX$14+T67/2+$O$16+$BI$16+$BI$17+$BI$18+$BL$16+$BL$17)))</f>
        <v>0</v>
      </c>
      <c r="BK67" s="6">
        <f>(BE67*AJ67+BF67*AL67+BG67*AN67+BH67*AP67+BI67*AR67+BJ67*AT67)/AV67</f>
        <v>907</v>
      </c>
      <c r="BL67" s="175">
        <f>ABS(N67)*1000000/$O$12/BK67^2</f>
        <v>0.26135083127798125</v>
      </c>
      <c r="BM67" s="175">
        <f>BL67/$AJ$14</f>
        <v>8.1672134774369142E-3</v>
      </c>
      <c r="BN67" s="21">
        <f>IF(BM67&lt;0.167,0.5+SQRT(0.25-(BM67/1.134)),0.82)</f>
        <v>0.99274524017286925</v>
      </c>
      <c r="BO67" s="15">
        <f>ABS(N67)/(0.87*$AJ$16*BN67*BK67)*10^6</f>
        <v>548.91374073213149</v>
      </c>
      <c r="BP67" s="22">
        <v>229.68294540123281</v>
      </c>
      <c r="BQ67" s="175">
        <f>IF(Q67=0,2*ABS(P67*10^6)/$O$12/BP67/(BK67-BP67/3),Q67*BP67*1000/($O$12/2*BP67^2-(BE67-BP67)*AJ67*$AJ$18-(BF67-BP67)*AL67*$AJ$18-(BG67-BP67)*AN67*$AJ$18-(BH67-BP67)*AP67*$AJ$18-(BI67-BP67)*AR67*$AJ$18-(BJ67-BP67)*AT67*$AJ$18))</f>
        <v>2.5633740957056408</v>
      </c>
      <c r="BR67" s="3">
        <f>0.5*$O$12*BP67*BQ67 /1000</f>
        <v>294.38165623344662</v>
      </c>
      <c r="BS67" s="3">
        <f>($BQ67/$BP67)*(BE67-$BP67)*$AJ$18*AJ67/1000</f>
        <v>256.38165623344656</v>
      </c>
      <c r="BT67" s="3">
        <f>($BQ67/$BP67)*(BF67-$BP67)*$AJ$18*AL67/1000</f>
        <v>0</v>
      </c>
      <c r="BU67" s="3">
        <f>($BQ67/$BP67)*(BG67-$BP67)*$AJ$18*AN67/1000</f>
        <v>0</v>
      </c>
      <c r="BV67" s="3">
        <f>($BQ67/$BP67)*(BH67-$BP67)*$AJ$18*AP67/1000</f>
        <v>0</v>
      </c>
      <c r="BW67" s="3">
        <f>($BQ67/$BP67)*(BI67-$BP67)*$AJ$18*AR67/1000</f>
        <v>0</v>
      </c>
      <c r="BX67" s="3">
        <f>($BQ67/$BP67)*(BJ67-$BP67)*$AJ$18*AT67/1000</f>
        <v>0</v>
      </c>
      <c r="BY67" s="175">
        <f>IF(Q67=0,0,(0.5*$O$12*BP67*BQ67/1000*(R67/2-$BP67/3)+BS67*(BE67-R67/2)+BT67*(BF67-R67/2)+BU67*(BG67-R67/2)+BV67*(BH67-R67/2)+BW67*(BI67-R67/2)+BX67*(BJ67-R67/2))/1000-ABS(P67))</f>
        <v>1.3578472305653122E-5</v>
      </c>
      <c r="BZ67" s="10"/>
      <c r="CA67" s="176">
        <f>ABS(P67)/(BK67-BP67/3)/AV67*10^6-Q67*(R67/2-BP67/3)/(BK67-BP67/3)/AV67*1000</f>
        <v>122.41321591591353</v>
      </c>
      <c r="CB67" s="177">
        <f>(AV67/($O$12*MIN(2.5*(R67-BK67),(R67-BP67)/3,R67/2)-AV67))</f>
        <v>9.0900353892170004E-3</v>
      </c>
      <c r="CC67" s="177">
        <f>3.4*($O$16+$AX$14)+0.425*0.8*0.5*(T67^2+W67^2+Z67^2+AC67^2+AF67^2+AI67^2)/(T67+W67+Z67+AC67+AF67+AI67)/CB67</f>
        <v>656.23594754242981</v>
      </c>
      <c r="CD67" s="177">
        <f>MAX(0.6*CA67/$AJ$17,(CA67-0.4*0.3*$AJ$14^(2/3)/CB67*(1+$AJ$17/$AJ$15*CB67))/$AJ$17)</f>
        <v>0.36723964774774054</v>
      </c>
      <c r="CE67" s="178">
        <f>CC67*CD67/1000</f>
        <v>0.24099585821488664</v>
      </c>
      <c r="CF67" s="23" t="str">
        <f>IF(AND(AV67&gt;=BD67,AV67&gt;=BO67,CE67&lt;=(+IF(CO67="External",0.25,0.3))),"O.K", "Not O.K")</f>
        <v>O.K</v>
      </c>
      <c r="CG67" s="28"/>
      <c r="CH67" s="179" t="str">
        <f>IF(O67&lt;0.2*$AJ$14*R67*$O$12/1000,"N &lt; 0.2fckAc - OK!","TBA")</f>
        <v>N &lt; 0.2fckAc - OK!</v>
      </c>
      <c r="CI67" s="24"/>
      <c r="CJ67" s="25"/>
      <c r="CK67" s="6">
        <f t="shared" si="10"/>
        <v>113</v>
      </c>
      <c r="CL67" s="8" t="s">
        <v>72</v>
      </c>
      <c r="CM67" s="6">
        <f t="shared" si="11"/>
        <v>213</v>
      </c>
      <c r="CN67" s="26" t="s">
        <v>145</v>
      </c>
      <c r="CO67" s="27" t="s">
        <v>106</v>
      </c>
      <c r="CP67" s="2">
        <v>215</v>
      </c>
      <c r="CQ67" s="15">
        <v>45</v>
      </c>
      <c r="CR67" s="3">
        <v>229</v>
      </c>
      <c r="CS67" s="15">
        <v>38</v>
      </c>
      <c r="CT67" s="20">
        <v>1000</v>
      </c>
      <c r="CU67" s="2">
        <v>113</v>
      </c>
      <c r="CV67" s="15">
        <v>213</v>
      </c>
      <c r="CW67" s="6"/>
      <c r="CX67" s="278"/>
      <c r="CY67" s="6"/>
      <c r="CZ67" s="6"/>
      <c r="DA67" s="6"/>
      <c r="DB67" s="6"/>
      <c r="DC67" s="6"/>
      <c r="DD67" s="6"/>
      <c r="DE67" s="6"/>
      <c r="DF67" s="6"/>
      <c r="DG67" s="6"/>
      <c r="DH67" s="6"/>
      <c r="DI67" s="6"/>
      <c r="DJ67" s="212"/>
      <c r="DK67" s="13"/>
      <c r="DL67" s="13"/>
      <c r="DM67" s="202"/>
      <c r="DN67" s="206">
        <f>IF(CO67="external",T67,0)</f>
        <v>0</v>
      </c>
      <c r="DO67" s="206">
        <f>IF(CO67="external",W67,0)</f>
        <v>0</v>
      </c>
      <c r="DP67" s="206">
        <f>IF(CO67="external",Z67,0)</f>
        <v>0</v>
      </c>
      <c r="DQ67" s="206">
        <f>IF(CO67="external",AC67,0)</f>
        <v>0</v>
      </c>
      <c r="DR67" s="206">
        <f>IF(CO67="external",AF67,0)</f>
        <v>0</v>
      </c>
      <c r="DS67" s="207">
        <f>IF(CO67="external",AI67,0)</f>
        <v>0</v>
      </c>
      <c r="DT67" s="208"/>
      <c r="DU67" s="207">
        <f>IF(CO67="internal",T67,0)</f>
        <v>20</v>
      </c>
      <c r="DV67" s="207">
        <f>IF(CO67="internal",W67,0)</f>
        <v>0</v>
      </c>
      <c r="DW67" s="207">
        <f>IF(CO67="internal",Z67,0)</f>
        <v>0</v>
      </c>
      <c r="DX67" s="207">
        <f>IF(CO67="internal",AC67,0)</f>
        <v>0</v>
      </c>
      <c r="DY67" s="207">
        <f>IF(CO67="internal",AF67,0)</f>
        <v>0</v>
      </c>
      <c r="DZ67" s="207">
        <f>IF(CO67="internal",AI67,0)</f>
        <v>0</v>
      </c>
    </row>
    <row r="68" spans="1:130" s="7" customFormat="1" x14ac:dyDescent="0.3">
      <c r="B68" s="19">
        <f>+CI68</f>
        <v>0</v>
      </c>
      <c r="C68" s="6">
        <f t="shared" si="47"/>
        <v>0</v>
      </c>
      <c r="D68" s="6">
        <f t="shared" si="47"/>
        <v>112</v>
      </c>
      <c r="E68" s="6" t="str">
        <f t="shared" si="47"/>
        <v>--</v>
      </c>
      <c r="F68" s="6">
        <f>+CM68</f>
        <v>211</v>
      </c>
      <c r="G68" s="174" t="str">
        <f t="shared" si="48"/>
        <v>Min Fx</v>
      </c>
      <c r="H68" s="6" t="str">
        <f t="shared" si="48"/>
        <v>Internal</v>
      </c>
      <c r="I68" s="156"/>
      <c r="J68" s="10">
        <f t="shared" si="49"/>
        <v>-73</v>
      </c>
      <c r="K68" s="10">
        <f t="shared" si="49"/>
        <v>1</v>
      </c>
      <c r="L68" s="10">
        <f t="shared" si="49"/>
        <v>69</v>
      </c>
      <c r="M68" s="10">
        <f t="shared" si="49"/>
        <v>1</v>
      </c>
      <c r="N68" s="10">
        <f>IF(I68*J68&gt;=0,J68*$J$19+I68*$J$18,J68)</f>
        <v>-73</v>
      </c>
      <c r="O68" s="10">
        <f>(K68)*$J$19</f>
        <v>1</v>
      </c>
      <c r="P68" s="14">
        <f>IF(I68*L68&gt;=0,(L68)+I68,L68)</f>
        <v>69</v>
      </c>
      <c r="Q68" s="3">
        <f>(M68)</f>
        <v>1</v>
      </c>
      <c r="R68" s="20">
        <f t="shared" si="52"/>
        <v>1000</v>
      </c>
      <c r="S68" s="23"/>
      <c r="T68" s="12">
        <v>20</v>
      </c>
      <c r="U68" s="28"/>
      <c r="V68" s="28"/>
      <c r="W68" s="12"/>
      <c r="X68" s="28"/>
      <c r="Y68" s="28"/>
      <c r="Z68" s="12"/>
      <c r="AA68" s="28"/>
      <c r="AB68" s="28"/>
      <c r="AC68" s="158"/>
      <c r="AD68" s="28"/>
      <c r="AE68" s="28"/>
      <c r="AF68" s="158"/>
      <c r="AG68" s="28"/>
      <c r="AH68" s="28"/>
      <c r="AI68" s="29"/>
      <c r="AJ68" s="6">
        <f>PI()/4*T68^2*$O$12/$AX$16</f>
        <v>2094.3951023931954</v>
      </c>
      <c r="AK68" s="28" t="str">
        <f>IF(W68=0,"","+")</f>
        <v/>
      </c>
      <c r="AL68" s="6">
        <f>PI()/4*W68^2*$O$12/$AX$16</f>
        <v>0</v>
      </c>
      <c r="AM68" s="28" t="str">
        <f>IF(Z68=0,"","+")</f>
        <v/>
      </c>
      <c r="AN68" s="6">
        <f>PI()/4*Z68^2*$O$12/$AX$16</f>
        <v>0</v>
      </c>
      <c r="AO68" s="28" t="str">
        <f>IF(AC68=0,"","+")</f>
        <v/>
      </c>
      <c r="AP68" s="6">
        <f>PI()/4*AC68^2*$O$12/$AX$16</f>
        <v>0</v>
      </c>
      <c r="AQ68" s="28" t="str">
        <f>IF(AF68=0,"","+")</f>
        <v/>
      </c>
      <c r="AR68" s="6">
        <f>PI()/4*AF68^2*$O$12/$AX$16</f>
        <v>0</v>
      </c>
      <c r="AS68" s="28" t="str">
        <f>IF(AI68=0,"","+")</f>
        <v/>
      </c>
      <c r="AT68" s="6">
        <f>PI()/4*AI68^2*$O$12/$AX$16</f>
        <v>0</v>
      </c>
      <c r="AU68" s="28" t="s">
        <v>24</v>
      </c>
      <c r="AV68" s="15">
        <f>VALUE(AJ68)+VALUE(AL68)+VALUE(AN68)+VALUE(AP68)+VALUE(AR68)+VALUE(AT68)</f>
        <v>2094.3951023931954</v>
      </c>
      <c r="AW68" s="228">
        <f>MAX(0.3*$AJ$14^(2/3)/$AJ$16*0.26*100,0.13)</f>
        <v>0.15723814702688016</v>
      </c>
      <c r="AX68" s="6">
        <f>AW68/100*$O$12*BK68</f>
        <v>1426.1499935338031</v>
      </c>
      <c r="AY68" s="6"/>
      <c r="AZ68" s="6"/>
      <c r="BA68" s="24" t="str">
        <f>IF(BB68=0,"","+")</f>
        <v/>
      </c>
      <c r="BB68" s="24"/>
      <c r="BC68" s="28" t="s">
        <v>24</v>
      </c>
      <c r="BD68" s="15">
        <f>AX68+AZ68+BB68</f>
        <v>1426.1499935338031</v>
      </c>
      <c r="BE68" s="2">
        <f>(R68-($AX$14+$O$16+T68/2))</f>
        <v>907</v>
      </c>
      <c r="BF68" s="3">
        <f>IF(W68=0,0,(R68-($AX$14+T68/2+$O$16+$BI$16)))</f>
        <v>0</v>
      </c>
      <c r="BG68" s="3">
        <f>IF(Z68=0,0,(R68-($AX$14+T68/2+$BI$16+$O$16+$BI$17)))</f>
        <v>0</v>
      </c>
      <c r="BH68" s="3">
        <f>IF(AC68=0,0,(R68-($AX$14+T68/2+$O$16+$BI$16+$BI$17+$BI$18)))</f>
        <v>0</v>
      </c>
      <c r="BI68" s="3">
        <f>IF(AF68=0,0,(R68-($AX$14+T68/2+$O$16+$BI$16+$BI$17+$BI$18+$BL$16)))</f>
        <v>0</v>
      </c>
      <c r="BJ68" s="3">
        <f>IF(AI68=0,0,(R68-($AX$14+T68/2+$O$16+$BI$16+$BI$17+$BI$18+$BL$16+$BL$17)))</f>
        <v>0</v>
      </c>
      <c r="BK68" s="6">
        <f>(BE68*AJ68+BF68*AL68+BG68*AN68+BH68*AP68+BI68*AR68+BJ68*AT68)/AV68</f>
        <v>907</v>
      </c>
      <c r="BL68" s="175">
        <f>ABS(N68)*1000000/$O$12/BK68^2</f>
        <v>8.8737724108337815E-2</v>
      </c>
      <c r="BM68" s="175">
        <f>BL68/$AJ$14</f>
        <v>2.7730538783855567E-3</v>
      </c>
      <c r="BN68" s="21">
        <f>IF(BM68&lt;0.167,0.5+SQRT(0.25-(BM68/1.134)),0.82)</f>
        <v>0.99754861693058361</v>
      </c>
      <c r="BO68" s="15">
        <f>ABS(N68)/(0.87*$AJ$16*BN68*BK68)*10^6</f>
        <v>185.47793209758038</v>
      </c>
      <c r="BP68" s="22">
        <v>217.56718809214493</v>
      </c>
      <c r="BQ68" s="175">
        <f>IF(Q68=0,2*ABS(P68*10^6)/$O$12/BP68/(BK68-BP68/3),Q68*BP68*1000/($O$12/2*BP68^2-(BE68-BP68)*AJ68*$AJ$18-(BF68-BP68)*AL68*$AJ$18-(BG68-BP68)*AN68*$AJ$18-(BH68-BP68)*AP68*$AJ$18-(BI68-BP68)*AR68*$AJ$18-(BJ68-BP68)*AT68*$AJ$18))</f>
        <v>0.76458254664367165</v>
      </c>
      <c r="BR68" s="3">
        <f>0.5*$O$12*BP68*BQ68 /1000</f>
        <v>83.174037368797457</v>
      </c>
      <c r="BS68" s="3">
        <f>($BQ68/$BP68)*(BE68-$BP68)*$AJ$18*AJ68/1000</f>
        <v>82.174037368797428</v>
      </c>
      <c r="BT68" s="3">
        <f>($BQ68/$BP68)*(BF68-$BP68)*$AJ$18*AL68/1000</f>
        <v>0</v>
      </c>
      <c r="BU68" s="3">
        <f>($BQ68/$BP68)*(BG68-$BP68)*$AJ$18*AN68/1000</f>
        <v>0</v>
      </c>
      <c r="BV68" s="3">
        <f>($BQ68/$BP68)*(BH68-$BP68)*$AJ$18*AP68/1000</f>
        <v>0</v>
      </c>
      <c r="BW68" s="3">
        <f>($BQ68/$BP68)*(BI68-$BP68)*$AJ$18*AR68/1000</f>
        <v>0</v>
      </c>
      <c r="BX68" s="3">
        <f>($BQ68/$BP68)*(BJ68-$BP68)*$AJ$18*AT68/1000</f>
        <v>0</v>
      </c>
      <c r="BY68" s="175">
        <f>IF(Q68=0,0,(0.5*$O$12*BP68*BQ68/1000*(R68/2-$BP68/3)+BS68*(BE68-R68/2)+BT68*(BF68-R68/2)+BU68*(BG68-R68/2)+BV68*(BH68-R68/2)+BW68*(BI68-R68/2)+BX68*(BJ68-R68/2))/1000-ABS(P68))</f>
        <v>-1.2858403412963071E-4</v>
      </c>
      <c r="BZ68" s="10"/>
      <c r="CA68" s="176">
        <f>ABS(P68)/(BK68-BP68/3)/AV68*10^6-Q68*(R68/2-BP68/3)/(BK68-BP68/3)/AV68*1000</f>
        <v>39.235286295387581</v>
      </c>
      <c r="CB68" s="177">
        <f>(AV68/($O$12*MIN(2.5*(R68-BK68),(R68-BP68)/3,R68/2)-AV68))</f>
        <v>9.0900353892170004E-3</v>
      </c>
      <c r="CC68" s="177">
        <f>3.4*($O$16+$AX$14)+0.425*0.8*0.5*(T68^2+W68^2+Z68^2+AC68^2+AF68^2+AI68^2)/(T68+W68+Z68+AC68+AF68+AI68)/CB68</f>
        <v>656.23594754242981</v>
      </c>
      <c r="CD68" s="177">
        <f>MAX(0.6*CA68/$AJ$17,(CA68-0.4*0.3*$AJ$14^(2/3)/CB68*(1+$AJ$17/$AJ$15*CB68))/$AJ$17)</f>
        <v>0.11770585888616275</v>
      </c>
      <c r="CE68" s="178">
        <f>CC68*CD68/1000</f>
        <v>7.7242815837456541E-2</v>
      </c>
      <c r="CF68" s="23" t="str">
        <f>IF(AND(AV68&gt;=BD68,AV68&gt;=BO68,CE68&lt;=(+IF(CO68="External",0.25,0.3))),"O.K", "Not O.K")</f>
        <v>O.K</v>
      </c>
      <c r="CG68" s="28"/>
      <c r="CH68" s="179" t="str">
        <f>IF(O68&lt;0.2*$AJ$14*R68*$O$12/1000,"N &lt; 0.2fckAc - OK!","TBA")</f>
        <v>N &lt; 0.2fckAc - OK!</v>
      </c>
      <c r="CI68" s="24"/>
      <c r="CJ68" s="25"/>
      <c r="CK68" s="6">
        <f t="shared" si="10"/>
        <v>112</v>
      </c>
      <c r="CL68" s="8" t="s">
        <v>72</v>
      </c>
      <c r="CM68" s="6">
        <f t="shared" si="11"/>
        <v>211</v>
      </c>
      <c r="CN68" s="26" t="s">
        <v>146</v>
      </c>
      <c r="CO68" s="27" t="s">
        <v>106</v>
      </c>
      <c r="CP68" s="2">
        <v>-73</v>
      </c>
      <c r="CQ68" s="15">
        <v>1</v>
      </c>
      <c r="CR68" s="3">
        <v>69</v>
      </c>
      <c r="CS68" s="15">
        <v>1</v>
      </c>
      <c r="CT68" s="20">
        <v>1000</v>
      </c>
      <c r="CU68" s="2">
        <v>112</v>
      </c>
      <c r="CV68" s="15">
        <v>211</v>
      </c>
      <c r="CW68" s="6"/>
      <c r="CX68" s="278"/>
      <c r="CY68" s="6"/>
      <c r="CZ68" s="6"/>
      <c r="DA68" s="6"/>
      <c r="DB68" s="6"/>
      <c r="DC68" s="6"/>
      <c r="DD68" s="6"/>
      <c r="DE68" s="6"/>
      <c r="DF68" s="6"/>
      <c r="DG68" s="6"/>
      <c r="DH68" s="6"/>
      <c r="DI68" s="6"/>
      <c r="DJ68" s="212"/>
      <c r="DK68" s="13"/>
      <c r="DL68" s="13"/>
      <c r="DM68" s="202"/>
      <c r="DN68" s="206">
        <f>IF(CO68="external",T68,0)</f>
        <v>0</v>
      </c>
      <c r="DO68" s="206">
        <f>IF(CO68="external",W68,0)</f>
        <v>0</v>
      </c>
      <c r="DP68" s="206">
        <f>IF(CO68="external",Z68,0)</f>
        <v>0</v>
      </c>
      <c r="DQ68" s="206">
        <f>IF(CO68="external",AC68,0)</f>
        <v>0</v>
      </c>
      <c r="DR68" s="206">
        <f>IF(CO68="external",AF68,0)</f>
        <v>0</v>
      </c>
      <c r="DS68" s="207">
        <f>IF(CO68="external",AI68,0)</f>
        <v>0</v>
      </c>
      <c r="DT68" s="208"/>
      <c r="DU68" s="207">
        <f>IF(CO68="internal",T68,0)</f>
        <v>20</v>
      </c>
      <c r="DV68" s="207">
        <f>IF(CO68="internal",W68,0)</f>
        <v>0</v>
      </c>
      <c r="DW68" s="207">
        <f>IF(CO68="internal",Z68,0)</f>
        <v>0</v>
      </c>
      <c r="DX68" s="207">
        <f>IF(CO68="internal",AC68,0)</f>
        <v>0</v>
      </c>
      <c r="DY68" s="207">
        <f>IF(CO68="internal",AF68,0)</f>
        <v>0</v>
      </c>
      <c r="DZ68" s="207">
        <f>IF(CO68="internal",AI68,0)</f>
        <v>0</v>
      </c>
    </row>
    <row r="69" spans="1:130" s="7" customFormat="1" x14ac:dyDescent="0.3">
      <c r="B69" s="19"/>
      <c r="C69" s="6"/>
      <c r="D69" s="6"/>
      <c r="E69" s="6"/>
      <c r="F69" s="6">
        <v>103</v>
      </c>
      <c r="G69" s="232"/>
      <c r="H69" s="6"/>
      <c r="I69" s="24"/>
      <c r="J69" s="6"/>
      <c r="K69" s="6"/>
      <c r="L69" s="6"/>
      <c r="M69" s="6"/>
      <c r="N69" s="6"/>
      <c r="O69" s="6"/>
      <c r="P69" s="24"/>
      <c r="Q69" s="6"/>
      <c r="R69" s="6">
        <f t="shared" si="52"/>
        <v>0</v>
      </c>
      <c r="S69" s="28"/>
      <c r="T69" s="12"/>
      <c r="U69" s="28"/>
      <c r="V69" s="28"/>
      <c r="W69" s="12"/>
      <c r="X69" s="28"/>
      <c r="Y69" s="28"/>
      <c r="Z69" s="12"/>
      <c r="AA69" s="28"/>
      <c r="AB69" s="28"/>
      <c r="AC69" s="158"/>
      <c r="AD69" s="28"/>
      <c r="AE69" s="28"/>
      <c r="AF69" s="158"/>
      <c r="AG69" s="28"/>
      <c r="AH69" s="28"/>
      <c r="AI69" s="12"/>
      <c r="AJ69" s="6"/>
      <c r="AK69" s="28"/>
      <c r="AL69" s="6"/>
      <c r="AM69" s="28"/>
      <c r="AN69" s="6"/>
      <c r="AO69" s="28"/>
      <c r="AP69" s="6"/>
      <c r="AQ69" s="28"/>
      <c r="AR69" s="6"/>
      <c r="AS69" s="28"/>
      <c r="AT69" s="6"/>
      <c r="AU69" s="28"/>
      <c r="AV69" s="6"/>
      <c r="AW69" s="233"/>
      <c r="AX69" s="6"/>
      <c r="AY69" s="6"/>
      <c r="AZ69" s="6"/>
      <c r="BA69" s="24"/>
      <c r="BB69" s="24"/>
      <c r="BC69" s="28"/>
      <c r="BD69" s="6"/>
      <c r="BE69" s="6"/>
      <c r="BF69" s="6"/>
      <c r="BG69" s="6"/>
      <c r="BH69" s="6"/>
      <c r="BI69" s="6"/>
      <c r="BJ69" s="6"/>
      <c r="BK69" s="6"/>
      <c r="BL69" s="231"/>
      <c r="BM69" s="231"/>
      <c r="BN69" s="231"/>
      <c r="BO69" s="6"/>
      <c r="BP69" s="234"/>
      <c r="BQ69" s="231"/>
      <c r="BR69" s="6"/>
      <c r="BS69" s="6"/>
      <c r="BT69" s="6"/>
      <c r="BU69" s="6"/>
      <c r="BV69" s="6"/>
      <c r="BW69" s="6"/>
      <c r="BX69" s="6"/>
      <c r="BY69" s="231"/>
      <c r="BZ69" s="6"/>
      <c r="CA69" s="234"/>
      <c r="CB69" s="235"/>
      <c r="CC69" s="235"/>
      <c r="CD69" s="235"/>
      <c r="CE69" s="235"/>
      <c r="CF69" s="28"/>
      <c r="CG69" s="28"/>
      <c r="CH69" s="173"/>
      <c r="CI69" s="24"/>
      <c r="CJ69" s="25"/>
      <c r="CK69" s="6">
        <f t="shared" si="10"/>
        <v>0</v>
      </c>
      <c r="CL69" s="8" t="s">
        <v>72</v>
      </c>
      <c r="CM69" s="6">
        <f t="shared" si="11"/>
        <v>0</v>
      </c>
      <c r="CN69" s="236"/>
      <c r="CO69" s="24"/>
      <c r="CP69" s="6"/>
      <c r="CQ69" s="6"/>
      <c r="CR69" s="6"/>
      <c r="CS69" s="6"/>
      <c r="CT69" s="6"/>
      <c r="CU69" s="6"/>
      <c r="CV69" s="6"/>
      <c r="CW69" s="6"/>
      <c r="CX69" s="278"/>
      <c r="CY69" s="6"/>
      <c r="CZ69" s="6"/>
      <c r="DA69" s="6"/>
      <c r="DB69" s="6"/>
      <c r="DC69" s="6"/>
      <c r="DD69" s="6"/>
      <c r="DE69" s="6"/>
      <c r="DF69" s="6"/>
      <c r="DG69" s="6"/>
      <c r="DH69" s="6"/>
      <c r="DI69" s="6"/>
      <c r="DJ69" s="212"/>
      <c r="DK69" s="13"/>
      <c r="DL69" s="13"/>
      <c r="DM69" s="202"/>
      <c r="DN69" s="206"/>
      <c r="DO69" s="206"/>
      <c r="DP69" s="206"/>
      <c r="DQ69" s="206"/>
      <c r="DR69" s="206"/>
      <c r="DS69" s="207"/>
      <c r="DT69" s="208"/>
      <c r="DU69" s="207"/>
      <c r="DV69" s="207"/>
      <c r="DW69" s="207"/>
      <c r="DX69" s="207"/>
      <c r="DY69" s="207"/>
      <c r="DZ69" s="207"/>
    </row>
    <row r="70" spans="1:130" s="7" customFormat="1" ht="13.8" x14ac:dyDescent="0.25">
      <c r="A70" s="7" t="s">
        <v>141</v>
      </c>
      <c r="B70" s="19">
        <f>+CI70</f>
        <v>31</v>
      </c>
      <c r="C70" s="6">
        <f t="shared" ref="C70:E73" si="53">CJ70</f>
        <v>0</v>
      </c>
      <c r="D70" s="6">
        <f t="shared" si="53"/>
        <v>105</v>
      </c>
      <c r="E70" s="6" t="str">
        <f t="shared" si="53"/>
        <v>--</v>
      </c>
      <c r="F70" s="6">
        <f>+CM70</f>
        <v>205</v>
      </c>
      <c r="G70" s="174" t="str">
        <f t="shared" ref="G70:H73" si="54">CN70</f>
        <v>Max Mz</v>
      </c>
      <c r="H70" s="6" t="str">
        <f t="shared" si="54"/>
        <v>Internal</v>
      </c>
      <c r="I70" s="156"/>
      <c r="J70" s="10">
        <f t="shared" ref="J70:M73" si="55">(CP70)</f>
        <v>-355</v>
      </c>
      <c r="K70" s="10">
        <f t="shared" si="55"/>
        <v>4</v>
      </c>
      <c r="L70" s="10">
        <f t="shared" si="55"/>
        <v>-248</v>
      </c>
      <c r="M70" s="10">
        <f t="shared" si="55"/>
        <v>3</v>
      </c>
      <c r="N70" s="10">
        <f>IF(I70*J70&gt;=0,J70*$J$19+I70*$J$18,J70)</f>
        <v>-355</v>
      </c>
      <c r="O70" s="10">
        <f>(K70)*$J$19</f>
        <v>4</v>
      </c>
      <c r="P70" s="14">
        <f>IF(I70*L70&gt;=0,(L70)+I70,L70)</f>
        <v>-248</v>
      </c>
      <c r="Q70" s="3">
        <f>(M70)</f>
        <v>3</v>
      </c>
      <c r="R70" s="20">
        <f t="shared" si="52"/>
        <v>1000</v>
      </c>
      <c r="S70" s="23"/>
      <c r="T70" s="12">
        <v>20</v>
      </c>
      <c r="U70" s="28"/>
      <c r="V70" s="28"/>
      <c r="W70" s="12"/>
      <c r="X70" s="28"/>
      <c r="Y70" s="28"/>
      <c r="Z70" s="12"/>
      <c r="AA70" s="28"/>
      <c r="AB70" s="28"/>
      <c r="AC70" s="158"/>
      <c r="AD70" s="28"/>
      <c r="AE70" s="28"/>
      <c r="AF70" s="158"/>
      <c r="AG70" s="28"/>
      <c r="AH70" s="28"/>
      <c r="AI70" s="29"/>
      <c r="AJ70" s="6">
        <f>PI()/4*T70^2*$O$12/$AX$16</f>
        <v>2094.3951023931954</v>
      </c>
      <c r="AK70" s="28" t="str">
        <f>IF(W70=0,"","+")</f>
        <v/>
      </c>
      <c r="AL70" s="6">
        <f>PI()/4*W70^2*$O$12/$AX$16</f>
        <v>0</v>
      </c>
      <c r="AM70" s="28" t="str">
        <f>IF(Z70=0,"","+")</f>
        <v/>
      </c>
      <c r="AN70" s="6">
        <f>PI()/4*Z70^2*$O$12/$AX$16</f>
        <v>0</v>
      </c>
      <c r="AO70" s="28" t="str">
        <f>IF(AC70=0,"","+")</f>
        <v/>
      </c>
      <c r="AP70" s="6">
        <f>PI()/4*AC70^2*$O$12/$AX$16</f>
        <v>0</v>
      </c>
      <c r="AQ70" s="28" t="str">
        <f>IF(AF70=0,"","+")</f>
        <v/>
      </c>
      <c r="AR70" s="6">
        <f>PI()/4*AF70^2*$O$12/$AX$16</f>
        <v>0</v>
      </c>
      <c r="AS70" s="28" t="str">
        <f>IF(AI70=0,"","+")</f>
        <v/>
      </c>
      <c r="AT70" s="6">
        <f>PI()/4*AI70^2*$O$12/$AX$16</f>
        <v>0</v>
      </c>
      <c r="AU70" s="28" t="s">
        <v>24</v>
      </c>
      <c r="AV70" s="15">
        <f>VALUE(AJ70)+VALUE(AL70)+VALUE(AN70)+VALUE(AP70)+VALUE(AR70)+VALUE(AT70)</f>
        <v>2094.3951023931954</v>
      </c>
      <c r="AW70" s="228">
        <f>MAX(0.3*$AJ$14^(2/3)/$AJ$16*0.26*100,0.13)</f>
        <v>0.15723814702688016</v>
      </c>
      <c r="AX70" s="6">
        <f>AW70/100*$O$12*BK70</f>
        <v>1426.1499935338031</v>
      </c>
      <c r="AY70" s="6"/>
      <c r="AZ70" s="6"/>
      <c r="BA70" s="24" t="str">
        <f>IF(BB70=0,"","+")</f>
        <v/>
      </c>
      <c r="BB70" s="24"/>
      <c r="BC70" s="28" t="s">
        <v>24</v>
      </c>
      <c r="BD70" s="15">
        <f>AX70+AZ70+BB70</f>
        <v>1426.1499935338031</v>
      </c>
      <c r="BE70" s="2">
        <f>(R70-($AX$14+$O$16+T70/2))</f>
        <v>907</v>
      </c>
      <c r="BF70" s="3">
        <f>IF(W70=0,0,(R70-($AX$14+T70/2+$O$16+$BI$16)))</f>
        <v>0</v>
      </c>
      <c r="BG70" s="3">
        <f>IF(Z70=0,0,(R70-($AX$14+T70/2+$BI$16+$O$16+$BI$17)))</f>
        <v>0</v>
      </c>
      <c r="BH70" s="3">
        <f>IF(AC70=0,0,(R70-($AX$14+T70/2+$O$16+$BI$16+$BI$17+$BI$18)))</f>
        <v>0</v>
      </c>
      <c r="BI70" s="3">
        <f>IF(AF70=0,0,(R70-($AX$14+T70/2+$O$16+$BI$16+$BI$17+$BI$18+$BL$16)))</f>
        <v>0</v>
      </c>
      <c r="BJ70" s="3">
        <f>IF(AI70=0,0,(R70-($AX$14+T70/2+$O$16+$BI$16+$BI$17+$BI$18+$BL$16+$BL$17)))</f>
        <v>0</v>
      </c>
      <c r="BK70" s="6">
        <f>(BE70*AJ70+BF70*AL70+BG70*AN70+BH70*AP70+BI70*AR70+BJ70*AT70)/AV70</f>
        <v>907</v>
      </c>
      <c r="BL70" s="175">
        <f>ABS(N70)*1000000/$O$12/BK70^2</f>
        <v>0.43153276792410861</v>
      </c>
      <c r="BM70" s="175">
        <f>BL70/$AJ$14</f>
        <v>1.3485398997628394E-2</v>
      </c>
      <c r="BN70" s="21">
        <f>IF(BM70&lt;0.167,0.5+SQRT(0.25-(BM70/1.134)),0.82)</f>
        <v>0.98796322992486341</v>
      </c>
      <c r="BO70" s="15">
        <f>ABS(N70)/(0.87*$AJ$16*BN70*BK70)*10^6</f>
        <v>910.73290442599216</v>
      </c>
      <c r="BP70" s="22">
        <v>217.37940788131391</v>
      </c>
      <c r="BQ70" s="175">
        <f>IF(Q70=0,2*ABS(P70*10^6)/$O$12/BP70/(BK70-BP70/3),Q70*BP70*1000/($O$12/2*BP70^2-(BE70-BP70)*AJ70*$AJ$18-(BF70-BP70)*AL70*$AJ$18-(BG70-BP70)*AN70*$AJ$18-(BH70-BP70)*AP70*$AJ$18-(BI70-BP70)*AR70*$AJ$18-(BJ70-BP70)*AT70*$AJ$18))</f>
        <v>2.7475712744250504</v>
      </c>
      <c r="BR70" s="3">
        <f>0.5*$O$12*BP70*BQ70 /1000</f>
        <v>298.63270837311228</v>
      </c>
      <c r="BS70" s="3">
        <f>($BQ70/$BP70)*(BE70-$BP70)*$AJ$18*AJ70/1000</f>
        <v>295.63270837311228</v>
      </c>
      <c r="BT70" s="3">
        <f>($BQ70/$BP70)*(BF70-$BP70)*$AJ$18*AL70/1000</f>
        <v>0</v>
      </c>
      <c r="BU70" s="3">
        <f>($BQ70/$BP70)*(BG70-$BP70)*$AJ$18*AN70/1000</f>
        <v>0</v>
      </c>
      <c r="BV70" s="3">
        <f>($BQ70/$BP70)*(BH70-$BP70)*$AJ$18*AP70/1000</f>
        <v>0</v>
      </c>
      <c r="BW70" s="3">
        <f>($BQ70/$BP70)*(BI70-$BP70)*$AJ$18*AR70/1000</f>
        <v>0</v>
      </c>
      <c r="BX70" s="3">
        <f>($BQ70/$BP70)*(BJ70-$BP70)*$AJ$18*AT70/1000</f>
        <v>0</v>
      </c>
      <c r="BY70" s="175">
        <f>IF(Q70=0,0,(0.5*$O$12*BP70*BQ70/1000*(R70/2-$BP70/3)+BS70*(BE70-R70/2)+BT70*(BF70-R70/2)+BU70*(BG70-R70/2)+BV70*(BH70-R70/2)+BW70*(BI70-R70/2)+BX70*(BJ70-R70/2))/1000-ABS(P70))</f>
        <v>-6.1230059600347886E-7</v>
      </c>
      <c r="BZ70" s="10"/>
      <c r="CA70" s="176">
        <f>ABS(P70)/(BK70-BP70/3)/AV70*10^6-Q70*(R70/2-BP70/3)/(BK70-BP70/3)/AV70*1000</f>
        <v>141.15422098199178</v>
      </c>
      <c r="CB70" s="177">
        <f>(AV70/($O$12*MIN(2.5*(R70-BK70),(R70-BP70)/3,R70/2)-AV70))</f>
        <v>9.0900353892170004E-3</v>
      </c>
      <c r="CC70" s="177">
        <f>3.4*($O$16+$AX$14)+0.425*0.8*0.5*(T70^2+W70^2+Z70^2+AC70^2+AF70^2+AI70^2)/(T70+W70+Z70+AC70+AF70+AI70)/CB70</f>
        <v>656.23594754242981</v>
      </c>
      <c r="CD70" s="177">
        <f>MAX(0.6*CA70/$AJ$17,(CA70-0.4*0.3*$AJ$14^(2/3)/CB70*(1+$AJ$17/$AJ$15*CB70))/$AJ$17)</f>
        <v>0.42346266294597534</v>
      </c>
      <c r="CE70" s="178">
        <f>CC70*CD70/1000</f>
        <v>0.27789142186719273</v>
      </c>
      <c r="CF70" s="23" t="str">
        <f>IF(AND(AV70&gt;=BD70,AV70&gt;=BO70,CE70&lt;=(+IF(CO70="External",0.25,0.3))),"O.K", "Not O.K")</f>
        <v>O.K</v>
      </c>
      <c r="CG70" s="28"/>
      <c r="CH70" s="179" t="str">
        <f>IF(O70&lt;0.2*$AJ$14*R70*$O$12/1000,"N &lt; 0.2fckAc - OK!","TBA")</f>
        <v>N &lt; 0.2fckAc - OK!</v>
      </c>
      <c r="CI70" s="24">
        <v>31</v>
      </c>
      <c r="CJ70" s="25"/>
      <c r="CK70" s="6">
        <f t="shared" si="10"/>
        <v>105</v>
      </c>
      <c r="CL70" s="8" t="s">
        <v>72</v>
      </c>
      <c r="CM70" s="6">
        <f t="shared" si="11"/>
        <v>205</v>
      </c>
      <c r="CN70" s="26" t="s">
        <v>147</v>
      </c>
      <c r="CO70" s="27" t="s">
        <v>106</v>
      </c>
      <c r="CP70" s="2">
        <v>-355</v>
      </c>
      <c r="CQ70" s="15">
        <v>4</v>
      </c>
      <c r="CR70" s="3">
        <v>-248</v>
      </c>
      <c r="CS70" s="15">
        <v>3</v>
      </c>
      <c r="CT70" s="20">
        <v>1000</v>
      </c>
      <c r="CU70" s="2">
        <v>105</v>
      </c>
      <c r="CV70" s="15">
        <v>205</v>
      </c>
      <c r="CW70" s="6"/>
      <c r="CX70" s="278">
        <f>CI70</f>
        <v>31</v>
      </c>
      <c r="CY70" s="6">
        <f t="shared" ref="CY70:DD70" si="56">MAX(DN70:DN73)</f>
        <v>0</v>
      </c>
      <c r="CZ70" s="6">
        <f t="shared" si="56"/>
        <v>0</v>
      </c>
      <c r="DA70" s="6">
        <f t="shared" si="56"/>
        <v>0</v>
      </c>
      <c r="DB70" s="6">
        <f t="shared" si="56"/>
        <v>0</v>
      </c>
      <c r="DC70" s="6">
        <f t="shared" si="56"/>
        <v>0</v>
      </c>
      <c r="DD70" s="6">
        <f t="shared" si="56"/>
        <v>0</v>
      </c>
      <c r="DE70" s="6"/>
      <c r="DF70" s="6">
        <f t="shared" ref="DF70:DK70" si="57">MAX(DU70:DU73)</f>
        <v>40</v>
      </c>
      <c r="DG70" s="6">
        <f t="shared" si="57"/>
        <v>16</v>
      </c>
      <c r="DH70" s="6">
        <f t="shared" si="57"/>
        <v>0</v>
      </c>
      <c r="DI70" s="6">
        <f t="shared" si="57"/>
        <v>0</v>
      </c>
      <c r="DJ70" s="6">
        <f t="shared" si="57"/>
        <v>0</v>
      </c>
      <c r="DK70" s="6">
        <f t="shared" si="57"/>
        <v>0</v>
      </c>
      <c r="DL70" s="13"/>
      <c r="DM70" s="202">
        <f>CI70</f>
        <v>31</v>
      </c>
      <c r="DN70" s="206">
        <f>IF(CO70="external",T70,0)</f>
        <v>0</v>
      </c>
      <c r="DO70" s="206">
        <f>IF(CO70="external",W70,0)</f>
        <v>0</v>
      </c>
      <c r="DP70" s="206">
        <f>IF(CO70="external",Z70,0)</f>
        <v>0</v>
      </c>
      <c r="DQ70" s="206">
        <f>IF(CO70="external",AC70,0)</f>
        <v>0</v>
      </c>
      <c r="DR70" s="206">
        <f>IF(CO70="external",AF70,0)</f>
        <v>0</v>
      </c>
      <c r="DS70" s="207">
        <f>IF(CO70="external",AI70,0)</f>
        <v>0</v>
      </c>
      <c r="DT70" s="208"/>
      <c r="DU70" s="207">
        <f>IF(CO70="internal",T70,0)</f>
        <v>20</v>
      </c>
      <c r="DV70" s="207">
        <f>IF(CO70="internal",W70,0)</f>
        <v>0</v>
      </c>
      <c r="DW70" s="207">
        <f>IF(CO70="internal",Z70,0)</f>
        <v>0</v>
      </c>
      <c r="DX70" s="207">
        <f>IF(CO70="internal",AC70,0)</f>
        <v>0</v>
      </c>
      <c r="DY70" s="207">
        <f>IF(CO70="internal",AF70,0)</f>
        <v>0</v>
      </c>
      <c r="DZ70" s="207">
        <f>IF(CO70="internal",AI70,0)</f>
        <v>0</v>
      </c>
    </row>
    <row r="71" spans="1:130" s="7" customFormat="1" x14ac:dyDescent="0.3">
      <c r="B71" s="19">
        <f>+CI71</f>
        <v>0</v>
      </c>
      <c r="C71" s="6">
        <f t="shared" si="53"/>
        <v>0</v>
      </c>
      <c r="D71" s="6">
        <f t="shared" si="53"/>
        <v>103</v>
      </c>
      <c r="E71" s="6" t="str">
        <f t="shared" si="53"/>
        <v>--</v>
      </c>
      <c r="F71" s="6">
        <f>+CM71</f>
        <v>203</v>
      </c>
      <c r="G71" s="174" t="str">
        <f t="shared" si="54"/>
        <v>Min Mz</v>
      </c>
      <c r="H71" s="6" t="str">
        <f t="shared" si="54"/>
        <v>Internal</v>
      </c>
      <c r="I71" s="156"/>
      <c r="J71" s="10">
        <f t="shared" si="55"/>
        <v>-1969</v>
      </c>
      <c r="K71" s="10">
        <f t="shared" si="55"/>
        <v>2</v>
      </c>
      <c r="L71" s="10">
        <f t="shared" si="55"/>
        <v>-1429</v>
      </c>
      <c r="M71" s="10">
        <f t="shared" si="55"/>
        <v>1</v>
      </c>
      <c r="N71" s="10">
        <f>IF(I71*J71&gt;=0,J71*$J$19+I71*$J$18,J71)</f>
        <v>-1969</v>
      </c>
      <c r="O71" s="10">
        <f>(K71)*$J$19</f>
        <v>2</v>
      </c>
      <c r="P71" s="14">
        <f>IF(I71*L71&gt;=0,(L71)+I71,L71)</f>
        <v>-1429</v>
      </c>
      <c r="Q71" s="3">
        <f>(M71)</f>
        <v>1</v>
      </c>
      <c r="R71" s="20">
        <f t="shared" si="52"/>
        <v>1000</v>
      </c>
      <c r="S71" s="23"/>
      <c r="T71" s="12">
        <v>40</v>
      </c>
      <c r="U71" s="28"/>
      <c r="V71" s="28"/>
      <c r="W71" s="12">
        <v>16</v>
      </c>
      <c r="X71" s="28"/>
      <c r="Y71" s="28"/>
      <c r="Z71" s="12"/>
      <c r="AA71" s="28"/>
      <c r="AB71" s="28"/>
      <c r="AC71" s="158"/>
      <c r="AD71" s="28"/>
      <c r="AE71" s="28"/>
      <c r="AF71" s="158"/>
      <c r="AG71" s="28"/>
      <c r="AH71" s="28"/>
      <c r="AI71" s="29"/>
      <c r="AJ71" s="6">
        <f>PI()/4*T71^2*$O$12/$AX$16</f>
        <v>8377.5804095727817</v>
      </c>
      <c r="AK71" s="28" t="str">
        <f>IF(W71=0,"","+")</f>
        <v>+</v>
      </c>
      <c r="AL71" s="6">
        <f>PI()/4*W71^2*$O$12/$AX$16</f>
        <v>1340.4128655316449</v>
      </c>
      <c r="AM71" s="28" t="str">
        <f>IF(Z71=0,"","+")</f>
        <v/>
      </c>
      <c r="AN71" s="6">
        <f>PI()/4*Z71^2*$O$12/$AX$16</f>
        <v>0</v>
      </c>
      <c r="AO71" s="28" t="str">
        <f>IF(AC71=0,"","+")</f>
        <v/>
      </c>
      <c r="AP71" s="6">
        <f>PI()/4*AC71^2*$O$12/$AX$16</f>
        <v>0</v>
      </c>
      <c r="AQ71" s="28" t="str">
        <f>IF(AF71=0,"","+")</f>
        <v/>
      </c>
      <c r="AR71" s="6">
        <f>PI()/4*AF71^2*$O$12/$AX$16</f>
        <v>0</v>
      </c>
      <c r="AS71" s="28" t="str">
        <f>IF(AI71=0,"","+")</f>
        <v/>
      </c>
      <c r="AT71" s="6">
        <f>PI()/4*AI71^2*$O$12/$AX$16</f>
        <v>0</v>
      </c>
      <c r="AU71" s="28" t="s">
        <v>24</v>
      </c>
      <c r="AV71" s="15">
        <f>VALUE(AJ71)+VALUE(AL71)+VALUE(AN71)+VALUE(AP71)+VALUE(AR71)+VALUE(AT71)</f>
        <v>9717.9932751044271</v>
      </c>
      <c r="AW71" s="228">
        <f>MAX(0.3*$AJ$14^(2/3)/$AJ$16*0.26*100,0.13)</f>
        <v>0.15723814702688016</v>
      </c>
      <c r="AX71" s="6">
        <f>AW71/100*$O$12*BK71</f>
        <v>1393.0757626074592</v>
      </c>
      <c r="AY71" s="6"/>
      <c r="AZ71" s="6"/>
      <c r="BA71" s="24" t="str">
        <f>IF(BB71=0,"","+")</f>
        <v/>
      </c>
      <c r="BB71" s="24"/>
      <c r="BC71" s="28" t="s">
        <v>24</v>
      </c>
      <c r="BD71" s="15">
        <f>AX71+AZ71+BB71</f>
        <v>1393.0757626074592</v>
      </c>
      <c r="BE71" s="2">
        <f>(R71-($AX$14+$O$16+T71/2))</f>
        <v>897</v>
      </c>
      <c r="BF71" s="3">
        <f>IF(W71=0,0,(R71-($AX$14+T71/2+$O$16+$BI$16)))</f>
        <v>817</v>
      </c>
      <c r="BG71" s="3">
        <f>IF(Z71=0,0,(R71-($AX$14+T71/2+$BI$16+$O$16+$BI$17)))</f>
        <v>0</v>
      </c>
      <c r="BH71" s="3">
        <f>IF(AC71=0,0,(R71-($AX$14+T71/2+$O$16+$BI$16+$BI$17+$BI$18)))</f>
        <v>0</v>
      </c>
      <c r="BI71" s="3">
        <f>IF(AF71=0,0,(R71-($AX$14+T71/2+$O$16+$BI$16+$BI$17+$BI$18+$BL$16)))</f>
        <v>0</v>
      </c>
      <c r="BJ71" s="3">
        <f>IF(AI71=0,0,(R71-($AX$14+T71/2+$O$16+$BI$16+$BI$17+$BI$18+$BL$16+$BL$17)))</f>
        <v>0</v>
      </c>
      <c r="BK71" s="6">
        <f>(BE71*AJ71+BF71*AL71+BG71*AN71+BH71*AP71+BI71*AR71+BJ71*AT71)/AV71</f>
        <v>885.96551724137919</v>
      </c>
      <c r="BL71" s="175">
        <f>ABS(N71)*1000000/$O$12/BK71^2</f>
        <v>2.5084882907706301</v>
      </c>
      <c r="BM71" s="175">
        <f>BL71/$AJ$14</f>
        <v>7.839025908658219E-2</v>
      </c>
      <c r="BN71" s="21">
        <f>IF(BM71&lt;0.167,0.5+SQRT(0.25-(BM71/1.134)),0.82)</f>
        <v>0.92529141468127829</v>
      </c>
      <c r="BO71" s="15">
        <f>ABS(N71)/(0.87*$AJ$16*BN71*BK71)*10^6</f>
        <v>5521.5512505721799</v>
      </c>
      <c r="BP71" s="22">
        <v>393.71881143184476</v>
      </c>
      <c r="BQ71" s="175">
        <f>IF(Q71=0,2*ABS(P71*10^6)/$O$12/BP71/(BK71-BP71/3),Q71*BP71*1000/($O$12/2*BP71^2-(BE71-BP71)*AJ71*$AJ$18-(BF71-BP71)*AL71*$AJ$18-(BG71-BP71)*AN71*$AJ$18-(BH71-BP71)*AP71*$AJ$18-(BI71-BP71)*AR71*$AJ$18-(BJ71-BP71)*AT71*$AJ$18))</f>
        <v>9.6009864899286335</v>
      </c>
      <c r="BR71" s="3">
        <f>0.5*$O$12*BP71*BQ71 /1000</f>
        <v>1890.0444946939506</v>
      </c>
      <c r="BS71" s="3">
        <f>($BQ71/$BP71)*(BE71-$BP71)*$AJ$18*AJ71/1000</f>
        <v>1664.9917180356194</v>
      </c>
      <c r="BT71" s="3">
        <f>($BQ71/$BP71)*(BF71-$BP71)*$AJ$18*AL71/1000</f>
        <v>224.05277665833106</v>
      </c>
      <c r="BU71" s="3">
        <f>($BQ71/$BP71)*(BG71-$BP71)*$AJ$18*AN71/1000</f>
        <v>0</v>
      </c>
      <c r="BV71" s="3">
        <f>($BQ71/$BP71)*(BH71-$BP71)*$AJ$18*AP71/1000</f>
        <v>0</v>
      </c>
      <c r="BW71" s="3">
        <f>($BQ71/$BP71)*(BI71-$BP71)*$AJ$18*AR71/1000</f>
        <v>0</v>
      </c>
      <c r="BX71" s="3">
        <f>($BQ71/$BP71)*(BJ71-$BP71)*$AJ$18*AT71/1000</f>
        <v>0</v>
      </c>
      <c r="BY71" s="175">
        <f>IF(Q71=0,0,(0.5*$O$12*BP71*BQ71/1000*(R71/2-$BP71/3)+BS71*(BE71-R71/2)+BT71*(BF71-R71/2)+BU71*(BG71-R71/2)+BV71*(BH71-R71/2)+BW71*(BI71-R71/2)+BX71*(BJ71-R71/2))/1000-ABS(P71))</f>
        <v>-1.0602607289911248E-6</v>
      </c>
      <c r="BZ71" s="10"/>
      <c r="CA71" s="176">
        <f>ABS(P71)/(BK71-BP71/3)/AV71*10^6-Q71*(R71/2-BP71/3)/(BK71-BP71/3)/AV71*1000</f>
        <v>194.78445144918993</v>
      </c>
      <c r="CB71" s="177">
        <f>(AV71/($O$12*MIN(2.5*(R71-BK71),(R71-BP71)/3,R71/2)-AV71))</f>
        <v>5.0515691139947277E-2</v>
      </c>
      <c r="CC71" s="177">
        <f>3.4*($O$16+$AX$14)+0.425*0.8*0.5*(T71^2+W71^2+Z71^2+AC71^2+AF71^2+AI71^2)/(T71+W71+Z71+AC71+AF71+AI71)/CB71</f>
        <v>393.73535836373384</v>
      </c>
      <c r="CD71" s="177">
        <f>MAX(0.6*CA71/$AJ$17,(CA71-0.4*0.3*$AJ$14^(2/3)/CB71*(1+$AJ$17/$AJ$15*CB71))/$AJ$17)</f>
        <v>0.75626964574879163</v>
      </c>
      <c r="CE71" s="178">
        <f>CC71*CD71/1000</f>
        <v>0.2977700999885145</v>
      </c>
      <c r="CF71" s="23" t="str">
        <f>IF(AND(AV71&gt;=BD71,AV71&gt;=BO71,CE71&lt;=(+IF(CO71="External",0.25,0.3))),"O.K", "Not O.K")</f>
        <v>O.K</v>
      </c>
      <c r="CG71" s="28"/>
      <c r="CH71" s="179" t="str">
        <f>IF(O71&lt;0.2*$AJ$14*R71*$O$12/1000,"N &lt; 0.2fckAc - OK!","TBA")</f>
        <v>N &lt; 0.2fckAc - OK!</v>
      </c>
      <c r="CI71" s="24"/>
      <c r="CJ71" s="25"/>
      <c r="CK71" s="6">
        <f t="shared" si="10"/>
        <v>103</v>
      </c>
      <c r="CL71" s="8" t="s">
        <v>72</v>
      </c>
      <c r="CM71" s="6">
        <f t="shared" si="11"/>
        <v>203</v>
      </c>
      <c r="CN71" s="26" t="s">
        <v>148</v>
      </c>
      <c r="CO71" s="27" t="s">
        <v>106</v>
      </c>
      <c r="CP71" s="2">
        <v>-1969</v>
      </c>
      <c r="CQ71" s="15">
        <v>2</v>
      </c>
      <c r="CR71" s="3">
        <v>-1429</v>
      </c>
      <c r="CS71" s="15">
        <v>1</v>
      </c>
      <c r="CT71" s="20">
        <v>1000</v>
      </c>
      <c r="CU71" s="2">
        <v>103</v>
      </c>
      <c r="CV71" s="15">
        <v>203</v>
      </c>
      <c r="CW71" s="6"/>
      <c r="CX71" s="278"/>
      <c r="CY71" s="6"/>
      <c r="CZ71" s="6"/>
      <c r="DA71" s="6"/>
      <c r="DB71" s="6"/>
      <c r="DC71" s="6"/>
      <c r="DD71" s="6"/>
      <c r="DE71" s="6"/>
      <c r="DF71" s="6"/>
      <c r="DG71" s="6"/>
      <c r="DH71" s="6"/>
      <c r="DI71" s="6"/>
      <c r="DJ71" s="212"/>
      <c r="DK71" s="13"/>
      <c r="DL71" s="13"/>
      <c r="DM71" s="202"/>
      <c r="DN71" s="206">
        <f>IF(CO71="external",T71,0)</f>
        <v>0</v>
      </c>
      <c r="DO71" s="206">
        <f>IF(CO71="external",W71,0)</f>
        <v>0</v>
      </c>
      <c r="DP71" s="206">
        <f>IF(CO71="external",Z71,0)</f>
        <v>0</v>
      </c>
      <c r="DQ71" s="206">
        <f>IF(CO71="external",AC71,0)</f>
        <v>0</v>
      </c>
      <c r="DR71" s="206">
        <f>IF(CO71="external",AF71,0)</f>
        <v>0</v>
      </c>
      <c r="DS71" s="207">
        <f>IF(CO71="external",AI71,0)</f>
        <v>0</v>
      </c>
      <c r="DT71" s="208"/>
      <c r="DU71" s="207">
        <f>IF(CO71="internal",T71,0)</f>
        <v>40</v>
      </c>
      <c r="DV71" s="207">
        <f>IF(CO71="internal",W71,0)</f>
        <v>16</v>
      </c>
      <c r="DW71" s="207">
        <f>IF(CO71="internal",Z71,0)</f>
        <v>0</v>
      </c>
      <c r="DX71" s="207">
        <f>IF(CO71="internal",AC71,0)</f>
        <v>0</v>
      </c>
      <c r="DY71" s="207">
        <f>IF(CO71="internal",AF71,0)</f>
        <v>0</v>
      </c>
      <c r="DZ71" s="207">
        <f>IF(CO71="internal",AI71,0)</f>
        <v>0</v>
      </c>
    </row>
    <row r="72" spans="1:130" s="7" customFormat="1" x14ac:dyDescent="0.3">
      <c r="B72" s="19">
        <f>+CI72</f>
        <v>0</v>
      </c>
      <c r="C72" s="6">
        <f t="shared" si="53"/>
        <v>0</v>
      </c>
      <c r="D72" s="6">
        <f t="shared" si="53"/>
        <v>113</v>
      </c>
      <c r="E72" s="6" t="str">
        <f t="shared" si="53"/>
        <v>--</v>
      </c>
      <c r="F72" s="6">
        <f>+CM72</f>
        <v>213</v>
      </c>
      <c r="G72" s="174" t="str">
        <f t="shared" si="54"/>
        <v>Max Fx</v>
      </c>
      <c r="H72" s="6" t="str">
        <f t="shared" si="54"/>
        <v>Internal</v>
      </c>
      <c r="I72" s="156"/>
      <c r="J72" s="10">
        <f t="shared" si="55"/>
        <v>-1312</v>
      </c>
      <c r="K72" s="10">
        <f t="shared" si="55"/>
        <v>45</v>
      </c>
      <c r="L72" s="10">
        <f t="shared" si="55"/>
        <v>-968</v>
      </c>
      <c r="M72" s="10">
        <f t="shared" si="55"/>
        <v>38</v>
      </c>
      <c r="N72" s="10">
        <f>IF(I72*J72&gt;=0,J72*$J$19+I72*$J$18,J72)</f>
        <v>-1312</v>
      </c>
      <c r="O72" s="10">
        <f>(K72)*$J$19</f>
        <v>45</v>
      </c>
      <c r="P72" s="14">
        <f>IF(I72*L72&gt;=0,(L72)+I72,L72)</f>
        <v>-968</v>
      </c>
      <c r="Q72" s="3">
        <f>(M72)</f>
        <v>38</v>
      </c>
      <c r="R72" s="20">
        <f t="shared" si="52"/>
        <v>1000</v>
      </c>
      <c r="S72" s="23"/>
      <c r="T72" s="12">
        <v>40</v>
      </c>
      <c r="U72" s="28"/>
      <c r="V72" s="28"/>
      <c r="W72" s="12"/>
      <c r="X72" s="28"/>
      <c r="Y72" s="28"/>
      <c r="Z72" s="12"/>
      <c r="AA72" s="28"/>
      <c r="AB72" s="28"/>
      <c r="AC72" s="158"/>
      <c r="AD72" s="28"/>
      <c r="AE72" s="28"/>
      <c r="AF72" s="158"/>
      <c r="AG72" s="28"/>
      <c r="AH72" s="28"/>
      <c r="AI72" s="29"/>
      <c r="AJ72" s="6">
        <f>PI()/4*T72^2*$O$12/$AX$16</f>
        <v>8377.5804095727817</v>
      </c>
      <c r="AK72" s="28" t="str">
        <f>IF(W72=0,"","+")</f>
        <v/>
      </c>
      <c r="AL72" s="6">
        <f>PI()/4*W72^2*$O$12/$AX$16</f>
        <v>0</v>
      </c>
      <c r="AM72" s="28" t="str">
        <f>IF(Z72=0,"","+")</f>
        <v/>
      </c>
      <c r="AN72" s="6">
        <f>PI()/4*Z72^2*$O$12/$AX$16</f>
        <v>0</v>
      </c>
      <c r="AO72" s="28" t="str">
        <f>IF(AC72=0,"","+")</f>
        <v/>
      </c>
      <c r="AP72" s="6">
        <f>PI()/4*AC72^2*$O$12/$AX$16</f>
        <v>0</v>
      </c>
      <c r="AQ72" s="28" t="str">
        <f>IF(AF72=0,"","+")</f>
        <v/>
      </c>
      <c r="AR72" s="6">
        <f>PI()/4*AF72^2*$O$12/$AX$16</f>
        <v>0</v>
      </c>
      <c r="AS72" s="28" t="str">
        <f>IF(AI72=0,"","+")</f>
        <v/>
      </c>
      <c r="AT72" s="6">
        <f>PI()/4*AI72^2*$O$12/$AX$16</f>
        <v>0</v>
      </c>
      <c r="AU72" s="28" t="s">
        <v>24</v>
      </c>
      <c r="AV72" s="15">
        <f>VALUE(AJ72)+VALUE(AL72)+VALUE(AN72)+VALUE(AP72)+VALUE(AR72)+VALUE(AT72)</f>
        <v>8377.5804095727817</v>
      </c>
      <c r="AW72" s="228">
        <f>MAX(0.3*$AJ$14^(2/3)/$AJ$16*0.26*100,0.13)</f>
        <v>0.15723814702688016</v>
      </c>
      <c r="AX72" s="6">
        <f>AW72/100*$O$12*BK72</f>
        <v>1410.4261788311151</v>
      </c>
      <c r="AY72" s="6"/>
      <c r="AZ72" s="6"/>
      <c r="BA72" s="24" t="str">
        <f>IF(BB72=0,"","+")</f>
        <v/>
      </c>
      <c r="BB72" s="24"/>
      <c r="BC72" s="28" t="s">
        <v>24</v>
      </c>
      <c r="BD72" s="15">
        <f>AX72+AZ72+BB72</f>
        <v>1410.4261788311151</v>
      </c>
      <c r="BE72" s="2">
        <f>(R72-($AX$14+$O$16+T72/2))</f>
        <v>897</v>
      </c>
      <c r="BF72" s="3">
        <f>IF(W72=0,0,(R72-($AX$14+T72/2+$O$16+$BI$16)))</f>
        <v>0</v>
      </c>
      <c r="BG72" s="3">
        <f>IF(Z72=0,0,(R72-($AX$14+T72/2+$BI$16+$O$16+$BI$17)))</f>
        <v>0</v>
      </c>
      <c r="BH72" s="3">
        <f>IF(AC72=0,0,(R72-($AX$14+T72/2+$O$16+$BI$16+$BI$17+$BI$18)))</f>
        <v>0</v>
      </c>
      <c r="BI72" s="3">
        <f>IF(AF72=0,0,(R72-($AX$14+T72/2+$O$16+$BI$16+$BI$17+$BI$18+$BL$16)))</f>
        <v>0</v>
      </c>
      <c r="BJ72" s="3">
        <f>IF(AI72=0,0,(R72-($AX$14+T72/2+$O$16+$BI$16+$BI$17+$BI$18+$BL$16+$BL$17)))</f>
        <v>0</v>
      </c>
      <c r="BK72" s="6">
        <f>(BE72*AJ72+BF72*AL72+BG72*AN72+BH72*AP72+BI72*AR72+BJ72*AT72)/AV72</f>
        <v>897</v>
      </c>
      <c r="BL72" s="175">
        <f>ABS(N72)*1000000/$O$12/BK72^2</f>
        <v>1.6306056730660483</v>
      </c>
      <c r="BM72" s="175">
        <f>BL72/$AJ$14</f>
        <v>5.095642728331401E-2</v>
      </c>
      <c r="BN72" s="21">
        <f>IF(BM72&lt;0.167,0.5+SQRT(0.25-(BM72/1.134)),0.82)</f>
        <v>0.9528408980413281</v>
      </c>
      <c r="BO72" s="15">
        <f>ABS(N72)/(0.87*$AJ$16*BN72*BK72)*10^6</f>
        <v>3528.838193593167</v>
      </c>
      <c r="BP72" s="22">
        <v>380.17666068400484</v>
      </c>
      <c r="BQ72" s="175">
        <f>IF(Q72=0,2*ABS(P72*10^6)/$O$12/BP72/(BK72-BP72/3),Q72*BP72*1000/($O$12/2*BP72^2-(BE72-BP72)*AJ72*$AJ$18-(BF72-BP72)*AL72*$AJ$18-(BG72-BP72)*AN72*$AJ$18-(BH72-BP72)*AP72*$AJ$18-(BI72-BP72)*AR72*$AJ$18-(BJ72-BP72)*AT72*$AJ$18))</f>
        <v>6.7141426844939254</v>
      </c>
      <c r="BR72" s="3">
        <f>0.5*$O$12*BP72*BQ72 /1000</f>
        <v>1276.2801725734203</v>
      </c>
      <c r="BS72" s="3">
        <f>($BQ72/$BP72)*(BE72-$BP72)*$AJ$18*AJ72/1000</f>
        <v>1238.28017257342</v>
      </c>
      <c r="BT72" s="3">
        <f>($BQ72/$BP72)*(BF72-$BP72)*$AJ$18*AL72/1000</f>
        <v>0</v>
      </c>
      <c r="BU72" s="3">
        <f>($BQ72/$BP72)*(BG72-$BP72)*$AJ$18*AN72/1000</f>
        <v>0</v>
      </c>
      <c r="BV72" s="3">
        <f>($BQ72/$BP72)*(BH72-$BP72)*$AJ$18*AP72/1000</f>
        <v>0</v>
      </c>
      <c r="BW72" s="3">
        <f>($BQ72/$BP72)*(BI72-$BP72)*$AJ$18*AR72/1000</f>
        <v>0</v>
      </c>
      <c r="BX72" s="3">
        <f>($BQ72/$BP72)*(BJ72-$BP72)*$AJ$18*AT72/1000</f>
        <v>0</v>
      </c>
      <c r="BY72" s="175">
        <f>IF(Q72=0,0,(0.5*$O$12*BP72*BQ72/1000*(R72/2-$BP72/3)+BS72*(BE72-R72/2)+BT72*(BF72-R72/2)+BU72*(BG72-R72/2)+BV72*(BH72-R72/2)+BW72*(BI72-R72/2)+BX72*(BJ72-R72/2))/1000-ABS(P72))</f>
        <v>3.4296350577278645E-6</v>
      </c>
      <c r="BZ72" s="10"/>
      <c r="CA72" s="176">
        <f>ABS(P72)/(BK72-BP72/3)/AV72*10^6-Q72*(R72/2-BP72/3)/(BK72-BP72/3)/AV72*1000</f>
        <v>147.80880726683256</v>
      </c>
      <c r="CB72" s="177">
        <f>(AV72/($O$12*MIN(2.5*(R72-BK72),(R72-BP72)/3,R72/2)-AV72))</f>
        <v>4.226187753691351E-2</v>
      </c>
      <c r="CC72" s="177">
        <f>3.4*($O$16+$AX$14)+0.425*0.8*0.5*(T72^2+W72^2+Z72^2+AC72^2+AF72^2+AI72^2)/(T72+W72+Z72+AC72+AF72+AI72)/CB72</f>
        <v>443.10151210297175</v>
      </c>
      <c r="CD72" s="177">
        <f>MAX(0.6*CA72/$AJ$17,(CA72-0.4*0.3*$AJ$14^(2/3)/CB72*(1+$AJ$17/$AJ$15*CB72))/$AJ$17)</f>
        <v>0.49801036788746145</v>
      </c>
      <c r="CE72" s="178">
        <f>CC72*CD72/1000</f>
        <v>0.2206691470538914</v>
      </c>
      <c r="CF72" s="23" t="str">
        <f>IF(AND(AV72&gt;=BD72,AV72&gt;=BO72,CE72&lt;=(+IF(CO72="External",0.25,0.3))),"O.K", "Not O.K")</f>
        <v>O.K</v>
      </c>
      <c r="CG72" s="28"/>
      <c r="CH72" s="179" t="str">
        <f>IF(O72&lt;0.2*$AJ$14*R72*$O$12/1000,"N &lt; 0.2fckAc - OK!","TBA")</f>
        <v>N &lt; 0.2fckAc - OK!</v>
      </c>
      <c r="CI72" s="24"/>
      <c r="CJ72" s="25"/>
      <c r="CK72" s="6">
        <f t="shared" si="10"/>
        <v>113</v>
      </c>
      <c r="CL72" s="8" t="s">
        <v>72</v>
      </c>
      <c r="CM72" s="6">
        <f t="shared" si="11"/>
        <v>213</v>
      </c>
      <c r="CN72" s="26" t="s">
        <v>145</v>
      </c>
      <c r="CO72" s="27" t="s">
        <v>106</v>
      </c>
      <c r="CP72" s="2">
        <v>-1312</v>
      </c>
      <c r="CQ72" s="15">
        <v>45</v>
      </c>
      <c r="CR72" s="3">
        <v>-968</v>
      </c>
      <c r="CS72" s="15">
        <v>38</v>
      </c>
      <c r="CT72" s="20">
        <v>1000</v>
      </c>
      <c r="CU72" s="2">
        <v>113</v>
      </c>
      <c r="CV72" s="15">
        <v>213</v>
      </c>
      <c r="CW72" s="6"/>
      <c r="CX72" s="278"/>
      <c r="CY72" s="6"/>
      <c r="CZ72" s="6"/>
      <c r="DA72" s="6"/>
      <c r="DB72" s="6"/>
      <c r="DC72" s="6"/>
      <c r="DD72" s="6"/>
      <c r="DE72" s="6"/>
      <c r="DF72" s="6"/>
      <c r="DG72" s="6"/>
      <c r="DH72" s="6"/>
      <c r="DI72" s="6"/>
      <c r="DJ72" s="212"/>
      <c r="DK72" s="13"/>
      <c r="DL72" s="13"/>
      <c r="DM72" s="202"/>
      <c r="DN72" s="206">
        <f>IF(CO72="external",T72,0)</f>
        <v>0</v>
      </c>
      <c r="DO72" s="206">
        <f>IF(CO72="external",W72,0)</f>
        <v>0</v>
      </c>
      <c r="DP72" s="206">
        <f>IF(CO72="external",Z72,0)</f>
        <v>0</v>
      </c>
      <c r="DQ72" s="206">
        <f>IF(CO72="external",AC72,0)</f>
        <v>0</v>
      </c>
      <c r="DR72" s="206">
        <f>IF(CO72="external",AF72,0)</f>
        <v>0</v>
      </c>
      <c r="DS72" s="207">
        <f>IF(CO72="external",AI72,0)</f>
        <v>0</v>
      </c>
      <c r="DT72" s="208"/>
      <c r="DU72" s="207">
        <f>IF(CO72="internal",T72,0)</f>
        <v>40</v>
      </c>
      <c r="DV72" s="207">
        <f>IF(CO72="internal",W72,0)</f>
        <v>0</v>
      </c>
      <c r="DW72" s="207">
        <f>IF(CO72="internal",Z72,0)</f>
        <v>0</v>
      </c>
      <c r="DX72" s="207">
        <f>IF(CO72="internal",AC72,0)</f>
        <v>0</v>
      </c>
      <c r="DY72" s="207">
        <f>IF(CO72="internal",AF72,0)</f>
        <v>0</v>
      </c>
      <c r="DZ72" s="207">
        <f>IF(CO72="internal",AI72,0)</f>
        <v>0</v>
      </c>
    </row>
    <row r="73" spans="1:130" s="7" customFormat="1" x14ac:dyDescent="0.3">
      <c r="B73" s="19">
        <f>+CI73</f>
        <v>0</v>
      </c>
      <c r="C73" s="6">
        <f t="shared" si="53"/>
        <v>0</v>
      </c>
      <c r="D73" s="6">
        <f t="shared" si="53"/>
        <v>112</v>
      </c>
      <c r="E73" s="6" t="str">
        <f t="shared" si="53"/>
        <v>--</v>
      </c>
      <c r="F73" s="6">
        <f>+CM73</f>
        <v>211</v>
      </c>
      <c r="G73" s="174" t="str">
        <f t="shared" si="54"/>
        <v>Min Fx</v>
      </c>
      <c r="H73" s="6" t="str">
        <f t="shared" si="54"/>
        <v>Internal</v>
      </c>
      <c r="I73" s="156"/>
      <c r="J73" s="10">
        <f t="shared" si="55"/>
        <v>-1373</v>
      </c>
      <c r="K73" s="10">
        <f t="shared" si="55"/>
        <v>1</v>
      </c>
      <c r="L73" s="10">
        <f t="shared" si="55"/>
        <v>-830</v>
      </c>
      <c r="M73" s="10">
        <f t="shared" si="55"/>
        <v>1</v>
      </c>
      <c r="N73" s="10">
        <f>IF(I73*J73&gt;=0,J73*$J$19+I73*$J$18,J73)</f>
        <v>-1373</v>
      </c>
      <c r="O73" s="10">
        <f>(K73)*$J$19</f>
        <v>1</v>
      </c>
      <c r="P73" s="14">
        <f>IF(I73*L73&gt;=0,(L73)+I73,L73)</f>
        <v>-830</v>
      </c>
      <c r="Q73" s="3">
        <f>(M73)</f>
        <v>1</v>
      </c>
      <c r="R73" s="20">
        <f t="shared" si="52"/>
        <v>1000</v>
      </c>
      <c r="S73" s="23"/>
      <c r="T73" s="12">
        <v>40</v>
      </c>
      <c r="U73" s="28"/>
      <c r="V73" s="28"/>
      <c r="W73" s="12"/>
      <c r="X73" s="28"/>
      <c r="Y73" s="28"/>
      <c r="Z73" s="12"/>
      <c r="AA73" s="28"/>
      <c r="AB73" s="28"/>
      <c r="AC73" s="158"/>
      <c r="AD73" s="28"/>
      <c r="AE73" s="28"/>
      <c r="AF73" s="158"/>
      <c r="AG73" s="28"/>
      <c r="AH73" s="28"/>
      <c r="AI73" s="29"/>
      <c r="AJ73" s="6">
        <f>PI()/4*T73^2*$O$12/$AX$16</f>
        <v>8377.5804095727817</v>
      </c>
      <c r="AK73" s="28" t="str">
        <f>IF(W73=0,"","+")</f>
        <v/>
      </c>
      <c r="AL73" s="6">
        <f>PI()/4*W73^2*$O$12/$AX$16</f>
        <v>0</v>
      </c>
      <c r="AM73" s="28" t="str">
        <f>IF(Z73=0,"","+")</f>
        <v/>
      </c>
      <c r="AN73" s="6">
        <f>PI()/4*Z73^2*$O$12/$AX$16</f>
        <v>0</v>
      </c>
      <c r="AO73" s="28" t="str">
        <f>IF(AC73=0,"","+")</f>
        <v/>
      </c>
      <c r="AP73" s="6">
        <f>PI()/4*AC73^2*$O$12/$AX$16</f>
        <v>0</v>
      </c>
      <c r="AQ73" s="28" t="str">
        <f>IF(AF73=0,"","+")</f>
        <v/>
      </c>
      <c r="AR73" s="6">
        <f>PI()/4*AF73^2*$O$12/$AX$16</f>
        <v>0</v>
      </c>
      <c r="AS73" s="28" t="str">
        <f>IF(AI73=0,"","+")</f>
        <v/>
      </c>
      <c r="AT73" s="6">
        <f>PI()/4*AI73^2*$O$12/$AX$16</f>
        <v>0</v>
      </c>
      <c r="AU73" s="28" t="s">
        <v>24</v>
      </c>
      <c r="AV73" s="15">
        <f>VALUE(AJ73)+VALUE(AL73)+VALUE(AN73)+VALUE(AP73)+VALUE(AR73)+VALUE(AT73)</f>
        <v>8377.5804095727817</v>
      </c>
      <c r="AW73" s="228">
        <f>MAX(0.3*$AJ$14^(2/3)/$AJ$16*0.26*100,0.13)</f>
        <v>0.15723814702688016</v>
      </c>
      <c r="AX73" s="6">
        <f>AW73/100*$O$12*BK73</f>
        <v>1410.4261788311151</v>
      </c>
      <c r="AY73" s="6"/>
      <c r="AZ73" s="6"/>
      <c r="BA73" s="24" t="str">
        <f>IF(BB73=0,"","+")</f>
        <v/>
      </c>
      <c r="BB73" s="24"/>
      <c r="BC73" s="28" t="s">
        <v>24</v>
      </c>
      <c r="BD73" s="15">
        <f>AX73+AZ73+BB73</f>
        <v>1410.4261788311151</v>
      </c>
      <c r="BE73" s="2">
        <f>(R73-($AX$14+$O$16+T73/2))</f>
        <v>897</v>
      </c>
      <c r="BF73" s="3">
        <f>IF(W73=0,0,(R73-($AX$14+T73/2+$O$16+$BI$16)))</f>
        <v>0</v>
      </c>
      <c r="BG73" s="3">
        <f>IF(Z73=0,0,(R73-($AX$14+T73/2+$BI$16+$O$16+$BI$17)))</f>
        <v>0</v>
      </c>
      <c r="BH73" s="3">
        <f>IF(AC73=0,0,(R73-($AX$14+T73/2+$O$16+$BI$16+$BI$17+$BI$18)))</f>
        <v>0</v>
      </c>
      <c r="BI73" s="3">
        <f>IF(AF73=0,0,(R73-($AX$14+T73/2+$O$16+$BI$16+$BI$17+$BI$18+$BL$16)))</f>
        <v>0</v>
      </c>
      <c r="BJ73" s="3">
        <f>IF(AI73=0,0,(R73-($AX$14+T73/2+$O$16+$BI$16+$BI$17+$BI$18+$BL$16+$BL$17)))</f>
        <v>0</v>
      </c>
      <c r="BK73" s="6">
        <f>(BE73*AJ73+BF73*AL73+BG73*AN73+BH73*AP73+BI73*AR73+BJ73*AT73)/AV73</f>
        <v>897</v>
      </c>
      <c r="BL73" s="175">
        <f>ABS(N73)*1000000/$O$12/BK73^2</f>
        <v>1.7064188941461007</v>
      </c>
      <c r="BM73" s="175">
        <f>BL73/$AJ$14</f>
        <v>5.3325590442065647E-2</v>
      </c>
      <c r="BN73" s="21">
        <f>IF(BM73&lt;0.167,0.5+SQRT(0.25-(BM73/1.134)),0.82)</f>
        <v>0.95052821199584714</v>
      </c>
      <c r="BO73" s="15">
        <f>ABS(N73)/(0.87*$AJ$16*BN73*BK73)*10^6</f>
        <v>3701.8926943814886</v>
      </c>
      <c r="BP73" s="22">
        <v>376.11689993279197</v>
      </c>
      <c r="BQ73" s="175">
        <f>IF(Q73=0,2*ABS(P73*10^6)/$O$12/BP73/(BK73-BP73/3),Q73*BP73*1000/($O$12/2*BP73^2-(BE73-BP73)*AJ73*$AJ$18-(BF73-BP73)*AL73*$AJ$18-(BG73-BP73)*AN73*$AJ$18-(BH73-BP73)*AP73*$AJ$18-(BI73-BP73)*AR73*$AJ$18-(BJ73-BP73)*AT73*$AJ$18))</f>
        <v>5.7224845218442395</v>
      </c>
      <c r="BR73" s="3">
        <f>0.5*$O$12*BP73*BQ73 /1000</f>
        <v>1076.1615691347204</v>
      </c>
      <c r="BS73" s="3">
        <f>($BQ73/$BP73)*(BE73-$BP73)*$AJ$18*AJ73/1000</f>
        <v>1075.1615691347201</v>
      </c>
      <c r="BT73" s="3">
        <f>($BQ73/$BP73)*(BF73-$BP73)*$AJ$18*AL73/1000</f>
        <v>0</v>
      </c>
      <c r="BU73" s="3">
        <f>($BQ73/$BP73)*(BG73-$BP73)*$AJ$18*AN73/1000</f>
        <v>0</v>
      </c>
      <c r="BV73" s="3">
        <f>($BQ73/$BP73)*(BH73-$BP73)*$AJ$18*AP73/1000</f>
        <v>0</v>
      </c>
      <c r="BW73" s="3">
        <f>($BQ73/$BP73)*(BI73-$BP73)*$AJ$18*AR73/1000</f>
        <v>0</v>
      </c>
      <c r="BX73" s="3">
        <f>($BQ73/$BP73)*(BJ73-$BP73)*$AJ$18*AT73/1000</f>
        <v>0</v>
      </c>
      <c r="BY73" s="175">
        <f>IF(Q73=0,0,(0.5*$O$12*BP73*BQ73/1000*(R73/2-$BP73/3)+BS73*(BE73-R73/2)+BT73*(BF73-R73/2)+BU73*(BG73-R73/2)+BV73*(BH73-R73/2)+BW73*(BI73-R73/2)+BX73*(BJ73-R73/2))/1000-ABS(P73))</f>
        <v>-9.2355607591798616E-4</v>
      </c>
      <c r="BZ73" s="10"/>
      <c r="CA73" s="176">
        <f>ABS(P73)/(BK73-BP73/3)/AV73*10^6-Q73*(R73/2-BP73/3)/(BK73-BP73/3)/AV73*1000</f>
        <v>128.33810163129374</v>
      </c>
      <c r="CB73" s="177">
        <f>(AV73/($O$12*MIN(2.5*(R73-BK73),(R73-BP73)/3,R73/2)-AV73))</f>
        <v>4.1975325538799034E-2</v>
      </c>
      <c r="CC73" s="177">
        <f>3.4*($O$16+$AX$14)+0.425*0.8*0.5*(T73^2+W73^2+Z73^2+AC73^2+AF73^2+AI73^2)/(T73+W73+Z73+AC73+AF73+AI73)/CB73</f>
        <v>444.19993478822596</v>
      </c>
      <c r="CD73" s="177">
        <f>MAX(0.6*CA73/$AJ$17,(CA73-0.4*0.3*$AJ$14^(2/3)/CB73*(1+$AJ$17/$AJ$15*CB73))/$AJ$17)</f>
        <v>0.39967995086541408</v>
      </c>
      <c r="CE73" s="178">
        <f>CC73*CD73/1000</f>
        <v>0.17753780811057829</v>
      </c>
      <c r="CF73" s="23" t="str">
        <f>IF(AND(AV73&gt;=BD73,AV73&gt;=BO73,CE73&lt;=(+IF(CO73="External",0.25,0.3))),"O.K", "Not O.K")</f>
        <v>O.K</v>
      </c>
      <c r="CG73" s="28"/>
      <c r="CH73" s="179" t="str">
        <f>IF(O73&lt;0.2*$AJ$14*R73*$O$12/1000,"N &lt; 0.2fckAc - OK!","TBA")</f>
        <v>N &lt; 0.2fckAc - OK!</v>
      </c>
      <c r="CI73" s="24"/>
      <c r="CJ73" s="25"/>
      <c r="CK73" s="6">
        <f t="shared" si="10"/>
        <v>112</v>
      </c>
      <c r="CL73" s="8" t="s">
        <v>72</v>
      </c>
      <c r="CM73" s="6">
        <f t="shared" si="11"/>
        <v>211</v>
      </c>
      <c r="CN73" s="26" t="s">
        <v>146</v>
      </c>
      <c r="CO73" s="27" t="s">
        <v>106</v>
      </c>
      <c r="CP73" s="2">
        <v>-1373</v>
      </c>
      <c r="CQ73" s="15">
        <v>1</v>
      </c>
      <c r="CR73" s="3">
        <v>-830</v>
      </c>
      <c r="CS73" s="15">
        <v>1</v>
      </c>
      <c r="CT73" s="20">
        <v>1000</v>
      </c>
      <c r="CU73" s="2">
        <v>112</v>
      </c>
      <c r="CV73" s="15">
        <v>211</v>
      </c>
      <c r="CW73" s="6"/>
      <c r="CX73" s="278"/>
      <c r="CY73" s="6"/>
      <c r="CZ73" s="6"/>
      <c r="DA73" s="6"/>
      <c r="DB73" s="6"/>
      <c r="DC73" s="6"/>
      <c r="DD73" s="6"/>
      <c r="DE73" s="6"/>
      <c r="DF73" s="6"/>
      <c r="DG73" s="6"/>
      <c r="DH73" s="6"/>
      <c r="DI73" s="6"/>
      <c r="DJ73" s="212"/>
      <c r="DK73" s="13"/>
      <c r="DL73" s="13"/>
      <c r="DM73" s="202"/>
      <c r="DN73" s="206">
        <f>IF(CO73="external",T73,0)</f>
        <v>0</v>
      </c>
      <c r="DO73" s="206">
        <f>IF(CO73="external",W73,0)</f>
        <v>0</v>
      </c>
      <c r="DP73" s="206">
        <f>IF(CO73="external",Z73,0)</f>
        <v>0</v>
      </c>
      <c r="DQ73" s="206">
        <f>IF(CO73="external",AC73,0)</f>
        <v>0</v>
      </c>
      <c r="DR73" s="206">
        <f>IF(CO73="external",AF73,0)</f>
        <v>0</v>
      </c>
      <c r="DS73" s="207">
        <f>IF(CO73="external",AI73,0)</f>
        <v>0</v>
      </c>
      <c r="DT73" s="208"/>
      <c r="DU73" s="207">
        <f>IF(CO73="internal",T73,0)</f>
        <v>40</v>
      </c>
      <c r="DV73" s="207">
        <f>IF(CO73="internal",W73,0)</f>
        <v>0</v>
      </c>
      <c r="DW73" s="207">
        <f>IF(CO73="internal",Z73,0)</f>
        <v>0</v>
      </c>
      <c r="DX73" s="207">
        <f>IF(CO73="internal",AC73,0)</f>
        <v>0</v>
      </c>
      <c r="DY73" s="207">
        <f>IF(CO73="internal",AF73,0)</f>
        <v>0</v>
      </c>
      <c r="DZ73" s="207">
        <f>IF(CO73="internal",AI73,0)</f>
        <v>0</v>
      </c>
    </row>
    <row r="74" spans="1:130" s="7" customFormat="1" x14ac:dyDescent="0.3">
      <c r="B74" s="298"/>
      <c r="C74" s="6"/>
      <c r="D74" s="6"/>
      <c r="E74" s="6"/>
      <c r="F74" s="6"/>
      <c r="G74" s="232"/>
      <c r="H74" s="6"/>
      <c r="I74" s="24"/>
      <c r="J74" s="6"/>
      <c r="K74" s="6"/>
      <c r="L74" s="6"/>
      <c r="M74" s="6"/>
      <c r="N74" s="6"/>
      <c r="O74" s="6"/>
      <c r="P74" s="24"/>
      <c r="Q74" s="6"/>
      <c r="R74" s="6"/>
      <c r="S74" s="28"/>
      <c r="T74" s="12"/>
      <c r="U74" s="28"/>
      <c r="V74" s="28"/>
      <c r="W74" s="12"/>
      <c r="X74" s="28"/>
      <c r="Y74" s="28"/>
      <c r="Z74" s="12"/>
      <c r="AA74" s="28"/>
      <c r="AB74" s="28"/>
      <c r="AC74" s="158"/>
      <c r="AD74" s="28"/>
      <c r="AE74" s="28"/>
      <c r="AF74" s="158"/>
      <c r="AG74" s="28"/>
      <c r="AH74" s="28"/>
      <c r="AI74" s="12"/>
      <c r="AJ74" s="6"/>
      <c r="AK74" s="28"/>
      <c r="AL74" s="6"/>
      <c r="AM74" s="28"/>
      <c r="AN74" s="6"/>
      <c r="AO74" s="28"/>
      <c r="AP74" s="6"/>
      <c r="AQ74" s="28"/>
      <c r="AR74" s="6"/>
      <c r="AS74" s="28"/>
      <c r="AT74" s="6"/>
      <c r="AU74" s="28"/>
      <c r="AV74" s="6"/>
      <c r="AW74" s="233"/>
      <c r="AX74" s="6"/>
      <c r="AY74" s="6"/>
      <c r="AZ74" s="6"/>
      <c r="BA74" s="24"/>
      <c r="BB74" s="24"/>
      <c r="BC74" s="28"/>
      <c r="BD74" s="6"/>
      <c r="BE74" s="6"/>
      <c r="BF74" s="6"/>
      <c r="BG74" s="6"/>
      <c r="BH74" s="6"/>
      <c r="BI74" s="6"/>
      <c r="BJ74" s="6"/>
      <c r="BK74" s="6"/>
      <c r="BL74" s="231"/>
      <c r="BM74" s="231"/>
      <c r="BN74" s="231"/>
      <c r="BO74" s="6"/>
      <c r="BP74" s="234"/>
      <c r="BQ74" s="231"/>
      <c r="BR74" s="6"/>
      <c r="BS74" s="6"/>
      <c r="BT74" s="6"/>
      <c r="BU74" s="6"/>
      <c r="BV74" s="6"/>
      <c r="BW74" s="6"/>
      <c r="BX74" s="6"/>
      <c r="BY74" s="231"/>
      <c r="BZ74" s="6"/>
      <c r="CA74" s="234"/>
      <c r="CB74" s="235"/>
      <c r="CC74" s="235"/>
      <c r="CD74" s="235"/>
      <c r="CE74" s="235"/>
      <c r="CF74" s="28"/>
      <c r="CG74" s="28"/>
      <c r="CH74" s="173"/>
      <c r="CI74" s="24"/>
      <c r="CJ74" s="25"/>
      <c r="CK74" s="6">
        <f t="shared" si="10"/>
        <v>0</v>
      </c>
      <c r="CL74" s="8" t="s">
        <v>72</v>
      </c>
      <c r="CM74" s="6">
        <f t="shared" si="11"/>
        <v>0</v>
      </c>
      <c r="CN74" s="236"/>
      <c r="CO74" s="24"/>
      <c r="CP74" s="6"/>
      <c r="CQ74" s="6"/>
      <c r="CR74" s="6"/>
      <c r="CS74" s="6"/>
      <c r="CT74" s="6"/>
      <c r="CU74" s="6"/>
      <c r="CV74" s="6"/>
      <c r="CW74" s="6"/>
      <c r="CX74" s="278"/>
      <c r="CY74" s="6"/>
      <c r="CZ74" s="6"/>
      <c r="DA74" s="6"/>
      <c r="DB74" s="6"/>
      <c r="DC74" s="6"/>
      <c r="DD74" s="6"/>
      <c r="DE74" s="6"/>
      <c r="DF74" s="6"/>
      <c r="DG74" s="6"/>
      <c r="DH74" s="6"/>
      <c r="DI74" s="6"/>
      <c r="DJ74" s="212"/>
      <c r="DK74" s="13"/>
      <c r="DL74" s="13"/>
      <c r="DM74" s="202"/>
      <c r="DN74" s="206"/>
      <c r="DO74" s="206"/>
      <c r="DP74" s="206"/>
      <c r="DQ74" s="206"/>
      <c r="DR74" s="206"/>
      <c r="DS74" s="207"/>
      <c r="DT74" s="208"/>
      <c r="DU74" s="207"/>
      <c r="DV74" s="207"/>
      <c r="DW74" s="207"/>
      <c r="DX74" s="207"/>
      <c r="DY74" s="207"/>
      <c r="DZ74" s="207"/>
    </row>
    <row r="75" spans="1:130" s="7" customFormat="1" ht="13.8" x14ac:dyDescent="0.25">
      <c r="A75" s="7" t="s">
        <v>141</v>
      </c>
      <c r="B75" s="19">
        <f>+CI75</f>
        <v>56</v>
      </c>
      <c r="C75" s="6">
        <f t="shared" ref="C75:E78" si="58">CJ75</f>
        <v>0</v>
      </c>
      <c r="D75" s="6">
        <f t="shared" si="58"/>
        <v>103</v>
      </c>
      <c r="E75" s="6" t="str">
        <f t="shared" si="58"/>
        <v>--</v>
      </c>
      <c r="F75" s="6">
        <f>+CM75</f>
        <v>203</v>
      </c>
      <c r="G75" s="174" t="str">
        <f t="shared" ref="G75:H78" si="59">CN75</f>
        <v>Max Mz</v>
      </c>
      <c r="H75" s="6" t="str">
        <f t="shared" si="59"/>
        <v>Internal</v>
      </c>
      <c r="I75" s="156"/>
      <c r="J75" s="10">
        <f t="shared" ref="J75:M78" si="60">(CP75)</f>
        <v>908</v>
      </c>
      <c r="K75" s="10">
        <f t="shared" si="60"/>
        <v>9</v>
      </c>
      <c r="L75" s="10">
        <f t="shared" si="60"/>
        <v>662</v>
      </c>
      <c r="M75" s="10">
        <f t="shared" si="60"/>
        <v>6</v>
      </c>
      <c r="N75" s="10">
        <f>IF(I75*J75&gt;=0,J75*$J$19+I75*$J$18,J75)</f>
        <v>908</v>
      </c>
      <c r="O75" s="10">
        <f>(K75)*$J$19</f>
        <v>9</v>
      </c>
      <c r="P75" s="14">
        <f>IF(I75*L75&gt;=0,(L75)+I75,L75)</f>
        <v>662</v>
      </c>
      <c r="Q75" s="3">
        <f>(M75)</f>
        <v>6</v>
      </c>
      <c r="R75" s="20">
        <f t="shared" ref="R75:R88" si="61">CT75</f>
        <v>1000</v>
      </c>
      <c r="S75" s="23"/>
      <c r="T75" s="12">
        <v>32</v>
      </c>
      <c r="U75" s="28"/>
      <c r="V75" s="28"/>
      <c r="W75" s="12"/>
      <c r="X75" s="28"/>
      <c r="Y75" s="28"/>
      <c r="Z75" s="12"/>
      <c r="AA75" s="28"/>
      <c r="AB75" s="28"/>
      <c r="AC75" s="158"/>
      <c r="AD75" s="28"/>
      <c r="AE75" s="28"/>
      <c r="AF75" s="158"/>
      <c r="AG75" s="28"/>
      <c r="AH75" s="28"/>
      <c r="AI75" s="29"/>
      <c r="AJ75" s="6">
        <f>PI()/4*T75^2*$O$12/$AX$16</f>
        <v>5361.6514621265796</v>
      </c>
      <c r="AK75" s="28" t="str">
        <f>IF(W75=0,"","+")</f>
        <v/>
      </c>
      <c r="AL75" s="6">
        <f>PI()/4*W75^2*$O$12/$AX$16</f>
        <v>0</v>
      </c>
      <c r="AM75" s="28" t="str">
        <f>IF(Z75=0,"","+")</f>
        <v/>
      </c>
      <c r="AN75" s="6">
        <f>PI()/4*Z75^2*$O$12/$AX$16</f>
        <v>0</v>
      </c>
      <c r="AO75" s="28" t="str">
        <f>IF(AC75=0,"","+")</f>
        <v/>
      </c>
      <c r="AP75" s="6">
        <f>PI()/4*AC75^2*$O$12/$AX$16</f>
        <v>0</v>
      </c>
      <c r="AQ75" s="28" t="str">
        <f>IF(AF75=0,"","+")</f>
        <v/>
      </c>
      <c r="AR75" s="6">
        <f>PI()/4*AF75^2*$O$12/$AX$16</f>
        <v>0</v>
      </c>
      <c r="AS75" s="28" t="str">
        <f>IF(AI75=0,"","+")</f>
        <v/>
      </c>
      <c r="AT75" s="6">
        <f>PI()/4*AI75^2*$O$12/$AX$16</f>
        <v>0</v>
      </c>
      <c r="AU75" s="28" t="s">
        <v>24</v>
      </c>
      <c r="AV75" s="15">
        <f>VALUE(AJ75)+VALUE(AL75)+VALUE(AN75)+VALUE(AP75)+VALUE(AR75)+VALUE(AT75)</f>
        <v>5361.6514621265796</v>
      </c>
      <c r="AW75" s="228">
        <f>MAX(0.3*$AJ$14^(2/3)/$AJ$16*0.26*100,0.13)</f>
        <v>0.15723814702688016</v>
      </c>
      <c r="AX75" s="6">
        <f>AW75/100*$O$12*BK75</f>
        <v>1416.7157047121905</v>
      </c>
      <c r="AY75" s="6"/>
      <c r="AZ75" s="6"/>
      <c r="BA75" s="24" t="str">
        <f>IF(BB75=0,"","+")</f>
        <v/>
      </c>
      <c r="BB75" s="24"/>
      <c r="BC75" s="28" t="s">
        <v>24</v>
      </c>
      <c r="BD75" s="15">
        <f>AX75+AZ75+BB75</f>
        <v>1416.7157047121905</v>
      </c>
      <c r="BE75" s="2">
        <f>(R75-($AX$14+$O$16+T75/2))</f>
        <v>901</v>
      </c>
      <c r="BF75" s="3">
        <f>IF(W75=0,0,(R75-($AX$14+T75/2+$O$16+$BI$16)))</f>
        <v>0</v>
      </c>
      <c r="BG75" s="3">
        <f>IF(Z75=0,0,(R75-($AX$14+T75/2+$BI$16+$O$16+$BI$17)))</f>
        <v>0</v>
      </c>
      <c r="BH75" s="3">
        <f>IF(AC75=0,0,(R75-($AX$14+T75/2+$O$16+$BI$16+$BI$17+$BI$18)))</f>
        <v>0</v>
      </c>
      <c r="BI75" s="3">
        <f>IF(AF75=0,0,(R75-($AX$14+T75/2+$O$16+$BI$16+$BI$17+$BI$18+$BL$16)))</f>
        <v>0</v>
      </c>
      <c r="BJ75" s="3">
        <f>IF(AI75=0,0,(R75-($AX$14+T75/2+$O$16+$BI$16+$BI$17+$BI$18+$BL$16+$BL$17)))</f>
        <v>0</v>
      </c>
      <c r="BK75" s="6">
        <f>(BE75*AJ75+BF75*AL75+BG75*AN75+BH75*AP75+BI75*AR75+BJ75*AT75)/AV75</f>
        <v>901.00000000000011</v>
      </c>
      <c r="BL75" s="175">
        <f>ABS(N75)*1000000/$O$12/BK75^2</f>
        <v>1.1185007163085532</v>
      </c>
      <c r="BM75" s="175">
        <f>BL75/$AJ$14</f>
        <v>3.4953147384642287E-2</v>
      </c>
      <c r="BN75" s="21">
        <f>IF(BM75&lt;0.167,0.5+SQRT(0.25-(BM75/1.134)),0.82)</f>
        <v>0.96816355978271984</v>
      </c>
      <c r="BO75" s="15">
        <f>ABS(N75)/(0.87*$AJ$16*BN75*BK75)*10^6</f>
        <v>2392.8918369811495</v>
      </c>
      <c r="BP75" s="22">
        <v>319.04355767788286</v>
      </c>
      <c r="BQ75" s="175">
        <f>IF(Q75=0,2*ABS(P75*10^6)/$O$12/BP75/(BK75-BP75/3),Q75*BP75*1000/($O$12/2*BP75^2-(BE75-BP75)*AJ75*$AJ$18-(BF75-BP75)*AL75*$AJ$18-(BG75-BP75)*AN75*$AJ$18-(BH75-BP75)*AP75*$AJ$18-(BI75-BP75)*AR75*$AJ$18-(BJ75-BP75)*AT75*$AJ$18))</f>
        <v>5.2412689154155112</v>
      </c>
      <c r="BR75" s="3">
        <f>0.5*$O$12*BP75*BQ75 /1000</f>
        <v>836.09654076033155</v>
      </c>
      <c r="BS75" s="3">
        <f>($BQ75/$BP75)*(BE75-$BP75)*$AJ$18*AJ75/1000</f>
        <v>830.09654076033144</v>
      </c>
      <c r="BT75" s="3">
        <f>($BQ75/$BP75)*(BF75-$BP75)*$AJ$18*AL75/1000</f>
        <v>0</v>
      </c>
      <c r="BU75" s="3">
        <f>($BQ75/$BP75)*(BG75-$BP75)*$AJ$18*AN75/1000</f>
        <v>0</v>
      </c>
      <c r="BV75" s="3">
        <f>($BQ75/$BP75)*(BH75-$BP75)*$AJ$18*AP75/1000</f>
        <v>0</v>
      </c>
      <c r="BW75" s="3">
        <f>($BQ75/$BP75)*(BI75-$BP75)*$AJ$18*AR75/1000</f>
        <v>0</v>
      </c>
      <c r="BX75" s="3">
        <f>($BQ75/$BP75)*(BJ75-$BP75)*$AJ$18*AT75/1000</f>
        <v>0</v>
      </c>
      <c r="BY75" s="175">
        <f>IF(Q75=0,0,(0.5*$O$12*BP75*BQ75/1000*(R75/2-$BP75/3)+BS75*(BE75-R75/2)+BT75*(BF75-R75/2)+BU75*(BG75-R75/2)+BV75*(BH75-R75/2)+BW75*(BI75-R75/2)+BX75*(BJ75-R75/2))/1000-ABS(P75))</f>
        <v>-8.8417056986145326E-5</v>
      </c>
      <c r="BZ75" s="10"/>
      <c r="CA75" s="176">
        <f>ABS(P75)/(BK75-BP75/3)/AV75*10^6-Q75*(R75/2-BP75/3)/(BK75-BP75/3)/AV75*1000</f>
        <v>154.82107665689259</v>
      </c>
      <c r="CB75" s="177">
        <f>(AV75/($O$12*MIN(2.5*(R75-BK75),(R75-BP75)/3,R75/2)-AV75))</f>
        <v>2.4192576577948273E-2</v>
      </c>
      <c r="CC75" s="177">
        <f>3.4*($O$16+$AX$14)+0.425*0.8*0.5*(T75^2+W75^2+Z75^2+AC75^2+AF75^2+AI75^2)/(T75+W75+Z75+AC75+AF75+AI75)/CB75</f>
        <v>507.06236562990171</v>
      </c>
      <c r="CD75" s="177">
        <f>MAX(0.6*CA75/$AJ$17,(CA75-0.4*0.3*$AJ$14^(2/3)/CB75*(1+$AJ$17/$AJ$15*CB75))/$AJ$17)</f>
        <v>0.46446322997067774</v>
      </c>
      <c r="CE75" s="178">
        <f>CC75*CD75/1000</f>
        <v>0.23551182413703692</v>
      </c>
      <c r="CF75" s="23" t="str">
        <f>IF(AND(AV75&gt;=BD75,AV75&gt;=BO75,CE75&lt;=(+IF(CO75="External",0.25,0.3))),"O.K", "Not O.K")</f>
        <v>O.K</v>
      </c>
      <c r="CG75" s="28"/>
      <c r="CH75" s="179" t="str">
        <f>IF(O75&lt;0.2*$AJ$14*R75*$O$12/1000,"N &lt; 0.2fckAc - OK!","TBA")</f>
        <v>N &lt; 0.2fckAc - OK!</v>
      </c>
      <c r="CI75" s="24">
        <v>56</v>
      </c>
      <c r="CJ75" s="25"/>
      <c r="CK75" s="6">
        <f t="shared" si="10"/>
        <v>103</v>
      </c>
      <c r="CL75" s="8" t="s">
        <v>72</v>
      </c>
      <c r="CM75" s="6">
        <f t="shared" si="11"/>
        <v>203</v>
      </c>
      <c r="CN75" s="26" t="s">
        <v>147</v>
      </c>
      <c r="CO75" s="27" t="s">
        <v>106</v>
      </c>
      <c r="CP75" s="2">
        <v>908</v>
      </c>
      <c r="CQ75" s="15">
        <v>9</v>
      </c>
      <c r="CR75" s="3">
        <v>662</v>
      </c>
      <c r="CS75" s="15">
        <v>6</v>
      </c>
      <c r="CT75" s="20">
        <v>1000</v>
      </c>
      <c r="CU75" s="2">
        <v>103</v>
      </c>
      <c r="CV75" s="15">
        <v>203</v>
      </c>
      <c r="CW75" s="6"/>
      <c r="CX75" s="278">
        <f>CI75</f>
        <v>56</v>
      </c>
      <c r="CY75" s="6">
        <f t="shared" ref="CY75:DD75" si="62">MAX(DN75:DN78)</f>
        <v>40</v>
      </c>
      <c r="CZ75" s="6">
        <f t="shared" si="62"/>
        <v>13</v>
      </c>
      <c r="DA75" s="6">
        <f t="shared" si="62"/>
        <v>0</v>
      </c>
      <c r="DB75" s="6">
        <f t="shared" si="62"/>
        <v>0</v>
      </c>
      <c r="DC75" s="6">
        <f t="shared" si="62"/>
        <v>0</v>
      </c>
      <c r="DD75" s="6">
        <f t="shared" si="62"/>
        <v>0</v>
      </c>
      <c r="DE75" s="6"/>
      <c r="DF75" s="6">
        <f t="shared" ref="DF75:DK75" si="63">MAX(DU75:DU78)</f>
        <v>32</v>
      </c>
      <c r="DG75" s="6">
        <f t="shared" si="63"/>
        <v>0</v>
      </c>
      <c r="DH75" s="6">
        <f t="shared" si="63"/>
        <v>0</v>
      </c>
      <c r="DI75" s="6">
        <f t="shared" si="63"/>
        <v>0</v>
      </c>
      <c r="DJ75" s="6">
        <f t="shared" si="63"/>
        <v>0</v>
      </c>
      <c r="DK75" s="6">
        <f t="shared" si="63"/>
        <v>0</v>
      </c>
      <c r="DL75" s="13"/>
      <c r="DM75" s="202">
        <f>CI75</f>
        <v>56</v>
      </c>
      <c r="DN75" s="206">
        <f>IF(CO75="external",T75,0)</f>
        <v>0</v>
      </c>
      <c r="DO75" s="206">
        <f>IF(CO75="external",W75,0)</f>
        <v>0</v>
      </c>
      <c r="DP75" s="206">
        <f>IF(CO75="external",Z75,0)</f>
        <v>0</v>
      </c>
      <c r="DQ75" s="206">
        <f>IF(CO75="external",AC75,0)</f>
        <v>0</v>
      </c>
      <c r="DR75" s="206">
        <f>IF(CO75="external",AF75,0)</f>
        <v>0</v>
      </c>
      <c r="DS75" s="207">
        <f>IF(CO75="external",AI75,0)</f>
        <v>0</v>
      </c>
      <c r="DT75" s="208"/>
      <c r="DU75" s="207">
        <f>IF(CO75="internal",T75,0)</f>
        <v>32</v>
      </c>
      <c r="DV75" s="207">
        <f>IF(CO75="internal",W75,0)</f>
        <v>0</v>
      </c>
      <c r="DW75" s="207">
        <f>IF(CO75="internal",Z75,0)</f>
        <v>0</v>
      </c>
      <c r="DX75" s="207">
        <f>IF(CO75="internal",AC75,0)</f>
        <v>0</v>
      </c>
      <c r="DY75" s="207">
        <f>IF(CO75="internal",AF75,0)</f>
        <v>0</v>
      </c>
      <c r="DZ75" s="207">
        <f>IF(CO75="internal",AI75,0)</f>
        <v>0</v>
      </c>
    </row>
    <row r="76" spans="1:130" s="7" customFormat="1" x14ac:dyDescent="0.3">
      <c r="B76" s="19">
        <f>+CI76</f>
        <v>0</v>
      </c>
      <c r="C76" s="6">
        <f t="shared" si="58"/>
        <v>0</v>
      </c>
      <c r="D76" s="6">
        <f t="shared" si="58"/>
        <v>103</v>
      </c>
      <c r="E76" s="6" t="str">
        <f t="shared" si="58"/>
        <v>--</v>
      </c>
      <c r="F76" s="6">
        <f>+CM76</f>
        <v>203</v>
      </c>
      <c r="G76" s="174" t="str">
        <f t="shared" si="59"/>
        <v>Min Mz</v>
      </c>
      <c r="H76" s="6" t="str">
        <f t="shared" si="59"/>
        <v>External</v>
      </c>
      <c r="I76" s="156"/>
      <c r="J76" s="10">
        <f t="shared" si="60"/>
        <v>-1454</v>
      </c>
      <c r="K76" s="10">
        <f t="shared" si="60"/>
        <v>9</v>
      </c>
      <c r="L76" s="10">
        <f t="shared" si="60"/>
        <v>-1054</v>
      </c>
      <c r="M76" s="10">
        <f t="shared" si="60"/>
        <v>6</v>
      </c>
      <c r="N76" s="10">
        <f>IF(I76*J76&gt;=0,J76*$J$19+I76*$J$18,J76)</f>
        <v>-1454</v>
      </c>
      <c r="O76" s="10">
        <f>(K76)*$J$19</f>
        <v>9</v>
      </c>
      <c r="P76" s="14">
        <f>IF(I76*L76&gt;=0,(L76)+I76,L76)</f>
        <v>-1054</v>
      </c>
      <c r="Q76" s="3">
        <f>(M76)</f>
        <v>6</v>
      </c>
      <c r="R76" s="20">
        <f t="shared" si="61"/>
        <v>1000</v>
      </c>
      <c r="S76" s="23"/>
      <c r="T76" s="12">
        <v>40</v>
      </c>
      <c r="U76" s="28"/>
      <c r="V76" s="28"/>
      <c r="W76" s="12">
        <v>13</v>
      </c>
      <c r="X76" s="28"/>
      <c r="Y76" s="28"/>
      <c r="Z76" s="12"/>
      <c r="AA76" s="28"/>
      <c r="AB76" s="28"/>
      <c r="AC76" s="158"/>
      <c r="AD76" s="28"/>
      <c r="AE76" s="28"/>
      <c r="AF76" s="158"/>
      <c r="AG76" s="28"/>
      <c r="AH76" s="28"/>
      <c r="AI76" s="29"/>
      <c r="AJ76" s="6">
        <f>PI()/4*T76^2*$O$12/$AX$16</f>
        <v>8377.5804095727817</v>
      </c>
      <c r="AK76" s="28" t="str">
        <f>IF(W76=0,"","+")</f>
        <v>+</v>
      </c>
      <c r="AL76" s="6">
        <f>PI()/4*W76^2*$O$12/$AX$16</f>
        <v>884.88193076112498</v>
      </c>
      <c r="AM76" s="28" t="str">
        <f>IF(Z76=0,"","+")</f>
        <v/>
      </c>
      <c r="AN76" s="6">
        <f>PI()/4*Z76^2*$O$12/$AX$16</f>
        <v>0</v>
      </c>
      <c r="AO76" s="28" t="str">
        <f>IF(AC76=0,"","+")</f>
        <v/>
      </c>
      <c r="AP76" s="6">
        <f>PI()/4*AC76^2*$O$12/$AX$16</f>
        <v>0</v>
      </c>
      <c r="AQ76" s="28" t="str">
        <f>IF(AF76=0,"","+")</f>
        <v/>
      </c>
      <c r="AR76" s="6">
        <f>PI()/4*AF76^2*$O$12/$AX$16</f>
        <v>0</v>
      </c>
      <c r="AS76" s="28" t="str">
        <f>IF(AI76=0,"","+")</f>
        <v/>
      </c>
      <c r="AT76" s="6">
        <f>PI()/4*AI76^2*$O$12/$AX$16</f>
        <v>0</v>
      </c>
      <c r="AU76" s="28" t="s">
        <v>24</v>
      </c>
      <c r="AV76" s="15">
        <f>VALUE(AJ76)+VALUE(AL76)+VALUE(AN76)+VALUE(AP76)+VALUE(AR76)+VALUE(AT76)</f>
        <v>9262.4623403339065</v>
      </c>
      <c r="AW76" s="228">
        <f>MAX(0.3*$AJ$14^(2/3)/$AJ$16*0.26*100,0.13)</f>
        <v>0.15723814702688016</v>
      </c>
      <c r="AX76" s="6">
        <f>AW76/100*$O$12*BK76</f>
        <v>1398.4088823483371</v>
      </c>
      <c r="AY76" s="6"/>
      <c r="AZ76" s="6"/>
      <c r="BA76" s="24" t="str">
        <f>IF(BB76=0,"","+")</f>
        <v/>
      </c>
      <c r="BB76" s="24"/>
      <c r="BC76" s="28" t="s">
        <v>24</v>
      </c>
      <c r="BD76" s="15">
        <f>AX76+AZ76+BB76</f>
        <v>1398.4088823483371</v>
      </c>
      <c r="BE76" s="2">
        <f>(R76-($AX$14+$O$16+T76/2))</f>
        <v>897</v>
      </c>
      <c r="BF76" s="3">
        <f>IF(W76=0,0,(R76-($AX$14+T76/2+$O$16+$BI$16)))</f>
        <v>817</v>
      </c>
      <c r="BG76" s="3">
        <f>IF(Z76=0,0,(R76-($AX$14+T76/2+$BI$16+$O$16+$BI$17)))</f>
        <v>0</v>
      </c>
      <c r="BH76" s="3">
        <f>IF(AC76=0,0,(R76-($AX$14+T76/2+$O$16+$BI$16+$BI$17+$BI$18)))</f>
        <v>0</v>
      </c>
      <c r="BI76" s="3">
        <f>IF(AF76=0,0,(R76-($AX$14+T76/2+$O$16+$BI$16+$BI$17+$BI$18+$BL$16)))</f>
        <v>0</v>
      </c>
      <c r="BJ76" s="3">
        <f>IF(AI76=0,0,(R76-($AX$14+T76/2+$O$16+$BI$16+$BI$17+$BI$18+$BL$16+$BL$17)))</f>
        <v>0</v>
      </c>
      <c r="BK76" s="6">
        <f>(BE76*AJ76+BF76*AL76+BG76*AN76+BH76*AP76+BI76*AR76+BJ76*AT76)/AV76</f>
        <v>889.35726399095529</v>
      </c>
      <c r="BL76" s="175">
        <f>ABS(N76)*1000000/$O$12/BK76^2</f>
        <v>1.8382809782653504</v>
      </c>
      <c r="BM76" s="175">
        <f>BL76/$AJ$14</f>
        <v>5.7446280570792201E-2</v>
      </c>
      <c r="BN76" s="21">
        <f>IF(BM76&lt;0.167,0.5+SQRT(0.25-(BM76/1.134)),0.82)</f>
        <v>0.94647721583364208</v>
      </c>
      <c r="BO76" s="15">
        <f>ABS(N76)/(0.87*$AJ$16*BN76*BK76)*10^6</f>
        <v>3970.8979781354001</v>
      </c>
      <c r="BP76" s="22">
        <v>388.47508054363698</v>
      </c>
      <c r="BQ76" s="175">
        <f>IF(Q76=0,2*ABS(P76*10^6)/$O$12/BP76/(BK76-BP76/3),Q76*BP76*1000/($O$12/2*BP76^2-(BE76-BP76)*AJ76*$AJ$18-(BF76-BP76)*AL76*$AJ$18-(BG76-BP76)*AN76*$AJ$18-(BH76-BP76)*AP76*$AJ$18-(BI76-BP76)*AR76*$AJ$18-(BJ76-BP76)*AT76*$AJ$18))</f>
        <v>7.1466806187429777</v>
      </c>
      <c r="BR76" s="3">
        <f>0.5*$O$12*BP76*BQ76 /1000</f>
        <v>1388.1536644929138</v>
      </c>
      <c r="BS76" s="3">
        <f>($BQ76/$BP76)*(BE76-$BP76)*$AJ$18*AJ76/1000</f>
        <v>1269.1855970659744</v>
      </c>
      <c r="BT76" s="3">
        <f>($BQ76/$BP76)*(BF76-$BP76)*$AJ$18*AL76/1000</f>
        <v>112.96806742693933</v>
      </c>
      <c r="BU76" s="3">
        <f>($BQ76/$BP76)*(BG76-$BP76)*$AJ$18*AN76/1000</f>
        <v>0</v>
      </c>
      <c r="BV76" s="3">
        <f>($BQ76/$BP76)*(BH76-$BP76)*$AJ$18*AP76/1000</f>
        <v>0</v>
      </c>
      <c r="BW76" s="3">
        <f>($BQ76/$BP76)*(BI76-$BP76)*$AJ$18*AR76/1000</f>
        <v>0</v>
      </c>
      <c r="BX76" s="3">
        <f>($BQ76/$BP76)*(BJ76-$BP76)*$AJ$18*AT76/1000</f>
        <v>0</v>
      </c>
      <c r="BY76" s="175">
        <f>IF(Q76=0,0,(0.5*$O$12*BP76*BQ76/1000*(R76/2-$BP76/3)+BS76*(BE76-R76/2)+BT76*(BF76-R76/2)+BU76*(BG76-R76/2)+BV76*(BH76-R76/2)+BW76*(BI76-R76/2)+BX76*(BJ76-R76/2))/1000-ABS(P76))</f>
        <v>2.2782378891861299E-5</v>
      </c>
      <c r="BZ76" s="10"/>
      <c r="CA76" s="176">
        <f>ABS(P76)/(BK76-BP76/3)/AV76*10^6-Q76*(R76/2-BP76/3)/(BK76-BP76/3)/AV76*1000</f>
        <v>149.43778670256205</v>
      </c>
      <c r="CB76" s="177">
        <f>(AV76/($O$12*MIN(2.5*(R76-BK76),(R76-BP76)/3,R76/2)-AV76))</f>
        <v>4.7602536203338409E-2</v>
      </c>
      <c r="CC76" s="177">
        <f>3.4*($O$16+$AX$14)+0.425*0.8*0.5*(T76^2+W76^2+Z76^2+AC76^2+AF76^2+AI76^2)/(T76+W76+Z76+AC76+AF76+AI76)/CB76</f>
        <v>401.3985006672458</v>
      </c>
      <c r="CD76" s="177">
        <f>MAX(0.6*CA76/$AJ$17,(CA76-0.4*0.3*$AJ$14^(2/3)/CB76*(1+$AJ$17/$AJ$15*CB76))/$AJ$17)</f>
        <v>0.52220990286697955</v>
      </c>
      <c r="CE76" s="178">
        <f>CC76*CD76/1000</f>
        <v>0.20961427204439365</v>
      </c>
      <c r="CF76" s="23" t="str">
        <f>IF(AND(AV76&gt;=BD76,AV76&gt;=BO76,CE76&lt;=(+IF(CO76="External",0.25,0.3))),"O.K", "Not O.K")</f>
        <v>O.K</v>
      </c>
      <c r="CG76" s="28"/>
      <c r="CH76" s="179" t="str">
        <f>IF(O76&lt;0.2*$AJ$14*R76*$O$12/1000,"N &lt; 0.2fckAc - OK!","TBA")</f>
        <v>N &lt; 0.2fckAc - OK!</v>
      </c>
      <c r="CI76" s="24"/>
      <c r="CJ76" s="25"/>
      <c r="CK76" s="6">
        <f t="shared" si="10"/>
        <v>103</v>
      </c>
      <c r="CL76" s="8" t="s">
        <v>72</v>
      </c>
      <c r="CM76" s="6">
        <f t="shared" si="11"/>
        <v>203</v>
      </c>
      <c r="CN76" s="26" t="s">
        <v>148</v>
      </c>
      <c r="CO76" s="27" t="s">
        <v>105</v>
      </c>
      <c r="CP76" s="2">
        <v>-1454</v>
      </c>
      <c r="CQ76" s="15">
        <v>9</v>
      </c>
      <c r="CR76" s="3">
        <v>-1054</v>
      </c>
      <c r="CS76" s="15">
        <v>6</v>
      </c>
      <c r="CT76" s="20">
        <v>1000</v>
      </c>
      <c r="CU76" s="2">
        <v>103</v>
      </c>
      <c r="CV76" s="15">
        <v>203</v>
      </c>
      <c r="CW76" s="6"/>
      <c r="CX76" s="278"/>
      <c r="CY76" s="6"/>
      <c r="CZ76" s="6"/>
      <c r="DA76" s="6"/>
      <c r="DB76" s="6"/>
      <c r="DC76" s="6"/>
      <c r="DD76" s="6"/>
      <c r="DE76" s="6"/>
      <c r="DF76" s="6"/>
      <c r="DG76" s="6"/>
      <c r="DH76" s="6"/>
      <c r="DI76" s="6"/>
      <c r="DJ76" s="212"/>
      <c r="DK76" s="13"/>
      <c r="DL76" s="13"/>
      <c r="DM76" s="202"/>
      <c r="DN76" s="206">
        <f>IF(CO76="external",T76,0)</f>
        <v>40</v>
      </c>
      <c r="DO76" s="206">
        <f>IF(CO76="external",W76,0)</f>
        <v>13</v>
      </c>
      <c r="DP76" s="206">
        <f>IF(CO76="external",Z76,0)</f>
        <v>0</v>
      </c>
      <c r="DQ76" s="206">
        <f>IF(CO76="external",AC76,0)</f>
        <v>0</v>
      </c>
      <c r="DR76" s="206">
        <f>IF(CO76="external",AF76,0)</f>
        <v>0</v>
      </c>
      <c r="DS76" s="207">
        <f>IF(CO76="external",AI76,0)</f>
        <v>0</v>
      </c>
      <c r="DT76" s="208"/>
      <c r="DU76" s="207">
        <f>IF(CO76="internal",T76,0)</f>
        <v>0</v>
      </c>
      <c r="DV76" s="207">
        <f>IF(CO76="internal",W76,0)</f>
        <v>0</v>
      </c>
      <c r="DW76" s="207">
        <f>IF(CO76="internal",Z76,0)</f>
        <v>0</v>
      </c>
      <c r="DX76" s="207">
        <f>IF(CO76="internal",AC76,0)</f>
        <v>0</v>
      </c>
      <c r="DY76" s="207">
        <f>IF(CO76="internal",AF76,0)</f>
        <v>0</v>
      </c>
      <c r="DZ76" s="207">
        <f>IF(CO76="internal",AI76,0)</f>
        <v>0</v>
      </c>
    </row>
    <row r="77" spans="1:130" s="7" customFormat="1" x14ac:dyDescent="0.3">
      <c r="C77" s="6">
        <f t="shared" si="58"/>
        <v>0</v>
      </c>
      <c r="D77" s="6">
        <f t="shared" si="58"/>
        <v>103</v>
      </c>
      <c r="E77" s="6" t="str">
        <f t="shared" si="58"/>
        <v>--</v>
      </c>
      <c r="F77" s="6">
        <f>+CM77</f>
        <v>203</v>
      </c>
      <c r="G77" s="174" t="str">
        <f t="shared" si="59"/>
        <v>Max Fx</v>
      </c>
      <c r="H77" s="6" t="str">
        <f t="shared" si="59"/>
        <v>External</v>
      </c>
      <c r="I77" s="156"/>
      <c r="J77" s="10">
        <f t="shared" si="60"/>
        <v>-1454</v>
      </c>
      <c r="K77" s="10">
        <f t="shared" si="60"/>
        <v>9</v>
      </c>
      <c r="L77" s="10">
        <f t="shared" si="60"/>
        <v>-1054</v>
      </c>
      <c r="M77" s="10">
        <f t="shared" si="60"/>
        <v>6</v>
      </c>
      <c r="N77" s="10">
        <f>IF(I77*J77&gt;=0,J77*$J$19+I77*$J$18,J77)</f>
        <v>-1454</v>
      </c>
      <c r="O77" s="10">
        <f>(K77)*$J$19</f>
        <v>9</v>
      </c>
      <c r="P77" s="14">
        <f>IF(I77*L77&gt;=0,(L77)+I77,L77)</f>
        <v>-1054</v>
      </c>
      <c r="Q77" s="3">
        <f>(M77)</f>
        <v>6</v>
      </c>
      <c r="R77" s="20">
        <f t="shared" si="61"/>
        <v>1000</v>
      </c>
      <c r="S77" s="23"/>
      <c r="T77" s="12">
        <v>40</v>
      </c>
      <c r="U77" s="28"/>
      <c r="V77" s="28"/>
      <c r="W77" s="12">
        <v>13</v>
      </c>
      <c r="X77" s="28"/>
      <c r="Y77" s="28"/>
      <c r="Z77" s="12"/>
      <c r="AA77" s="28"/>
      <c r="AB77" s="28"/>
      <c r="AC77" s="158"/>
      <c r="AD77" s="28"/>
      <c r="AE77" s="28"/>
      <c r="AF77" s="158"/>
      <c r="AG77" s="28"/>
      <c r="AH77" s="28"/>
      <c r="AI77" s="29"/>
      <c r="AJ77" s="6">
        <f>PI()/4*T77^2*$O$12/$AX$16</f>
        <v>8377.5804095727817</v>
      </c>
      <c r="AK77" s="28" t="str">
        <f>IF(W77=0,"","+")</f>
        <v>+</v>
      </c>
      <c r="AL77" s="6">
        <f>PI()/4*W77^2*$O$12/$AX$16</f>
        <v>884.88193076112498</v>
      </c>
      <c r="AM77" s="28" t="str">
        <f>IF(Z77=0,"","+")</f>
        <v/>
      </c>
      <c r="AN77" s="6">
        <f>PI()/4*Z77^2*$O$12/$AX$16</f>
        <v>0</v>
      </c>
      <c r="AO77" s="28" t="str">
        <f>IF(AC77=0,"","+")</f>
        <v/>
      </c>
      <c r="AP77" s="6">
        <f>PI()/4*AC77^2*$O$12/$AX$16</f>
        <v>0</v>
      </c>
      <c r="AQ77" s="28" t="str">
        <f>IF(AF77=0,"","+")</f>
        <v/>
      </c>
      <c r="AR77" s="6">
        <f>PI()/4*AF77^2*$O$12/$AX$16</f>
        <v>0</v>
      </c>
      <c r="AS77" s="28" t="str">
        <f>IF(AI77=0,"","+")</f>
        <v/>
      </c>
      <c r="AT77" s="6">
        <f>PI()/4*AI77^2*$O$12/$AX$16</f>
        <v>0</v>
      </c>
      <c r="AU77" s="28" t="s">
        <v>24</v>
      </c>
      <c r="AV77" s="15">
        <f>VALUE(AJ77)+VALUE(AL77)+VALUE(AN77)+VALUE(AP77)+VALUE(AR77)+VALUE(AT77)</f>
        <v>9262.4623403339065</v>
      </c>
      <c r="AW77" s="228">
        <f>MAX(0.3*$AJ$14^(2/3)/$AJ$16*0.26*100,0.13)</f>
        <v>0.15723814702688016</v>
      </c>
      <c r="AX77" s="6">
        <f>AW77/100*$O$12*BK77</f>
        <v>1398.4088823483371</v>
      </c>
      <c r="AY77" s="6"/>
      <c r="AZ77" s="6"/>
      <c r="BA77" s="24" t="str">
        <f>IF(BB77=0,"","+")</f>
        <v/>
      </c>
      <c r="BB77" s="24"/>
      <c r="BC77" s="28" t="s">
        <v>24</v>
      </c>
      <c r="BD77" s="15">
        <f>AX77+AZ77+BB77</f>
        <v>1398.4088823483371</v>
      </c>
      <c r="BE77" s="2">
        <f>(R77-($AX$14+$O$16+T77/2))</f>
        <v>897</v>
      </c>
      <c r="BF77" s="3">
        <f>IF(W77=0,0,(R77-($AX$14+T77/2+$O$16+$BI$16)))</f>
        <v>817</v>
      </c>
      <c r="BG77" s="3">
        <f>IF(Z77=0,0,(R77-($AX$14+T77/2+$BI$16+$O$16+$BI$17)))</f>
        <v>0</v>
      </c>
      <c r="BH77" s="3">
        <f>IF(AC77=0,0,(R77-($AX$14+T77/2+$O$16+$BI$16+$BI$17+$BI$18)))</f>
        <v>0</v>
      </c>
      <c r="BI77" s="3">
        <f>IF(AF77=0,0,(R77-($AX$14+T77/2+$O$16+$BI$16+$BI$17+$BI$18+$BL$16)))</f>
        <v>0</v>
      </c>
      <c r="BJ77" s="3">
        <f>IF(AI77=0,0,(R77-($AX$14+T77/2+$O$16+$BI$16+$BI$17+$BI$18+$BL$16+$BL$17)))</f>
        <v>0</v>
      </c>
      <c r="BK77" s="6">
        <f>(BE77*AJ77+BF77*AL77+BG77*AN77+BH77*AP77+BI77*AR77+BJ77*AT77)/AV77</f>
        <v>889.35726399095529</v>
      </c>
      <c r="BL77" s="175">
        <f>ABS(N77)*1000000/$O$12/BK77^2</f>
        <v>1.8382809782653504</v>
      </c>
      <c r="BM77" s="175">
        <f>BL77/$AJ$14</f>
        <v>5.7446280570792201E-2</v>
      </c>
      <c r="BN77" s="21">
        <f>IF(BM77&lt;0.167,0.5+SQRT(0.25-(BM77/1.134)),0.82)</f>
        <v>0.94647721583364208</v>
      </c>
      <c r="BO77" s="15">
        <f>ABS(N77)/(0.87*$AJ$16*BN77*BK77)*10^6</f>
        <v>3970.8979781354001</v>
      </c>
      <c r="BP77" s="22">
        <v>388.47508054363698</v>
      </c>
      <c r="BQ77" s="175">
        <f>IF(Q77=0,2*ABS(P77*10^6)/$O$12/BP77/(BK77-BP77/3),Q77*BP77*1000/($O$12/2*BP77^2-(BE77-BP77)*AJ77*$AJ$18-(BF77-BP77)*AL77*$AJ$18-(BG77-BP77)*AN77*$AJ$18-(BH77-BP77)*AP77*$AJ$18-(BI77-BP77)*AR77*$AJ$18-(BJ77-BP77)*AT77*$AJ$18))</f>
        <v>7.1466806187429777</v>
      </c>
      <c r="BR77" s="3">
        <f>0.5*$O$12*BP77*BQ77 /1000</f>
        <v>1388.1536644929138</v>
      </c>
      <c r="BS77" s="3">
        <f>($BQ77/$BP77)*(BE77-$BP77)*$AJ$18*AJ77/1000</f>
        <v>1269.1855970659744</v>
      </c>
      <c r="BT77" s="3">
        <f>($BQ77/$BP77)*(BF77-$BP77)*$AJ$18*AL77/1000</f>
        <v>112.96806742693933</v>
      </c>
      <c r="BU77" s="3">
        <f>($BQ77/$BP77)*(BG77-$BP77)*$AJ$18*AN77/1000</f>
        <v>0</v>
      </c>
      <c r="BV77" s="3">
        <f>($BQ77/$BP77)*(BH77-$BP77)*$AJ$18*AP77/1000</f>
        <v>0</v>
      </c>
      <c r="BW77" s="3">
        <f>($BQ77/$BP77)*(BI77-$BP77)*$AJ$18*AR77/1000</f>
        <v>0</v>
      </c>
      <c r="BX77" s="3">
        <f>($BQ77/$BP77)*(BJ77-$BP77)*$AJ$18*AT77/1000</f>
        <v>0</v>
      </c>
      <c r="BY77" s="175">
        <f>IF(Q77=0,0,(0.5*$O$12*BP77*BQ77/1000*(R77/2-$BP77/3)+BS77*(BE77-R77/2)+BT77*(BF77-R77/2)+BU77*(BG77-R77/2)+BV77*(BH77-R77/2)+BW77*(BI77-R77/2)+BX77*(BJ77-R77/2))/1000-ABS(P77))</f>
        <v>2.2782378891861299E-5</v>
      </c>
      <c r="BZ77" s="10"/>
      <c r="CA77" s="176">
        <f>ABS(P77)/(BK77-BP77/3)/AV77*10^6-Q77*(R77/2-BP77/3)/(BK77-BP77/3)/AV77*1000</f>
        <v>149.43778670256205</v>
      </c>
      <c r="CB77" s="177">
        <f>(AV77/($O$12*MIN(2.5*(R77-BK77),(R77-BP77)/3,R77/2)-AV77))</f>
        <v>4.7602536203338409E-2</v>
      </c>
      <c r="CC77" s="177">
        <f>3.4*($O$16+$AX$14)+0.425*0.8*0.5*(T77^2+W77^2+Z77^2+AC77^2+AF77^2+AI77^2)/(T77+W77+Z77+AC77+AF77+AI77)/CB77</f>
        <v>401.3985006672458</v>
      </c>
      <c r="CD77" s="177">
        <f>MAX(0.6*CA77/$AJ$17,(CA77-0.4*0.3*$AJ$14^(2/3)/CB77*(1+$AJ$17/$AJ$15*CB77))/$AJ$17)</f>
        <v>0.52220990286697955</v>
      </c>
      <c r="CE77" s="178">
        <f>CC77*CD77/1000</f>
        <v>0.20961427204439365</v>
      </c>
      <c r="CF77" s="23" t="str">
        <f>IF(AND(AV77&gt;=BD77,AV77&gt;=BO77,CE77&lt;=(+IF(CO77="External",0.25,0.3))),"O.K", "Not O.K")</f>
        <v>O.K</v>
      </c>
      <c r="CG77" s="28"/>
      <c r="CH77" s="179" t="str">
        <f>IF(O77&lt;0.2*$AJ$14*R77*$O$12/1000,"N &lt; 0.2fckAc - OK!","TBA")</f>
        <v>N &lt; 0.2fckAc - OK!</v>
      </c>
      <c r="CI77" s="24"/>
      <c r="CJ77" s="25"/>
      <c r="CK77" s="6">
        <f t="shared" si="10"/>
        <v>103</v>
      </c>
      <c r="CL77" s="8" t="s">
        <v>72</v>
      </c>
      <c r="CM77" s="6">
        <f t="shared" si="11"/>
        <v>203</v>
      </c>
      <c r="CN77" s="26" t="s">
        <v>145</v>
      </c>
      <c r="CO77" s="27" t="s">
        <v>105</v>
      </c>
      <c r="CP77" s="2">
        <v>-1454</v>
      </c>
      <c r="CQ77" s="15">
        <v>9</v>
      </c>
      <c r="CR77" s="3">
        <v>-1054</v>
      </c>
      <c r="CS77" s="15">
        <v>6</v>
      </c>
      <c r="CT77" s="20">
        <v>1000</v>
      </c>
      <c r="CU77" s="2">
        <v>103</v>
      </c>
      <c r="CV77" s="15">
        <v>203</v>
      </c>
      <c r="CW77" s="6"/>
      <c r="CX77" s="278"/>
      <c r="CY77" s="6"/>
      <c r="CZ77" s="6"/>
      <c r="DA77" s="6"/>
      <c r="DB77" s="6"/>
      <c r="DC77" s="6"/>
      <c r="DD77" s="6"/>
      <c r="DE77" s="6"/>
      <c r="DF77" s="6"/>
      <c r="DG77" s="6"/>
      <c r="DH77" s="6"/>
      <c r="DI77" s="6"/>
      <c r="DJ77" s="212"/>
      <c r="DK77" s="13"/>
      <c r="DL77" s="13"/>
      <c r="DM77" s="202"/>
      <c r="DN77" s="206">
        <f>IF(CO77="external",T77,0)</f>
        <v>40</v>
      </c>
      <c r="DO77" s="206">
        <f>IF(CO77="external",W77,0)</f>
        <v>13</v>
      </c>
      <c r="DP77" s="206">
        <f>IF(CO77="external",Z77,0)</f>
        <v>0</v>
      </c>
      <c r="DQ77" s="206">
        <f>IF(CO77="external",AC77,0)</f>
        <v>0</v>
      </c>
      <c r="DR77" s="206">
        <f>IF(CO77="external",AF77,0)</f>
        <v>0</v>
      </c>
      <c r="DS77" s="207">
        <f>IF(CO77="external",AI77,0)</f>
        <v>0</v>
      </c>
      <c r="DT77" s="208"/>
      <c r="DU77" s="207">
        <f>IF(CO77="internal",T77,0)</f>
        <v>0</v>
      </c>
      <c r="DV77" s="207">
        <f>IF(CO77="internal",W77,0)</f>
        <v>0</v>
      </c>
      <c r="DW77" s="207">
        <f>IF(CO77="internal",Z77,0)</f>
        <v>0</v>
      </c>
      <c r="DX77" s="207">
        <f>IF(CO77="internal",AC77,0)</f>
        <v>0</v>
      </c>
      <c r="DY77" s="207">
        <f>IF(CO77="internal",AF77,0)</f>
        <v>0</v>
      </c>
      <c r="DZ77" s="207">
        <f>IF(CO77="internal",AI77,0)</f>
        <v>0</v>
      </c>
    </row>
    <row r="78" spans="1:130" s="7" customFormat="1" x14ac:dyDescent="0.3">
      <c r="B78" s="19">
        <f>+CI78</f>
        <v>0</v>
      </c>
      <c r="C78" s="6">
        <f t="shared" si="58"/>
        <v>0</v>
      </c>
      <c r="D78" s="6">
        <f t="shared" si="58"/>
        <v>112</v>
      </c>
      <c r="E78" s="6" t="str">
        <f t="shared" si="58"/>
        <v>--</v>
      </c>
      <c r="F78" s="6">
        <f>+CM78</f>
        <v>212</v>
      </c>
      <c r="G78" s="174" t="str">
        <f t="shared" si="59"/>
        <v>Min Fx</v>
      </c>
      <c r="H78" s="6" t="str">
        <f t="shared" si="59"/>
        <v>External</v>
      </c>
      <c r="I78" s="156"/>
      <c r="J78" s="10">
        <f t="shared" si="60"/>
        <v>-1134</v>
      </c>
      <c r="K78" s="10">
        <f t="shared" si="60"/>
        <v>0</v>
      </c>
      <c r="L78" s="10">
        <f t="shared" si="60"/>
        <v>-841</v>
      </c>
      <c r="M78" s="10">
        <f t="shared" si="60"/>
        <v>0</v>
      </c>
      <c r="N78" s="10">
        <f>IF(I78*J78&gt;=0,J78*$J$19+I78*$J$18,J78)</f>
        <v>-1134</v>
      </c>
      <c r="O78" s="10">
        <f>(K78)*$J$19</f>
        <v>0</v>
      </c>
      <c r="P78" s="14">
        <f>IF(I78*L78&gt;=0,(L78)+I78,L78)</f>
        <v>-841</v>
      </c>
      <c r="Q78" s="3">
        <f>(M78)</f>
        <v>0</v>
      </c>
      <c r="R78" s="20">
        <f t="shared" si="61"/>
        <v>1000</v>
      </c>
      <c r="S78" s="23"/>
      <c r="T78" s="12">
        <v>40</v>
      </c>
      <c r="U78" s="28"/>
      <c r="V78" s="28"/>
      <c r="W78" s="12"/>
      <c r="X78" s="28"/>
      <c r="Y78" s="28"/>
      <c r="Z78" s="12"/>
      <c r="AA78" s="28"/>
      <c r="AB78" s="28"/>
      <c r="AC78" s="158"/>
      <c r="AD78" s="28"/>
      <c r="AE78" s="28"/>
      <c r="AF78" s="158"/>
      <c r="AG78" s="28"/>
      <c r="AH78" s="28"/>
      <c r="AI78" s="29"/>
      <c r="AJ78" s="6">
        <f>PI()/4*T78^2*$O$12/$AX$16</f>
        <v>8377.5804095727817</v>
      </c>
      <c r="AK78" s="28" t="str">
        <f>IF(W78=0,"","+")</f>
        <v/>
      </c>
      <c r="AL78" s="6">
        <f>PI()/4*W78^2*$O$12/$AX$16</f>
        <v>0</v>
      </c>
      <c r="AM78" s="28" t="str">
        <f>IF(Z78=0,"","+")</f>
        <v/>
      </c>
      <c r="AN78" s="6">
        <f>PI()/4*Z78^2*$O$12/$AX$16</f>
        <v>0</v>
      </c>
      <c r="AO78" s="28" t="str">
        <f>IF(AC78=0,"","+")</f>
        <v/>
      </c>
      <c r="AP78" s="6">
        <f>PI()/4*AC78^2*$O$12/$AX$16</f>
        <v>0</v>
      </c>
      <c r="AQ78" s="28" t="str">
        <f>IF(AF78=0,"","+")</f>
        <v/>
      </c>
      <c r="AR78" s="6">
        <f>PI()/4*AF78^2*$O$12/$AX$16</f>
        <v>0</v>
      </c>
      <c r="AS78" s="28" t="str">
        <f>IF(AI78=0,"","+")</f>
        <v/>
      </c>
      <c r="AT78" s="6">
        <f>PI()/4*AI78^2*$O$12/$AX$16</f>
        <v>0</v>
      </c>
      <c r="AU78" s="28" t="s">
        <v>24</v>
      </c>
      <c r="AV78" s="15">
        <f>VALUE(AJ78)+VALUE(AL78)+VALUE(AN78)+VALUE(AP78)+VALUE(AR78)+VALUE(AT78)</f>
        <v>8377.5804095727817</v>
      </c>
      <c r="AW78" s="228">
        <f>MAX(0.3*$AJ$14^(2/3)/$AJ$16*0.26*100,0.13)</f>
        <v>0.15723814702688016</v>
      </c>
      <c r="AX78" s="6">
        <f>AW78/100*$O$12*BK78</f>
        <v>1410.4261788311151</v>
      </c>
      <c r="AY78" s="6"/>
      <c r="AZ78" s="6"/>
      <c r="BA78" s="24" t="str">
        <f>IF(BB78=0,"","+")</f>
        <v/>
      </c>
      <c r="BB78" s="24"/>
      <c r="BC78" s="28" t="s">
        <v>24</v>
      </c>
      <c r="BD78" s="15">
        <f>AX78+AZ78+BB78</f>
        <v>1410.4261788311151</v>
      </c>
      <c r="BE78" s="2">
        <f>(R78-($AX$14+$O$16+T78/2))</f>
        <v>897</v>
      </c>
      <c r="BF78" s="3">
        <f>IF(W78=0,0,(R78-($AX$14+T78/2+$O$16+$BI$16)))</f>
        <v>0</v>
      </c>
      <c r="BG78" s="3">
        <f>IF(Z78=0,0,(R78-($AX$14+T78/2+$BI$16+$O$16+$BI$17)))</f>
        <v>0</v>
      </c>
      <c r="BH78" s="3">
        <f>IF(AC78=0,0,(R78-($AX$14+T78/2+$O$16+$BI$16+$BI$17+$BI$18)))</f>
        <v>0</v>
      </c>
      <c r="BI78" s="3">
        <f>IF(AF78=0,0,(R78-($AX$14+T78/2+$O$16+$BI$16+$BI$17+$BI$18+$BL$16)))</f>
        <v>0</v>
      </c>
      <c r="BJ78" s="3">
        <f>IF(AI78=0,0,(R78-($AX$14+T78/2+$O$16+$BI$16+$BI$17+$BI$18+$BL$16+$BL$17)))</f>
        <v>0</v>
      </c>
      <c r="BK78" s="6">
        <f>(BE78*AJ78+BF78*AL78+BG78*AN78+BH78*AP78+BI78*AR78+BJ78*AT78)/AV78</f>
        <v>897</v>
      </c>
      <c r="BL78" s="175">
        <f>ABS(N78)*1000000/$O$12/BK78^2</f>
        <v>1.4093802082750753</v>
      </c>
      <c r="BM78" s="175">
        <f>BL78/$AJ$14</f>
        <v>4.4043131508596102E-2</v>
      </c>
      <c r="BN78" s="21">
        <f>IF(BM78&lt;0.167,0.5+SQRT(0.25-(BM78/1.134)),0.82)</f>
        <v>0.95952286090312855</v>
      </c>
      <c r="BO78" s="15">
        <f>ABS(N78)/(0.87*$AJ$16*BN78*BK78)*10^6</f>
        <v>3028.8378802802349</v>
      </c>
      <c r="BP78" s="22">
        <v>500</v>
      </c>
      <c r="BQ78" s="175">
        <f>IF(Q78=0,2*ABS(P78*10^6)/$O$12/BP78/(BK78-BP78/3),Q78*BP78*1000/($O$12/2*BP78^2-(BE78-BP78)*AJ78*$AJ$18-(BF78-BP78)*AL78*$AJ$18-(BG78-BP78)*AN78*$AJ$18-(BH78-BP78)*AP78*$AJ$18-(BI78-BP78)*AR78*$AJ$18-(BJ78-BP78)*AT78*$AJ$18))</f>
        <v>4.6061159287996345</v>
      </c>
      <c r="BR78" s="3">
        <f>0.5*$O$12*BP78*BQ78 /1000</f>
        <v>1151.5289821999088</v>
      </c>
      <c r="BS78" s="3">
        <f>($BQ78/$BP78)*(BE78-$BP78)*$AJ$18*AJ78/1000</f>
        <v>496.16606003775513</v>
      </c>
      <c r="BT78" s="3">
        <f>($BQ78/$BP78)*(BF78-$BP78)*$AJ$18*AL78/1000</f>
        <v>0</v>
      </c>
      <c r="BU78" s="3">
        <f>($BQ78/$BP78)*(BG78-$BP78)*$AJ$18*AN78/1000</f>
        <v>0</v>
      </c>
      <c r="BV78" s="3">
        <f>($BQ78/$BP78)*(BH78-$BP78)*$AJ$18*AP78/1000</f>
        <v>0</v>
      </c>
      <c r="BW78" s="3">
        <f>($BQ78/$BP78)*(BI78-$BP78)*$AJ$18*AR78/1000</f>
        <v>0</v>
      </c>
      <c r="BX78" s="3">
        <f>($BQ78/$BP78)*(BJ78-$BP78)*$AJ$18*AT78/1000</f>
        <v>0</v>
      </c>
      <c r="BY78" s="175">
        <f>IF(Q78=0,0,(0.5*$O$12*BP78*BQ78/1000*(R78/2-$BP78/3)+BS78*(BE78-R78/2)+BT78*(BF78-R78/2)+BU78*(BG78-R78/2)+BV78*(BH78-R78/2)+BW78*(BI78-R78/2)+BX78*(BJ78-R78/2))/1000-ABS(P78))</f>
        <v>0</v>
      </c>
      <c r="BZ78" s="10"/>
      <c r="CA78" s="176">
        <f>ABS(P78)/(BK78-BP78/3)/AV78*10^6-Q78*(R78/2-BP78/3)/(BK78-BP78/3)/AV78*1000</f>
        <v>137.45364722302097</v>
      </c>
      <c r="CB78" s="177">
        <f>(AV78/($O$12*MIN(2.5*(R78-BK78),(R78-BP78)/3,R78/2)-AV78))</f>
        <v>5.2925824563582836E-2</v>
      </c>
      <c r="CC78" s="177">
        <f>3.4*($O$16+$AX$14)+0.425*0.8*0.5*(T78^2+W78^2+Z78^2+AC78^2+AF78^2+AI78^2)/(T78+W78+Z78+AC78+AF78+AI78)/CB78</f>
        <v>410.681701628111</v>
      </c>
      <c r="CD78" s="177">
        <f>MAX(0.6*CA78/$AJ$17,(CA78-0.4*0.3*$AJ$14^(2/3)/CB78*(1+$AJ$17/$AJ$15*CB78))/$AJ$17)</f>
        <v>0.47506732177490657</v>
      </c>
      <c r="CE78" s="178">
        <f>CC78*CD78/1000</f>
        <v>0.195101456094428</v>
      </c>
      <c r="CF78" s="23" t="str">
        <f>IF(AND(AV78&gt;=BD78,AV78&gt;=BO78,CE78&lt;=(+IF(CO78="External",0.25,0.3))),"O.K", "Not O.K")</f>
        <v>O.K</v>
      </c>
      <c r="CG78" s="28"/>
      <c r="CH78" s="179" t="str">
        <f>IF(O78&lt;0.2*$AJ$14*R78*$O$12/1000,"N &lt; 0.2fckAc - OK!","TBA")</f>
        <v>N &lt; 0.2fckAc - OK!</v>
      </c>
      <c r="CI78" s="24"/>
      <c r="CJ78" s="25"/>
      <c r="CK78" s="6">
        <f t="shared" si="10"/>
        <v>112</v>
      </c>
      <c r="CL78" s="8" t="s">
        <v>72</v>
      </c>
      <c r="CM78" s="6">
        <f t="shared" si="11"/>
        <v>212</v>
      </c>
      <c r="CN78" s="26" t="s">
        <v>146</v>
      </c>
      <c r="CO78" s="27" t="s">
        <v>105</v>
      </c>
      <c r="CP78" s="2">
        <v>-1134</v>
      </c>
      <c r="CQ78" s="15">
        <v>0</v>
      </c>
      <c r="CR78" s="3">
        <v>-841</v>
      </c>
      <c r="CS78" s="15">
        <v>0</v>
      </c>
      <c r="CT78" s="20">
        <v>1000</v>
      </c>
      <c r="CU78" s="2">
        <v>112</v>
      </c>
      <c r="CV78" s="15">
        <v>212</v>
      </c>
      <c r="CW78" s="6"/>
      <c r="CX78" s="278"/>
      <c r="CY78" s="6"/>
      <c r="CZ78" s="6"/>
      <c r="DA78" s="6"/>
      <c r="DB78" s="6"/>
      <c r="DC78" s="6"/>
      <c r="DD78" s="6"/>
      <c r="DE78" s="6"/>
      <c r="DF78" s="6"/>
      <c r="DG78" s="6"/>
      <c r="DH78" s="6"/>
      <c r="DI78" s="6"/>
      <c r="DJ78" s="212"/>
      <c r="DK78" s="13"/>
      <c r="DL78" s="13"/>
      <c r="DM78" s="202"/>
      <c r="DN78" s="206">
        <f>IF(CO78="external",T78,0)</f>
        <v>40</v>
      </c>
      <c r="DO78" s="206">
        <f>IF(CO78="external",W78,0)</f>
        <v>0</v>
      </c>
      <c r="DP78" s="206">
        <f>IF(CO78="external",Z78,0)</f>
        <v>0</v>
      </c>
      <c r="DQ78" s="206">
        <f>IF(CO78="external",AC78,0)</f>
        <v>0</v>
      </c>
      <c r="DR78" s="206">
        <f>IF(CO78="external",AF78,0)</f>
        <v>0</v>
      </c>
      <c r="DS78" s="207">
        <f>IF(CO78="external",AI78,0)</f>
        <v>0</v>
      </c>
      <c r="DT78" s="208"/>
      <c r="DU78" s="207">
        <f>IF(CO78="internal",T78,0)</f>
        <v>0</v>
      </c>
      <c r="DV78" s="207">
        <f>IF(CO78="internal",W78,0)</f>
        <v>0</v>
      </c>
      <c r="DW78" s="207">
        <f>IF(CO78="internal",Z78,0)</f>
        <v>0</v>
      </c>
      <c r="DX78" s="207">
        <f>IF(CO78="internal",AC78,0)</f>
        <v>0</v>
      </c>
      <c r="DY78" s="207">
        <f>IF(CO78="internal",AF78,0)</f>
        <v>0</v>
      </c>
      <c r="DZ78" s="207">
        <f>IF(CO78="internal",AI78,0)</f>
        <v>0</v>
      </c>
    </row>
    <row r="79" spans="1:130" s="7" customFormat="1" x14ac:dyDescent="0.3">
      <c r="B79" s="19"/>
      <c r="C79" s="6"/>
      <c r="D79" s="6"/>
      <c r="E79" s="6"/>
      <c r="F79" s="6"/>
      <c r="G79" s="232"/>
      <c r="H79" s="6"/>
      <c r="I79" s="24"/>
      <c r="J79" s="6"/>
      <c r="K79" s="6"/>
      <c r="L79" s="6">
        <v>253</v>
      </c>
      <c r="M79" s="6"/>
      <c r="N79" s="6"/>
      <c r="O79" s="6"/>
      <c r="P79" s="24"/>
      <c r="Q79" s="6"/>
      <c r="R79" s="6">
        <f t="shared" si="61"/>
        <v>0</v>
      </c>
      <c r="S79" s="28"/>
      <c r="T79" s="12"/>
      <c r="U79" s="28"/>
      <c r="V79" s="28"/>
      <c r="W79" s="12"/>
      <c r="X79" s="28"/>
      <c r="Y79" s="28"/>
      <c r="Z79" s="12"/>
      <c r="AA79" s="28"/>
      <c r="AB79" s="28"/>
      <c r="AC79" s="158"/>
      <c r="AD79" s="28"/>
      <c r="AE79" s="28"/>
      <c r="AF79" s="158"/>
      <c r="AG79" s="28"/>
      <c r="AH79" s="28"/>
      <c r="AI79" s="12"/>
      <c r="AJ79" s="6"/>
      <c r="AK79" s="28"/>
      <c r="AL79" s="6"/>
      <c r="AM79" s="28"/>
      <c r="AN79" s="6"/>
      <c r="AO79" s="28"/>
      <c r="AP79" s="6"/>
      <c r="AQ79" s="28"/>
      <c r="AR79" s="6"/>
      <c r="AS79" s="28"/>
      <c r="AT79" s="6"/>
      <c r="AU79" s="28"/>
      <c r="AV79" s="6"/>
      <c r="AW79" s="233"/>
      <c r="AX79" s="6"/>
      <c r="AY79" s="6"/>
      <c r="AZ79" s="6"/>
      <c r="BA79" s="24"/>
      <c r="BB79" s="24"/>
      <c r="BC79" s="28"/>
      <c r="BD79" s="6"/>
      <c r="BE79" s="6"/>
      <c r="BF79" s="6"/>
      <c r="BG79" s="6"/>
      <c r="BH79" s="6"/>
      <c r="BI79" s="6"/>
      <c r="BJ79" s="6"/>
      <c r="BK79" s="6"/>
      <c r="BL79" s="231"/>
      <c r="BM79" s="231"/>
      <c r="BN79" s="231"/>
      <c r="BO79" s="6"/>
      <c r="BP79" s="234"/>
      <c r="BQ79" s="231"/>
      <c r="BR79" s="6"/>
      <c r="BS79" s="6"/>
      <c r="BT79" s="6"/>
      <c r="BU79" s="6"/>
      <c r="BV79" s="6"/>
      <c r="BW79" s="6"/>
      <c r="BX79" s="6"/>
      <c r="BY79" s="231"/>
      <c r="BZ79" s="6"/>
      <c r="CA79" s="234"/>
      <c r="CB79" s="235"/>
      <c r="CC79" s="235"/>
      <c r="CD79" s="235"/>
      <c r="CE79" s="235"/>
      <c r="CF79" s="28"/>
      <c r="CG79" s="28"/>
      <c r="CH79" s="173"/>
      <c r="CI79" s="24"/>
      <c r="CJ79" s="25"/>
      <c r="CK79" s="6">
        <f t="shared" si="10"/>
        <v>0</v>
      </c>
      <c r="CL79" s="8" t="s">
        <v>72</v>
      </c>
      <c r="CM79" s="6">
        <f t="shared" si="11"/>
        <v>0</v>
      </c>
      <c r="CN79" s="236"/>
      <c r="CO79" s="24"/>
      <c r="CP79" s="6"/>
      <c r="CQ79" s="6"/>
      <c r="CR79" s="6"/>
      <c r="CS79" s="6"/>
      <c r="CT79" s="6"/>
      <c r="CU79" s="6"/>
      <c r="CV79" s="6"/>
      <c r="CW79" s="6"/>
      <c r="CX79" s="278"/>
      <c r="CY79" s="6"/>
      <c r="CZ79" s="6"/>
      <c r="DA79" s="6"/>
      <c r="DB79" s="6"/>
      <c r="DC79" s="6"/>
      <c r="DD79" s="6"/>
      <c r="DE79" s="6"/>
      <c r="DF79" s="6"/>
      <c r="DG79" s="6"/>
      <c r="DH79" s="6"/>
      <c r="DI79" s="6"/>
      <c r="DJ79" s="212"/>
      <c r="DK79" s="13"/>
      <c r="DL79" s="13"/>
      <c r="DM79" s="202"/>
      <c r="DN79" s="206"/>
      <c r="DO79" s="206"/>
      <c r="DP79" s="206"/>
      <c r="DQ79" s="206"/>
      <c r="DR79" s="206"/>
      <c r="DS79" s="207"/>
      <c r="DT79" s="208"/>
      <c r="DU79" s="207"/>
      <c r="DV79" s="207"/>
      <c r="DW79" s="207"/>
      <c r="DX79" s="207"/>
      <c r="DY79" s="207"/>
      <c r="DZ79" s="207"/>
    </row>
    <row r="80" spans="1:130" s="7" customFormat="1" ht="13.8" x14ac:dyDescent="0.25">
      <c r="A80" s="7" t="s">
        <v>141</v>
      </c>
      <c r="B80" s="19">
        <f>+CI80</f>
        <v>57</v>
      </c>
      <c r="C80" s="6">
        <f t="shared" ref="C80:E83" si="64">CJ80</f>
        <v>0</v>
      </c>
      <c r="D80" s="6">
        <f t="shared" si="64"/>
        <v>103</v>
      </c>
      <c r="E80" s="6" t="str">
        <f t="shared" si="64"/>
        <v>--</v>
      </c>
      <c r="F80" s="6">
        <f>+CM80</f>
        <v>203</v>
      </c>
      <c r="G80" s="174" t="str">
        <f t="shared" ref="G80:H83" si="65">CN80</f>
        <v>Max Mz</v>
      </c>
      <c r="H80" s="6" t="str">
        <f t="shared" si="65"/>
        <v>Internal</v>
      </c>
      <c r="I80" s="156"/>
      <c r="J80" s="10">
        <f t="shared" ref="J80:M83" si="66">(CP80)</f>
        <v>4145</v>
      </c>
      <c r="K80" s="10">
        <f t="shared" si="66"/>
        <v>9</v>
      </c>
      <c r="L80" s="10">
        <f t="shared" si="66"/>
        <v>3015</v>
      </c>
      <c r="M80" s="10">
        <f t="shared" si="66"/>
        <v>6</v>
      </c>
      <c r="N80" s="10">
        <f>IF(I80*J80&gt;=0,J80*$J$19+I80*$J$18,J80)</f>
        <v>4145</v>
      </c>
      <c r="O80" s="10">
        <f>(K80)*$J$19</f>
        <v>9</v>
      </c>
      <c r="P80" s="14">
        <f>IF(I80*L80&gt;=0,(L80)+I80,L80)</f>
        <v>3015</v>
      </c>
      <c r="Q80" s="3">
        <f>(M80)</f>
        <v>6</v>
      </c>
      <c r="R80" s="20">
        <f t="shared" si="61"/>
        <v>1000</v>
      </c>
      <c r="S80" s="23"/>
      <c r="T80" s="12">
        <v>40</v>
      </c>
      <c r="U80" s="28"/>
      <c r="V80" s="28"/>
      <c r="W80" s="12">
        <v>40</v>
      </c>
      <c r="X80" s="28"/>
      <c r="Y80" s="28"/>
      <c r="Z80" s="12">
        <v>32</v>
      </c>
      <c r="AA80" s="28"/>
      <c r="AB80" s="28"/>
      <c r="AC80" s="158"/>
      <c r="AD80" s="28"/>
      <c r="AE80" s="28"/>
      <c r="AF80" s="158"/>
      <c r="AG80" s="28"/>
      <c r="AH80" s="28"/>
      <c r="AI80" s="29"/>
      <c r="AJ80" s="6">
        <f>PI()/4*T80^2*$O$12/$AX$16</f>
        <v>8377.5804095727817</v>
      </c>
      <c r="AK80" s="28" t="str">
        <f>IF(W80=0,"","+")</f>
        <v>+</v>
      </c>
      <c r="AL80" s="6">
        <f>PI()/4*W80^2*$O$12/$AX$16</f>
        <v>8377.5804095727817</v>
      </c>
      <c r="AM80" s="28" t="str">
        <f>IF(Z80=0,"","+")</f>
        <v>+</v>
      </c>
      <c r="AN80" s="6">
        <f>PI()/4*Z80^2*$O$12/$AX$16</f>
        <v>5361.6514621265796</v>
      </c>
      <c r="AO80" s="28" t="str">
        <f>IF(AC80=0,"","+")</f>
        <v/>
      </c>
      <c r="AP80" s="6">
        <f>PI()/4*AC80^2*$O$12/$AX$16</f>
        <v>0</v>
      </c>
      <c r="AQ80" s="28" t="str">
        <f>IF(AF80=0,"","+")</f>
        <v/>
      </c>
      <c r="AR80" s="6">
        <f>PI()/4*AF80^2*$O$12/$AX$16</f>
        <v>0</v>
      </c>
      <c r="AS80" s="28" t="str">
        <f>IF(AI80=0,"","+")</f>
        <v/>
      </c>
      <c r="AT80" s="6">
        <f>PI()/4*AI80^2*$O$12/$AX$16</f>
        <v>0</v>
      </c>
      <c r="AU80" s="28" t="s">
        <v>24</v>
      </c>
      <c r="AV80" s="15">
        <f>VALUE(AJ80)+VALUE(AL80)+VALUE(AN80)+VALUE(AP80)+VALUE(AR80)+VALUE(AT80)</f>
        <v>22116.812281272141</v>
      </c>
      <c r="AW80" s="228">
        <f>MAX(0.3*$AJ$14^(2/3)/$AJ$16*0.26*100,0.13)</f>
        <v>0.15723814702688016</v>
      </c>
      <c r="AX80" s="6">
        <f>AW80/100*$O$12*BK80</f>
        <v>1301.7889136125434</v>
      </c>
      <c r="AY80" s="6"/>
      <c r="AZ80" s="6"/>
      <c r="BA80" s="24" t="str">
        <f>IF(BB80=0,"","+")</f>
        <v/>
      </c>
      <c r="BB80" s="24"/>
      <c r="BC80" s="28" t="s">
        <v>24</v>
      </c>
      <c r="BD80" s="15">
        <f>AX80+AZ80+BB80</f>
        <v>1301.7889136125434</v>
      </c>
      <c r="BE80" s="2">
        <f>(R80-($AX$14+$O$16+T80/2))</f>
        <v>897</v>
      </c>
      <c r="BF80" s="3">
        <f>IF(W80=0,0,(R80-($AX$14+T80/2+$O$16+$BI$16)))</f>
        <v>817</v>
      </c>
      <c r="BG80" s="3">
        <f>IF(Z80=0,0,(R80-($AX$14+T80/2+$BI$16+$O$16+$BI$17)))</f>
        <v>737</v>
      </c>
      <c r="BH80" s="3">
        <f>IF(AC80=0,0,(R80-($AX$14+T80/2+$O$16+$BI$16+$BI$17+$BI$18)))</f>
        <v>0</v>
      </c>
      <c r="BI80" s="3">
        <f>IF(AF80=0,0,(R80-($AX$14+T80/2+$O$16+$BI$16+$BI$17+$BI$18+$BL$16)))</f>
        <v>0</v>
      </c>
      <c r="BJ80" s="3">
        <f>IF(AI80=0,0,(R80-($AX$14+T80/2+$O$16+$BI$16+$BI$17+$BI$18+$BL$16+$BL$17)))</f>
        <v>0</v>
      </c>
      <c r="BK80" s="6">
        <f>(BE80*AJ80+BF80*AL80+BG80*AN80+BH80*AP80+BI80*AR80+BJ80*AT80)/AV80</f>
        <v>827.90909090909099</v>
      </c>
      <c r="BL80" s="175">
        <f>ABS(N80)*1000000/$O$12/BK80^2</f>
        <v>6.0472682249968877</v>
      </c>
      <c r="BM80" s="175">
        <f>BL80/$AJ$14</f>
        <v>0.18897713203115274</v>
      </c>
      <c r="BN80" s="21">
        <f>IF(BM80&lt;0.167,0.5+SQRT(0.25-(BM80/1.134)),0.82)</f>
        <v>0.82</v>
      </c>
      <c r="BO80" s="15">
        <f>ABS(N80)/(0.87*$AJ$16*BN80*BK80)*10^6</f>
        <v>14035.851804431191</v>
      </c>
      <c r="BP80" s="22">
        <v>491.33983095271486</v>
      </c>
      <c r="BQ80" s="175">
        <f>IF(Q80=0,2*ABS(P80*10^6)/$O$12/BP80/(BK80-BP80/3),Q80*BP80*1000/($O$12/2*BP80^2-(BE80-BP80)*AJ80*$AJ$18-(BF80-BP80)*AL80*$AJ$18-(BG80-BP80)*AN80*$AJ$18-(BH80-BP80)*AP80*$AJ$18-(BI80-BP80)*AR80*$AJ$18-(BJ80-BP80)*AT80*$AJ$18))</f>
        <v>18.178017634836028</v>
      </c>
      <c r="BR80" s="3">
        <f>0.5*$O$12*BP80*BQ80 /1000</f>
        <v>4465.7920558779015</v>
      </c>
      <c r="BS80" s="3">
        <f>($BQ80/$BP80)*(BE80-$BP80)*$AJ$18*AJ80/1000</f>
        <v>2036.0976478147481</v>
      </c>
      <c r="BT80" s="3">
        <f>($BQ80/$BP80)*(BF80-$BP80)*$AJ$18*AL80/1000</f>
        <v>1634.5600450283303</v>
      </c>
      <c r="BU80" s="3">
        <f>($BQ80/$BP80)*(BG80-$BP80)*$AJ$18*AN80/1000</f>
        <v>789.13436303482399</v>
      </c>
      <c r="BV80" s="3">
        <f>($BQ80/$BP80)*(BH80-$BP80)*$AJ$18*AP80/1000</f>
        <v>0</v>
      </c>
      <c r="BW80" s="3">
        <f>($BQ80/$BP80)*(BI80-$BP80)*$AJ$18*AR80/1000</f>
        <v>0</v>
      </c>
      <c r="BX80" s="3">
        <f>($BQ80/$BP80)*(BJ80-$BP80)*$AJ$18*AT80/1000</f>
        <v>0</v>
      </c>
      <c r="BY80" s="175">
        <f>IF(Q80=0,0,(0.5*$O$12*BP80*BQ80/1000*(R80/2-$BP80/3)+BS80*(BE80-R80/2)+BT80*(BF80-R80/2)+BU80*(BG80-R80/2)+BV80*(BH80-R80/2)+BW80*(BI80-R80/2)+BX80*(BJ80-R80/2))/1000-ABS(P80))</f>
        <v>1.1662982615234796E-6</v>
      </c>
      <c r="BZ80" s="10"/>
      <c r="CA80" s="176">
        <f>ABS(P80)/(BK80-BP80/3)/AV80*10^6-Q80*(R80/2-BP80/3)/(BK80-BP80/3)/AV80*1000</f>
        <v>205.12640196930761</v>
      </c>
      <c r="CB80" s="177">
        <f>(AV80/($O$12*MIN(2.5*(R80-BK80),(R80-BP80)/3,R80/2)-AV80))</f>
        <v>0.15000899146685356</v>
      </c>
      <c r="CC80" s="177">
        <f>3.4*($O$16+$AX$14)+0.425*0.8*0.5*(T80^2+W80^2+Z80^2+AC80^2+AF80^2+AI80^2)/(T80+W80+Z80+AC80+AF80+AI80)/CB80</f>
        <v>324.94029515654239</v>
      </c>
      <c r="CD80" s="177">
        <f>MAX(0.6*CA80/$AJ$17,(CA80-0.4*0.3*$AJ$14^(2/3)/CB80*(1+$AJ$17/$AJ$15*CB80))/$AJ$17)</f>
        <v>0.88738201527797889</v>
      </c>
      <c r="CE80" s="178">
        <f>CC80*CD80/1000</f>
        <v>0.28834617396103385</v>
      </c>
      <c r="CF80" s="23" t="str">
        <f>IF(AND(AV80&gt;=BD80,AV80&gt;=BO80,CE80&lt;=(+IF(CO80="External",0.25,0.3))),"O.K", "Not O.K")</f>
        <v>O.K</v>
      </c>
      <c r="CG80" s="28"/>
      <c r="CH80" s="179" t="str">
        <f>IF(O80&lt;0.2*$AJ$14*R80*$O$12/1000,"N &lt; 0.2fckAc - OK!","TBA")</f>
        <v>N &lt; 0.2fckAc - OK!</v>
      </c>
      <c r="CI80" s="24">
        <v>57</v>
      </c>
      <c r="CJ80" s="25"/>
      <c r="CK80" s="6">
        <f t="shared" si="10"/>
        <v>103</v>
      </c>
      <c r="CL80" s="8" t="s">
        <v>72</v>
      </c>
      <c r="CM80" s="6">
        <f t="shared" si="11"/>
        <v>203</v>
      </c>
      <c r="CN80" s="26" t="s">
        <v>147</v>
      </c>
      <c r="CO80" s="27" t="s">
        <v>106</v>
      </c>
      <c r="CP80" s="2">
        <v>4145</v>
      </c>
      <c r="CQ80" s="15">
        <v>9</v>
      </c>
      <c r="CR80" s="3">
        <v>3015</v>
      </c>
      <c r="CS80" s="15">
        <v>6</v>
      </c>
      <c r="CT80" s="20">
        <v>1000</v>
      </c>
      <c r="CU80" s="2">
        <v>103</v>
      </c>
      <c r="CV80" s="15">
        <v>203</v>
      </c>
      <c r="CW80" s="6"/>
      <c r="CX80" s="278">
        <f>CI80</f>
        <v>57</v>
      </c>
      <c r="CY80" s="6">
        <f t="shared" ref="CY80:DD80" si="67">MAX(DN80:DN83)</f>
        <v>0</v>
      </c>
      <c r="CZ80" s="6">
        <f t="shared" si="67"/>
        <v>0</v>
      </c>
      <c r="DA80" s="6">
        <f t="shared" si="67"/>
        <v>0</v>
      </c>
      <c r="DB80" s="6">
        <f t="shared" si="67"/>
        <v>0</v>
      </c>
      <c r="DC80" s="6">
        <f t="shared" si="67"/>
        <v>0</v>
      </c>
      <c r="DD80" s="6">
        <f t="shared" si="67"/>
        <v>0</v>
      </c>
      <c r="DE80" s="6"/>
      <c r="DF80" s="6">
        <f t="shared" ref="DF80:DK80" si="68">MAX(DU80:DU83)</f>
        <v>40</v>
      </c>
      <c r="DG80" s="6">
        <f t="shared" si="68"/>
        <v>40</v>
      </c>
      <c r="DH80" s="6">
        <f t="shared" si="68"/>
        <v>32</v>
      </c>
      <c r="DI80" s="6">
        <f t="shared" si="68"/>
        <v>0</v>
      </c>
      <c r="DJ80" s="6">
        <f t="shared" si="68"/>
        <v>0</v>
      </c>
      <c r="DK80" s="6">
        <f t="shared" si="68"/>
        <v>0</v>
      </c>
      <c r="DL80" s="13"/>
      <c r="DM80" s="202">
        <f>CI80</f>
        <v>57</v>
      </c>
      <c r="DN80" s="206">
        <f>IF(CO80="external",T80,0)</f>
        <v>0</v>
      </c>
      <c r="DO80" s="206">
        <f>IF(CO80="external",W80,0)</f>
        <v>0</v>
      </c>
      <c r="DP80" s="206">
        <f>IF(CO80="external",Z80,0)</f>
        <v>0</v>
      </c>
      <c r="DQ80" s="206">
        <f>IF(CO80="external",AC80,0)</f>
        <v>0</v>
      </c>
      <c r="DR80" s="206">
        <f>IF(CO80="external",AF80,0)</f>
        <v>0</v>
      </c>
      <c r="DS80" s="207">
        <f>IF(CO80="external",AI80,0)</f>
        <v>0</v>
      </c>
      <c r="DT80" s="208"/>
      <c r="DU80" s="207">
        <f>IF(CO80="internal",T80,0)</f>
        <v>40</v>
      </c>
      <c r="DV80" s="207">
        <f>IF(CO80="internal",W80,0)</f>
        <v>40</v>
      </c>
      <c r="DW80" s="207">
        <f>IF(CO80="internal",Z80,0)</f>
        <v>32</v>
      </c>
      <c r="DX80" s="207">
        <f>IF(CO80="internal",AC80,0)</f>
        <v>0</v>
      </c>
      <c r="DY80" s="207">
        <f>IF(CO80="internal",AF80,0)</f>
        <v>0</v>
      </c>
      <c r="DZ80" s="207">
        <f>IF(CO80="internal",AI80,0)</f>
        <v>0</v>
      </c>
    </row>
    <row r="81" spans="1:131" s="7" customFormat="1" x14ac:dyDescent="0.3">
      <c r="B81" s="19">
        <f>+CI81</f>
        <v>0</v>
      </c>
      <c r="C81" s="6">
        <f t="shared" si="64"/>
        <v>0</v>
      </c>
      <c r="D81" s="6">
        <f t="shared" si="64"/>
        <v>106</v>
      </c>
      <c r="E81" s="6" t="str">
        <f t="shared" si="64"/>
        <v>--</v>
      </c>
      <c r="F81" s="6">
        <f>+CM81</f>
        <v>202</v>
      </c>
      <c r="G81" s="174" t="str">
        <f t="shared" si="65"/>
        <v>Min Mz</v>
      </c>
      <c r="H81" s="6" t="str">
        <f t="shared" si="65"/>
        <v>Internal</v>
      </c>
      <c r="I81" s="156"/>
      <c r="J81" s="10">
        <f t="shared" si="66"/>
        <v>233</v>
      </c>
      <c r="K81" s="10">
        <f t="shared" si="66"/>
        <v>2</v>
      </c>
      <c r="L81" s="10">
        <f t="shared" si="66"/>
        <v>96</v>
      </c>
      <c r="M81" s="10">
        <f t="shared" si="66"/>
        <v>2</v>
      </c>
      <c r="N81" s="10">
        <f>IF(I81*J81&gt;=0,J81*$J$19+I81*$J$18,J81)</f>
        <v>233</v>
      </c>
      <c r="O81" s="10">
        <f>(K81)*$J$19</f>
        <v>2</v>
      </c>
      <c r="P81" s="14">
        <f>IF(I81*L81&gt;=0,(L81)+I81,L81)</f>
        <v>96</v>
      </c>
      <c r="Q81" s="3">
        <f>(M81)</f>
        <v>2</v>
      </c>
      <c r="R81" s="20">
        <f t="shared" si="61"/>
        <v>1000</v>
      </c>
      <c r="S81" s="23"/>
      <c r="T81" s="12">
        <v>20</v>
      </c>
      <c r="U81" s="28"/>
      <c r="V81" s="28"/>
      <c r="W81" s="12"/>
      <c r="X81" s="28"/>
      <c r="Y81" s="28"/>
      <c r="Z81" s="12"/>
      <c r="AA81" s="28"/>
      <c r="AB81" s="28"/>
      <c r="AC81" s="158"/>
      <c r="AD81" s="28"/>
      <c r="AE81" s="28"/>
      <c r="AF81" s="158"/>
      <c r="AG81" s="28"/>
      <c r="AH81" s="28"/>
      <c r="AI81" s="29"/>
      <c r="AJ81" s="6">
        <f>PI()/4*T81^2*$O$12/$AX$16</f>
        <v>2094.3951023931954</v>
      </c>
      <c r="AK81" s="28" t="str">
        <f>IF(W81=0,"","+")</f>
        <v/>
      </c>
      <c r="AL81" s="6">
        <f>PI()/4*W81^2*$O$12/$AX$16</f>
        <v>0</v>
      </c>
      <c r="AM81" s="28" t="str">
        <f>IF(Z81=0,"","+")</f>
        <v/>
      </c>
      <c r="AN81" s="6">
        <f>PI()/4*Z81^2*$O$12/$AX$16</f>
        <v>0</v>
      </c>
      <c r="AO81" s="28" t="str">
        <f>IF(AC81=0,"","+")</f>
        <v/>
      </c>
      <c r="AP81" s="6">
        <f>PI()/4*AC81^2*$O$12/$AX$16</f>
        <v>0</v>
      </c>
      <c r="AQ81" s="28" t="str">
        <f>IF(AF81=0,"","+")</f>
        <v/>
      </c>
      <c r="AR81" s="6">
        <f>PI()/4*AF81^2*$O$12/$AX$16</f>
        <v>0</v>
      </c>
      <c r="AS81" s="28" t="str">
        <f>IF(AI81=0,"","+")</f>
        <v/>
      </c>
      <c r="AT81" s="6">
        <f>PI()/4*AI81^2*$O$12/$AX$16</f>
        <v>0</v>
      </c>
      <c r="AU81" s="28" t="s">
        <v>24</v>
      </c>
      <c r="AV81" s="15">
        <f>VALUE(AJ81)+VALUE(AL81)+VALUE(AN81)+VALUE(AP81)+VALUE(AR81)+VALUE(AT81)</f>
        <v>2094.3951023931954</v>
      </c>
      <c r="AW81" s="228">
        <f>MAX(0.3*$AJ$14^(2/3)/$AJ$16*0.26*100,0.13)</f>
        <v>0.15723814702688016</v>
      </c>
      <c r="AX81" s="6">
        <f>AW81/100*$O$12*BK81</f>
        <v>1426.1499935338031</v>
      </c>
      <c r="AY81" s="6"/>
      <c r="AZ81" s="6"/>
      <c r="BA81" s="24" t="str">
        <f>IF(BB81=0,"","+")</f>
        <v/>
      </c>
      <c r="BB81" s="24"/>
      <c r="BC81" s="28" t="s">
        <v>24</v>
      </c>
      <c r="BD81" s="15">
        <f>AX81+AZ81+BB81</f>
        <v>1426.1499935338031</v>
      </c>
      <c r="BE81" s="2">
        <f>(R81-($AX$14+$O$16+T81/2))</f>
        <v>907</v>
      </c>
      <c r="BF81" s="3">
        <f>IF(W81=0,0,(R81-($AX$14+T81/2+$O$16+$BI$16)))</f>
        <v>0</v>
      </c>
      <c r="BG81" s="3">
        <f>IF(Z81=0,0,(R81-($AX$14+T81/2+$BI$16+$O$16+$BI$17)))</f>
        <v>0</v>
      </c>
      <c r="BH81" s="3">
        <f>IF(AC81=0,0,(R81-($AX$14+T81/2+$O$16+$BI$16+$BI$17+$BI$18)))</f>
        <v>0</v>
      </c>
      <c r="BI81" s="3">
        <f>IF(AF81=0,0,(R81-($AX$14+T81/2+$O$16+$BI$16+$BI$17+$BI$18+$BL$16)))</f>
        <v>0</v>
      </c>
      <c r="BJ81" s="3">
        <f>IF(AI81=0,0,(R81-($AX$14+T81/2+$O$16+$BI$16+$BI$17+$BI$18+$BL$16+$BL$17)))</f>
        <v>0</v>
      </c>
      <c r="BK81" s="6">
        <f>(BE81*AJ81+BF81*AL81+BG81*AN81+BH81*AP81+BI81*AR81+BJ81*AT81)/AV81</f>
        <v>907</v>
      </c>
      <c r="BL81" s="175">
        <f>ABS(N81)*1000000/$O$12/BK81^2</f>
        <v>0.28323136598962617</v>
      </c>
      <c r="BM81" s="175">
        <f>BL81/$AJ$14</f>
        <v>8.8509801871758179E-3</v>
      </c>
      <c r="BN81" s="21">
        <f>IF(BM81&lt;0.167,0.5+SQRT(0.25-(BM81/1.134)),0.82)</f>
        <v>0.9921330133542946</v>
      </c>
      <c r="BO81" s="15">
        <f>ABS(N81)/(0.87*$AJ$16*BN81*BK81)*10^6</f>
        <v>595.23639250394911</v>
      </c>
      <c r="BP81" s="22">
        <v>218.06467135572379</v>
      </c>
      <c r="BQ81" s="175">
        <f>IF(Q81=0,2*ABS(P81*10^6)/$O$12/BP81/(BK81-BP81/3),Q81*BP81*1000/($O$12/2*BP81^2-(BE81-BP81)*AJ81*$AJ$18-(BF81-BP81)*AL81*$AJ$18-(BG81-BP81)*AN81*$AJ$18-(BH81-BP81)*AP81*$AJ$18-(BI81-BP81)*AR81*$AJ$18-(BJ81-BP81)*AT81*$AJ$18))</f>
        <v>1.0642764423393138</v>
      </c>
      <c r="BR81" s="3">
        <f>0.5*$O$12*BP81*BQ81 /1000</f>
        <v>116.04054631518069</v>
      </c>
      <c r="BS81" s="3">
        <f>($BQ81/$BP81)*(BE81-$BP81)*$AJ$18*AJ81/1000</f>
        <v>114.04054631518071</v>
      </c>
      <c r="BT81" s="3">
        <f>($BQ81/$BP81)*(BF81-$BP81)*$AJ$18*AL81/1000</f>
        <v>0</v>
      </c>
      <c r="BU81" s="3">
        <f>($BQ81/$BP81)*(BG81-$BP81)*$AJ$18*AN81/1000</f>
        <v>0</v>
      </c>
      <c r="BV81" s="3">
        <f>($BQ81/$BP81)*(BH81-$BP81)*$AJ$18*AP81/1000</f>
        <v>0</v>
      </c>
      <c r="BW81" s="3">
        <f>($BQ81/$BP81)*(BI81-$BP81)*$AJ$18*AR81/1000</f>
        <v>0</v>
      </c>
      <c r="BX81" s="3">
        <f>($BQ81/$BP81)*(BJ81-$BP81)*$AJ$18*AT81/1000</f>
        <v>0</v>
      </c>
      <c r="BY81" s="175">
        <f>IF(Q81=0,0,(0.5*$O$12*BP81*BQ81/1000*(R81/2-$BP81/3)+BS81*(BE81-R81/2)+BT81*(BF81-R81/2)+BU81*(BG81-R81/2)+BV81*(BH81-R81/2)+BW81*(BI81-R81/2)+BX81*(BJ81-R81/2))/1000-ABS(P81))</f>
        <v>-5.6908506138597659E-6</v>
      </c>
      <c r="BZ81" s="10"/>
      <c r="CA81" s="176">
        <f>ABS(P81)/(BK81-BP81/3)/AV81*10^6-Q81*(R81/2-BP81/3)/(BK81-BP81/3)/AV81*1000</f>
        <v>54.450353233677035</v>
      </c>
      <c r="CB81" s="177">
        <f>(AV81/($O$12*MIN(2.5*(R81-BK81),(R81-BP81)/3,R81/2)-AV81))</f>
        <v>9.0900353892170004E-3</v>
      </c>
      <c r="CC81" s="177">
        <f>3.4*($O$16+$AX$14)+0.425*0.8*0.5*(T81^2+W81^2+Z81^2+AC81^2+AF81^2+AI81^2)/(T81+W81+Z81+AC81+AF81+AI81)/CB81</f>
        <v>656.23594754242981</v>
      </c>
      <c r="CD81" s="177">
        <f>MAX(0.6*CA81/$AJ$17,(CA81-0.4*0.3*$AJ$14^(2/3)/CB81*(1+$AJ$17/$AJ$15*CB81))/$AJ$17)</f>
        <v>0.16335105970103111</v>
      </c>
      <c r="CE81" s="178">
        <f>CC81*CD81/1000</f>
        <v>0.10719683744496618</v>
      </c>
      <c r="CF81" s="23" t="str">
        <f>IF(AND(AV81&gt;=BD81,AV81&gt;=BO81,CE81&lt;=(+IF(CO81="External",0.25,0.3))),"O.K", "Not O.K")</f>
        <v>O.K</v>
      </c>
      <c r="CG81" s="28"/>
      <c r="CH81" s="179" t="str">
        <f>IF(O81&lt;0.2*$AJ$14*R81*$O$12/1000,"N &lt; 0.2fckAc - OK!","TBA")</f>
        <v>N &lt; 0.2fckAc - OK!</v>
      </c>
      <c r="CI81" s="24"/>
      <c r="CJ81" s="25"/>
      <c r="CK81" s="6">
        <f t="shared" si="10"/>
        <v>106</v>
      </c>
      <c r="CL81" s="8" t="s">
        <v>72</v>
      </c>
      <c r="CM81" s="6">
        <f t="shared" si="11"/>
        <v>202</v>
      </c>
      <c r="CN81" s="26" t="s">
        <v>148</v>
      </c>
      <c r="CO81" s="27" t="s">
        <v>106</v>
      </c>
      <c r="CP81" s="2">
        <v>233</v>
      </c>
      <c r="CQ81" s="15">
        <v>2</v>
      </c>
      <c r="CR81" s="3">
        <v>96</v>
      </c>
      <c r="CS81" s="15">
        <v>2</v>
      </c>
      <c r="CT81" s="20">
        <v>1000</v>
      </c>
      <c r="CU81" s="2">
        <v>106</v>
      </c>
      <c r="CV81" s="15">
        <v>202</v>
      </c>
      <c r="CW81" s="6"/>
      <c r="CX81" s="278"/>
      <c r="CY81" s="6"/>
      <c r="CZ81" s="6"/>
      <c r="DA81" s="6"/>
      <c r="DB81" s="6"/>
      <c r="DC81" s="6"/>
      <c r="DD81" s="6"/>
      <c r="DE81" s="6"/>
      <c r="DF81" s="6"/>
      <c r="DG81" s="6"/>
      <c r="DH81" s="6"/>
      <c r="DI81" s="6"/>
      <c r="DJ81" s="212"/>
      <c r="DK81" s="13"/>
      <c r="DL81" s="13"/>
      <c r="DM81" s="202"/>
      <c r="DN81" s="206">
        <f>IF(CO81="external",T81,0)</f>
        <v>0</v>
      </c>
      <c r="DO81" s="206">
        <f>IF(CO81="external",W81,0)</f>
        <v>0</v>
      </c>
      <c r="DP81" s="206">
        <f>IF(CO81="external",Z81,0)</f>
        <v>0</v>
      </c>
      <c r="DQ81" s="206">
        <f>IF(CO81="external",AC81,0)</f>
        <v>0</v>
      </c>
      <c r="DR81" s="206">
        <f>IF(CO81="external",AF81,0)</f>
        <v>0</v>
      </c>
      <c r="DS81" s="207">
        <f>IF(CO81="external",AI81,0)</f>
        <v>0</v>
      </c>
      <c r="DT81" s="208"/>
      <c r="DU81" s="207">
        <f>IF(CO81="internal",T81,0)</f>
        <v>20</v>
      </c>
      <c r="DV81" s="207">
        <f>IF(CO81="internal",W81,0)</f>
        <v>0</v>
      </c>
      <c r="DW81" s="207">
        <f>IF(CO81="internal",Z81,0)</f>
        <v>0</v>
      </c>
      <c r="DX81" s="207">
        <f>IF(CO81="internal",AC81,0)</f>
        <v>0</v>
      </c>
      <c r="DY81" s="207">
        <f>IF(CO81="internal",AF81,0)</f>
        <v>0</v>
      </c>
      <c r="DZ81" s="207">
        <f>IF(CO81="internal",AI81,0)</f>
        <v>0</v>
      </c>
    </row>
    <row r="82" spans="1:131" s="7" customFormat="1" x14ac:dyDescent="0.3">
      <c r="B82" s="19">
        <f>+CI82</f>
        <v>0</v>
      </c>
      <c r="C82" s="6">
        <f t="shared" si="64"/>
        <v>0</v>
      </c>
      <c r="D82" s="6">
        <f t="shared" si="64"/>
        <v>103</v>
      </c>
      <c r="E82" s="6" t="str">
        <f t="shared" si="64"/>
        <v>--</v>
      </c>
      <c r="F82" s="6">
        <f>+CM82</f>
        <v>203</v>
      </c>
      <c r="G82" s="174" t="str">
        <f t="shared" si="65"/>
        <v>Max Fx</v>
      </c>
      <c r="H82" s="6" t="str">
        <f t="shared" si="65"/>
        <v>Internal</v>
      </c>
      <c r="I82" s="156"/>
      <c r="J82" s="10">
        <f t="shared" si="66"/>
        <v>4145</v>
      </c>
      <c r="K82" s="10">
        <f t="shared" si="66"/>
        <v>9</v>
      </c>
      <c r="L82" s="10">
        <f t="shared" si="66"/>
        <v>3015</v>
      </c>
      <c r="M82" s="10">
        <f t="shared" si="66"/>
        <v>6</v>
      </c>
      <c r="N82" s="10">
        <f>IF(I82*J82&gt;=0,J82*$J$19+I82*$J$18,J82)</f>
        <v>4145</v>
      </c>
      <c r="O82" s="10">
        <f>(K82)*$J$19</f>
        <v>9</v>
      </c>
      <c r="P82" s="14">
        <f>IF(I82*L82&gt;=0,(L82)+I82,L82)</f>
        <v>3015</v>
      </c>
      <c r="Q82" s="3">
        <f>(M82)</f>
        <v>6</v>
      </c>
      <c r="R82" s="20">
        <f t="shared" si="61"/>
        <v>1000</v>
      </c>
      <c r="S82" s="23"/>
      <c r="T82" s="12">
        <v>40</v>
      </c>
      <c r="U82" s="28"/>
      <c r="V82" s="28"/>
      <c r="W82" s="12">
        <v>40</v>
      </c>
      <c r="X82" s="28"/>
      <c r="Y82" s="28"/>
      <c r="Z82" s="12">
        <v>32</v>
      </c>
      <c r="AA82" s="28"/>
      <c r="AB82" s="28"/>
      <c r="AC82" s="158"/>
      <c r="AD82" s="28"/>
      <c r="AE82" s="28"/>
      <c r="AF82" s="158"/>
      <c r="AG82" s="28"/>
      <c r="AH82" s="28"/>
      <c r="AI82" s="29"/>
      <c r="AJ82" s="6">
        <f>PI()/4*T82^2*$O$12/$AX$16</f>
        <v>8377.5804095727817</v>
      </c>
      <c r="AK82" s="28" t="str">
        <f>IF(W82=0,"","+")</f>
        <v>+</v>
      </c>
      <c r="AL82" s="6">
        <f>PI()/4*W82^2*$O$12/$AX$16</f>
        <v>8377.5804095727817</v>
      </c>
      <c r="AM82" s="28" t="str">
        <f>IF(Z82=0,"","+")</f>
        <v>+</v>
      </c>
      <c r="AN82" s="6">
        <f>PI()/4*Z82^2*$O$12/$AX$16</f>
        <v>5361.6514621265796</v>
      </c>
      <c r="AO82" s="28" t="str">
        <f>IF(AC82=0,"","+")</f>
        <v/>
      </c>
      <c r="AP82" s="6">
        <f>PI()/4*AC82^2*$O$12/$AX$16</f>
        <v>0</v>
      </c>
      <c r="AQ82" s="28" t="str">
        <f>IF(AF82=0,"","+")</f>
        <v/>
      </c>
      <c r="AR82" s="6">
        <f>PI()/4*AF82^2*$O$12/$AX$16</f>
        <v>0</v>
      </c>
      <c r="AS82" s="28" t="str">
        <f>IF(AI82=0,"","+")</f>
        <v/>
      </c>
      <c r="AT82" s="6">
        <f>PI()/4*AI82^2*$O$12/$AX$16</f>
        <v>0</v>
      </c>
      <c r="AU82" s="28" t="s">
        <v>24</v>
      </c>
      <c r="AV82" s="15">
        <f>VALUE(AJ82)+VALUE(AL82)+VALUE(AN82)+VALUE(AP82)+VALUE(AR82)+VALUE(AT82)</f>
        <v>22116.812281272141</v>
      </c>
      <c r="AW82" s="228">
        <f>MAX(0.3*$AJ$14^(2/3)/$AJ$16*0.26*100,0.13)</f>
        <v>0.15723814702688016</v>
      </c>
      <c r="AX82" s="6">
        <f>AW82/100*$O$12*BK82</f>
        <v>1301.7889136125434</v>
      </c>
      <c r="AY82" s="6"/>
      <c r="AZ82" s="6"/>
      <c r="BA82" s="24" t="str">
        <f>IF(BB82=0,"","+")</f>
        <v/>
      </c>
      <c r="BB82" s="24"/>
      <c r="BC82" s="28" t="s">
        <v>24</v>
      </c>
      <c r="BD82" s="15">
        <f>AX82+AZ82+BB82</f>
        <v>1301.7889136125434</v>
      </c>
      <c r="BE82" s="2">
        <f>(R82-($AX$14+$O$16+T82/2))</f>
        <v>897</v>
      </c>
      <c r="BF82" s="3">
        <f>IF(W82=0,0,(R82-($AX$14+T82/2+$O$16+$BI$16)))</f>
        <v>817</v>
      </c>
      <c r="BG82" s="3">
        <f>IF(Z82=0,0,(R82-($AX$14+T82/2+$BI$16+$O$16+$BI$17)))</f>
        <v>737</v>
      </c>
      <c r="BH82" s="3">
        <f>IF(AC82=0,0,(R82-($AX$14+T82/2+$O$16+$BI$16+$BI$17+$BI$18)))</f>
        <v>0</v>
      </c>
      <c r="BI82" s="3">
        <f>IF(AF82=0,0,(R82-($AX$14+T82/2+$O$16+$BI$16+$BI$17+$BI$18+$BL$16)))</f>
        <v>0</v>
      </c>
      <c r="BJ82" s="3">
        <f>IF(AI82=0,0,(R82-($AX$14+T82/2+$O$16+$BI$16+$BI$17+$BI$18+$BL$16+$BL$17)))</f>
        <v>0</v>
      </c>
      <c r="BK82" s="6">
        <f>(BE82*AJ82+BF82*AL82+BG82*AN82+BH82*AP82+BI82*AR82+BJ82*AT82)/AV82</f>
        <v>827.90909090909099</v>
      </c>
      <c r="BL82" s="175">
        <f>ABS(N82)*1000000/$O$12/BK82^2</f>
        <v>6.0472682249968877</v>
      </c>
      <c r="BM82" s="175">
        <f>BL82/$AJ$14</f>
        <v>0.18897713203115274</v>
      </c>
      <c r="BN82" s="21">
        <f>IF(BM82&lt;0.167,0.5+SQRT(0.25-(BM82/1.134)),0.82)</f>
        <v>0.82</v>
      </c>
      <c r="BO82" s="15">
        <f>ABS(N82)/(0.87*$AJ$16*BN82*BK82)*10^6</f>
        <v>14035.851804431191</v>
      </c>
      <c r="BP82" s="22">
        <v>491.33983095271486</v>
      </c>
      <c r="BQ82" s="175">
        <f>IF(Q82=0,2*ABS(P82*10^6)/$O$12/BP82/(BK82-BP82/3),Q82*BP82*1000/($O$12/2*BP82^2-(BE82-BP82)*AJ82*$AJ$18-(BF82-BP82)*AL82*$AJ$18-(BG82-BP82)*AN82*$AJ$18-(BH82-BP82)*AP82*$AJ$18-(BI82-BP82)*AR82*$AJ$18-(BJ82-BP82)*AT82*$AJ$18))</f>
        <v>18.178017634836028</v>
      </c>
      <c r="BR82" s="3">
        <f>0.5*$O$12*BP82*BQ82 /1000</f>
        <v>4465.7920558779015</v>
      </c>
      <c r="BS82" s="3">
        <f>($BQ82/$BP82)*(BE82-$BP82)*$AJ$18*AJ82/1000</f>
        <v>2036.0976478147481</v>
      </c>
      <c r="BT82" s="3">
        <f>($BQ82/$BP82)*(BF82-$BP82)*$AJ$18*AL82/1000</f>
        <v>1634.5600450283303</v>
      </c>
      <c r="BU82" s="3">
        <f>($BQ82/$BP82)*(BG82-$BP82)*$AJ$18*AN82/1000</f>
        <v>789.13436303482399</v>
      </c>
      <c r="BV82" s="3">
        <f>($BQ82/$BP82)*(BH82-$BP82)*$AJ$18*AP82/1000</f>
        <v>0</v>
      </c>
      <c r="BW82" s="3">
        <f>($BQ82/$BP82)*(BI82-$BP82)*$AJ$18*AR82/1000</f>
        <v>0</v>
      </c>
      <c r="BX82" s="3">
        <f>($BQ82/$BP82)*(BJ82-$BP82)*$AJ$18*AT82/1000</f>
        <v>0</v>
      </c>
      <c r="BY82" s="175">
        <f>IF(Q82=0,0,(0.5*$O$12*BP82*BQ82/1000*(R82/2-$BP82/3)+BS82*(BE82-R82/2)+BT82*(BF82-R82/2)+BU82*(BG82-R82/2)+BV82*(BH82-R82/2)+BW82*(BI82-R82/2)+BX82*(BJ82-R82/2))/1000-ABS(P82))</f>
        <v>1.1662982615234796E-6</v>
      </c>
      <c r="BZ82" s="10"/>
      <c r="CA82" s="176">
        <f>ABS(P82)/(BK82-BP82/3)/AV82*10^6-Q82*(R82/2-BP82/3)/(BK82-BP82/3)/AV82*1000</f>
        <v>205.12640196930761</v>
      </c>
      <c r="CB82" s="177">
        <f>(AV82/($O$12*MIN(2.5*(R82-BK82),(R82-BP82)/3,R82/2)-AV82))</f>
        <v>0.15000899146685356</v>
      </c>
      <c r="CC82" s="177">
        <f>3.4*($O$16+$AX$14)+0.425*0.8*0.5*(T82^2+W82^2+Z82^2+AC82^2+AF82^2+AI82^2)/(T82+W82+Z82+AC82+AF82+AI82)/CB82</f>
        <v>324.94029515654239</v>
      </c>
      <c r="CD82" s="177">
        <f>MAX(0.6*CA82/$AJ$17,(CA82-0.4*0.3*$AJ$14^(2/3)/CB82*(1+$AJ$17/$AJ$15*CB82))/$AJ$17)</f>
        <v>0.88738201527797889</v>
      </c>
      <c r="CE82" s="178">
        <f>CC82*CD82/1000</f>
        <v>0.28834617396103385</v>
      </c>
      <c r="CF82" s="23" t="str">
        <f>IF(AND(AV82&gt;=BD82,AV82&gt;=BO82,CE82&lt;=(+IF(CO82="External",0.25,0.3))),"O.K", "Not O.K")</f>
        <v>O.K</v>
      </c>
      <c r="CG82" s="28"/>
      <c r="CH82" s="179" t="str">
        <f>IF(O82&lt;0.2*$AJ$14*R82*$O$12/1000,"N &lt; 0.2fckAc - OK!","TBA")</f>
        <v>N &lt; 0.2fckAc - OK!</v>
      </c>
      <c r="CI82" s="24"/>
      <c r="CJ82" s="25"/>
      <c r="CK82" s="6">
        <f t="shared" si="10"/>
        <v>103</v>
      </c>
      <c r="CL82" s="8" t="s">
        <v>72</v>
      </c>
      <c r="CM82" s="6">
        <f t="shared" si="11"/>
        <v>203</v>
      </c>
      <c r="CN82" s="26" t="s">
        <v>145</v>
      </c>
      <c r="CO82" s="27" t="s">
        <v>106</v>
      </c>
      <c r="CP82" s="2">
        <v>4145</v>
      </c>
      <c r="CQ82" s="15">
        <v>9</v>
      </c>
      <c r="CR82" s="3">
        <v>3015</v>
      </c>
      <c r="CS82" s="15">
        <v>6</v>
      </c>
      <c r="CT82" s="20">
        <v>1000</v>
      </c>
      <c r="CU82" s="2">
        <v>103</v>
      </c>
      <c r="CV82" s="15">
        <v>203</v>
      </c>
      <c r="CW82" s="6"/>
      <c r="CX82" s="278"/>
      <c r="CY82" s="6"/>
      <c r="CZ82" s="6"/>
      <c r="DA82" s="6"/>
      <c r="DB82" s="6"/>
      <c r="DC82" s="6"/>
      <c r="DD82" s="6"/>
      <c r="DE82" s="6"/>
      <c r="DF82" s="6"/>
      <c r="DG82" s="6"/>
      <c r="DH82" s="6"/>
      <c r="DI82" s="6"/>
      <c r="DJ82" s="212"/>
      <c r="DK82" s="13"/>
      <c r="DL82" s="13"/>
      <c r="DM82" s="202"/>
      <c r="DN82" s="206">
        <f>IF(CO82="external",T82,0)</f>
        <v>0</v>
      </c>
      <c r="DO82" s="206">
        <f>IF(CO82="external",W82,0)</f>
        <v>0</v>
      </c>
      <c r="DP82" s="206">
        <f>IF(CO82="external",Z82,0)</f>
        <v>0</v>
      </c>
      <c r="DQ82" s="206">
        <f>IF(CO82="external",AC82,0)</f>
        <v>0</v>
      </c>
      <c r="DR82" s="206">
        <f>IF(CO82="external",AF82,0)</f>
        <v>0</v>
      </c>
      <c r="DS82" s="207">
        <f>IF(CO82="external",AI82,0)</f>
        <v>0</v>
      </c>
      <c r="DT82" s="208"/>
      <c r="DU82" s="207">
        <f>IF(CO82="internal",T82,0)</f>
        <v>40</v>
      </c>
      <c r="DV82" s="207">
        <f>IF(CO82="internal",W82,0)</f>
        <v>40</v>
      </c>
      <c r="DW82" s="207">
        <f>IF(CO82="internal",Z82,0)</f>
        <v>32</v>
      </c>
      <c r="DX82" s="207">
        <f>IF(CO82="internal",AC82,0)</f>
        <v>0</v>
      </c>
      <c r="DY82" s="207">
        <f>IF(CO82="internal",AF82,0)</f>
        <v>0</v>
      </c>
      <c r="DZ82" s="207">
        <f>IF(CO82="internal",AI82,0)</f>
        <v>0</v>
      </c>
    </row>
    <row r="83" spans="1:131" s="7" customFormat="1" x14ac:dyDescent="0.3">
      <c r="B83" s="19">
        <f>+CI83</f>
        <v>0</v>
      </c>
      <c r="C83" s="6">
        <f t="shared" si="64"/>
        <v>0</v>
      </c>
      <c r="D83" s="6">
        <f t="shared" si="64"/>
        <v>112</v>
      </c>
      <c r="E83" s="6" t="str">
        <f t="shared" si="64"/>
        <v>--</v>
      </c>
      <c r="F83" s="6">
        <f>+CM83</f>
        <v>212</v>
      </c>
      <c r="G83" s="174" t="str">
        <f t="shared" si="65"/>
        <v>Min Fx</v>
      </c>
      <c r="H83" s="6" t="str">
        <f t="shared" si="65"/>
        <v>Internal</v>
      </c>
      <c r="I83" s="156"/>
      <c r="J83" s="10">
        <f t="shared" si="66"/>
        <v>2185</v>
      </c>
      <c r="K83" s="10">
        <f t="shared" si="66"/>
        <v>0</v>
      </c>
      <c r="L83" s="10">
        <f t="shared" si="66"/>
        <v>1499</v>
      </c>
      <c r="M83" s="10">
        <f t="shared" si="66"/>
        <v>0</v>
      </c>
      <c r="N83" s="10">
        <f>IF(I83*J83&gt;=0,J83*$J$19+I83*$J$18,J83)</f>
        <v>2185</v>
      </c>
      <c r="O83" s="10">
        <f>(K83)*$J$19</f>
        <v>0</v>
      </c>
      <c r="P83" s="14">
        <f>IF(I83*L83&gt;=0,(L83)+I83,L83)</f>
        <v>1499</v>
      </c>
      <c r="Q83" s="3">
        <f>(M83)</f>
        <v>0</v>
      </c>
      <c r="R83" s="20">
        <f t="shared" si="61"/>
        <v>1000</v>
      </c>
      <c r="S83" s="23"/>
      <c r="T83" s="12">
        <v>40</v>
      </c>
      <c r="U83" s="28"/>
      <c r="V83" s="28"/>
      <c r="W83" s="12">
        <v>20</v>
      </c>
      <c r="X83" s="28"/>
      <c r="Y83" s="28"/>
      <c r="Z83" s="12"/>
      <c r="AA83" s="28"/>
      <c r="AB83" s="28"/>
      <c r="AC83" s="158"/>
      <c r="AD83" s="28"/>
      <c r="AE83" s="28"/>
      <c r="AF83" s="158"/>
      <c r="AG83" s="28"/>
      <c r="AH83" s="28"/>
      <c r="AI83" s="29"/>
      <c r="AJ83" s="6">
        <f>PI()/4*T83^2*$O$12/$AX$16</f>
        <v>8377.5804095727817</v>
      </c>
      <c r="AK83" s="28" t="str">
        <f>IF(W83=0,"","+")</f>
        <v>+</v>
      </c>
      <c r="AL83" s="6">
        <f>PI()/4*W83^2*$O$12/$AX$16</f>
        <v>2094.3951023931954</v>
      </c>
      <c r="AM83" s="28" t="str">
        <f>IF(Z83=0,"","+")</f>
        <v/>
      </c>
      <c r="AN83" s="6">
        <f>PI()/4*Z83^2*$O$12/$AX$16</f>
        <v>0</v>
      </c>
      <c r="AO83" s="28" t="str">
        <f>IF(AC83=0,"","+")</f>
        <v/>
      </c>
      <c r="AP83" s="6">
        <f>PI()/4*AC83^2*$O$12/$AX$16</f>
        <v>0</v>
      </c>
      <c r="AQ83" s="28" t="str">
        <f>IF(AF83=0,"","+")</f>
        <v/>
      </c>
      <c r="AR83" s="6">
        <f>PI()/4*AF83^2*$O$12/$AX$16</f>
        <v>0</v>
      </c>
      <c r="AS83" s="28" t="str">
        <f>IF(AI83=0,"","+")</f>
        <v/>
      </c>
      <c r="AT83" s="6">
        <f>PI()/4*AI83^2*$O$12/$AX$16</f>
        <v>0</v>
      </c>
      <c r="AU83" s="28" t="s">
        <v>24</v>
      </c>
      <c r="AV83" s="15">
        <f>VALUE(AJ83)+VALUE(AL83)+VALUE(AN83)+VALUE(AP83)+VALUE(AR83)+VALUE(AT83)</f>
        <v>10471.975511965977</v>
      </c>
      <c r="AW83" s="228">
        <f>MAX(0.3*$AJ$14^(2/3)/$AJ$16*0.26*100,0.13)</f>
        <v>0.15723814702688016</v>
      </c>
      <c r="AX83" s="6">
        <f>AW83/100*$O$12*BK83</f>
        <v>1385.2680753068144</v>
      </c>
      <c r="AY83" s="6"/>
      <c r="AZ83" s="6"/>
      <c r="BA83" s="24" t="str">
        <f>IF(BB83=0,"","+")</f>
        <v/>
      </c>
      <c r="BB83" s="24"/>
      <c r="BC83" s="28" t="s">
        <v>24</v>
      </c>
      <c r="BD83" s="15">
        <f>AX83+AZ83+BB83</f>
        <v>1385.2680753068144</v>
      </c>
      <c r="BE83" s="2">
        <f>(R83-($AX$14+$O$16+T83/2))</f>
        <v>897</v>
      </c>
      <c r="BF83" s="3">
        <f>IF(W83=0,0,(R83-($AX$14+T83/2+$O$16+$BI$16)))</f>
        <v>817</v>
      </c>
      <c r="BG83" s="3">
        <f>IF(Z83=0,0,(R83-($AX$14+T83/2+$BI$16+$O$16+$BI$17)))</f>
        <v>0</v>
      </c>
      <c r="BH83" s="3">
        <f>IF(AC83=0,0,(R83-($AX$14+T83/2+$O$16+$BI$16+$BI$17+$BI$18)))</f>
        <v>0</v>
      </c>
      <c r="BI83" s="3">
        <f>IF(AF83=0,0,(R83-($AX$14+T83/2+$O$16+$BI$16+$BI$17+$BI$18+$BL$16)))</f>
        <v>0</v>
      </c>
      <c r="BJ83" s="3">
        <f>IF(AI83=0,0,(R83-($AX$14+T83/2+$O$16+$BI$16+$BI$17+$BI$18+$BL$16+$BL$17)))</f>
        <v>0</v>
      </c>
      <c r="BK83" s="6">
        <f>(BE83*AJ83+BF83*AL83+BG83*AN83+BH83*AP83+BI83*AR83+BJ83*AT83)/AV83</f>
        <v>881</v>
      </c>
      <c r="BL83" s="175">
        <f>ABS(N83)*1000000/$O$12/BK83^2</f>
        <v>2.8151375809915726</v>
      </c>
      <c r="BM83" s="175">
        <f>BL83/$AJ$14</f>
        <v>8.7973049405986645E-2</v>
      </c>
      <c r="BN83" s="21">
        <f>IF(BM83&lt;0.167,0.5+SQRT(0.25-(BM83/1.134)),0.82)</f>
        <v>0.91523770905491686</v>
      </c>
      <c r="BO83" s="15">
        <f>ABS(N83)/(0.87*$AJ$16*BN83*BK83)*10^6</f>
        <v>6229.4882440716565</v>
      </c>
      <c r="BP83" s="22">
        <v>500</v>
      </c>
      <c r="BQ83" s="175">
        <f>IF(Q83=0,2*ABS(P83*10^6)/$O$12/BP83/(BK83-BP83/3),Q83*BP83*1000/($O$12/2*BP83^2-(BE83-BP83)*AJ83*$AJ$18-(BF83-BP83)*AL83*$AJ$18-(BG83-BP83)*AN83*$AJ$18-(BH83-BP83)*AP83*$AJ$18-(BI83-BP83)*AR83*$AJ$18-(BJ83-BP83)*AT83*$AJ$18))</f>
        <v>8.3938404106392905</v>
      </c>
      <c r="BR83" s="3">
        <f>0.5*$O$12*BP83*BQ83 /1000</f>
        <v>2098.4601026598225</v>
      </c>
      <c r="BS83" s="3">
        <f>($BQ83/$BP83)*(BE83-$BP83)*$AJ$18*AJ83/1000</f>
        <v>904.17583697636792</v>
      </c>
      <c r="BT83" s="3">
        <f>($BQ83/$BP83)*(BF83-$BP83)*$AJ$18*AL83/1000</f>
        <v>180.49353924528251</v>
      </c>
      <c r="BU83" s="3">
        <f>($BQ83/$BP83)*(BG83-$BP83)*$AJ$18*AN83/1000</f>
        <v>0</v>
      </c>
      <c r="BV83" s="3">
        <f>($BQ83/$BP83)*(BH83-$BP83)*$AJ$18*AP83/1000</f>
        <v>0</v>
      </c>
      <c r="BW83" s="3">
        <f>($BQ83/$BP83)*(BI83-$BP83)*$AJ$18*AR83/1000</f>
        <v>0</v>
      </c>
      <c r="BX83" s="3">
        <f>($BQ83/$BP83)*(BJ83-$BP83)*$AJ$18*AT83/1000</f>
        <v>0</v>
      </c>
      <c r="BY83" s="175">
        <f>IF(Q83=0,0,(0.5*$O$12*BP83*BQ83/1000*(R83/2-$BP83/3)+BS83*(BE83-R83/2)+BT83*(BF83-R83/2)+BU83*(BG83-R83/2)+BV83*(BH83-R83/2)+BW83*(BI83-R83/2)+BX83*(BJ83-R83/2))/1000-ABS(P83))</f>
        <v>0</v>
      </c>
      <c r="BZ83" s="10"/>
      <c r="CA83" s="176">
        <f>ABS(P83)/(BK83-BP83/3)/AV83*10^6-Q83*(R83/2-BP83/3)/(BK83-BP83/3)/AV83*1000</f>
        <v>200.38817893166217</v>
      </c>
      <c r="CB83" s="177">
        <f>(AV83/($O$12*MIN(2.5*(R83-BK83),(R83-BP83)/3,R83/2)-AV83))</f>
        <v>6.7044375417306387E-2</v>
      </c>
      <c r="CC83" s="177">
        <f>3.4*($O$16+$AX$14)+0.425*0.8*0.5*(T83^2+W83^2+Z83^2+AC83^2+AF83^2+AI83^2)/(T83+W83+Z83+AC83+AF83+AI83)/CB83</f>
        <v>366.72113441874069</v>
      </c>
      <c r="CD83" s="177">
        <f>MAX(0.6*CA83/$AJ$17,(CA83-0.4*0.3*$AJ$14^(2/3)/CB83*(1+$AJ$17/$AJ$15*CB83))/$AJ$17)</f>
        <v>0.81380269987766851</v>
      </c>
      <c r="CE83" s="178">
        <f>CC83*CD83/1000</f>
        <v>0.29843864929217256</v>
      </c>
      <c r="CF83" s="23" t="str">
        <f>IF(AND(AV83&gt;=BD83,AV83&gt;=BO83,CE83&lt;=(+IF(CO83="External",0.25,0.3))),"O.K", "Not O.K")</f>
        <v>O.K</v>
      </c>
      <c r="CG83" s="28"/>
      <c r="CH83" s="179" t="str">
        <f>IF(O83&lt;0.2*$AJ$14*R83*$O$12/1000,"N &lt; 0.2fckAc - OK!","TBA")</f>
        <v>N &lt; 0.2fckAc - OK!</v>
      </c>
      <c r="CI83" s="24"/>
      <c r="CJ83" s="25"/>
      <c r="CK83" s="6">
        <f t="shared" si="10"/>
        <v>112</v>
      </c>
      <c r="CL83" s="8" t="s">
        <v>72</v>
      </c>
      <c r="CM83" s="6">
        <f t="shared" si="11"/>
        <v>212</v>
      </c>
      <c r="CN83" s="26" t="s">
        <v>146</v>
      </c>
      <c r="CO83" s="27" t="s">
        <v>106</v>
      </c>
      <c r="CP83" s="2">
        <v>2185</v>
      </c>
      <c r="CQ83" s="15">
        <v>0</v>
      </c>
      <c r="CR83" s="3">
        <v>1499</v>
      </c>
      <c r="CS83" s="15">
        <v>0</v>
      </c>
      <c r="CT83" s="20">
        <v>1000</v>
      </c>
      <c r="CU83" s="2">
        <v>112</v>
      </c>
      <c r="CV83" s="15">
        <v>212</v>
      </c>
      <c r="CW83" s="6"/>
      <c r="CX83" s="278"/>
      <c r="CY83" s="6"/>
      <c r="CZ83" s="6"/>
      <c r="DA83" s="6"/>
      <c r="DB83" s="6"/>
      <c r="DC83" s="6"/>
      <c r="DD83" s="6"/>
      <c r="DE83" s="6"/>
      <c r="DF83" s="6"/>
      <c r="DG83" s="6"/>
      <c r="DH83" s="6"/>
      <c r="DI83" s="6"/>
      <c r="DJ83" s="212"/>
      <c r="DK83" s="13"/>
      <c r="DL83" s="13"/>
      <c r="DM83" s="202"/>
      <c r="DN83" s="206">
        <f>IF(CO83="external",T83,0)</f>
        <v>0</v>
      </c>
      <c r="DO83" s="206">
        <f>IF(CO83="external",W83,0)</f>
        <v>0</v>
      </c>
      <c r="DP83" s="206">
        <f>IF(CO83="external",Z83,0)</f>
        <v>0</v>
      </c>
      <c r="DQ83" s="206">
        <f>IF(CO83="external",AC83,0)</f>
        <v>0</v>
      </c>
      <c r="DR83" s="206">
        <f>IF(CO83="external",AF83,0)</f>
        <v>0</v>
      </c>
      <c r="DS83" s="207">
        <f>IF(CO83="external",AI83,0)</f>
        <v>0</v>
      </c>
      <c r="DT83" s="208"/>
      <c r="DU83" s="207">
        <f>IF(CO83="internal",T83,0)</f>
        <v>40</v>
      </c>
      <c r="DV83" s="207">
        <f>IF(CO83="internal",W83,0)</f>
        <v>20</v>
      </c>
      <c r="DW83" s="207">
        <f>IF(CO83="internal",Z83,0)</f>
        <v>0</v>
      </c>
      <c r="DX83" s="207">
        <f>IF(CO83="internal",AC83,0)</f>
        <v>0</v>
      </c>
      <c r="DY83" s="207">
        <f>IF(CO83="internal",AF83,0)</f>
        <v>0</v>
      </c>
      <c r="DZ83" s="207">
        <f>IF(CO83="internal",AI83,0)</f>
        <v>0</v>
      </c>
    </row>
    <row r="84" spans="1:131" s="7" customFormat="1" x14ac:dyDescent="0.3">
      <c r="B84" s="19"/>
      <c r="C84" s="6"/>
      <c r="D84" s="6"/>
      <c r="E84" s="6"/>
      <c r="F84" s="6"/>
      <c r="G84" s="232"/>
      <c r="H84" s="6"/>
      <c r="I84" s="24"/>
      <c r="J84" s="6"/>
      <c r="K84" s="6"/>
      <c r="L84" s="6"/>
      <c r="M84" s="6"/>
      <c r="N84" s="6"/>
      <c r="O84" s="6"/>
      <c r="P84" s="24"/>
      <c r="Q84" s="6"/>
      <c r="R84" s="6"/>
      <c r="S84" s="28"/>
      <c r="T84" s="12"/>
      <c r="U84" s="28"/>
      <c r="V84" s="28"/>
      <c r="W84" s="12"/>
      <c r="X84" s="28"/>
      <c r="Y84" s="28"/>
      <c r="Z84" s="12"/>
      <c r="AA84" s="28"/>
      <c r="AB84" s="28"/>
      <c r="AC84" s="158"/>
      <c r="AD84" s="28"/>
      <c r="AE84" s="28"/>
      <c r="AF84" s="158"/>
      <c r="AG84" s="28"/>
      <c r="AH84" s="28"/>
      <c r="AI84" s="12"/>
      <c r="AJ84" s="6"/>
      <c r="AK84" s="28"/>
      <c r="AL84" s="6"/>
      <c r="AM84" s="28"/>
      <c r="AN84" s="6"/>
      <c r="AO84" s="28"/>
      <c r="AP84" s="6"/>
      <c r="AQ84" s="28"/>
      <c r="AR84" s="6"/>
      <c r="AS84" s="28"/>
      <c r="AT84" s="6"/>
      <c r="AU84" s="28"/>
      <c r="AV84" s="6"/>
      <c r="AW84" s="233"/>
      <c r="AX84" s="6"/>
      <c r="AY84" s="6"/>
      <c r="AZ84" s="6"/>
      <c r="BA84" s="24"/>
      <c r="BB84" s="24"/>
      <c r="BC84" s="28"/>
      <c r="BD84" s="6"/>
      <c r="BE84" s="6"/>
      <c r="BF84" s="6"/>
      <c r="BG84" s="6"/>
      <c r="BH84" s="6"/>
      <c r="BI84" s="6"/>
      <c r="BJ84" s="6"/>
      <c r="BK84" s="6"/>
      <c r="BL84" s="231"/>
      <c r="BM84" s="231"/>
      <c r="BN84" s="231"/>
      <c r="BO84" s="6"/>
      <c r="BP84" s="234"/>
      <c r="BQ84" s="231"/>
      <c r="BR84" s="6"/>
      <c r="BS84" s="6"/>
      <c r="BT84" s="6"/>
      <c r="BU84" s="6"/>
      <c r="BV84" s="6"/>
      <c r="BW84" s="6"/>
      <c r="BX84" s="6"/>
      <c r="BY84" s="231"/>
      <c r="BZ84" s="6"/>
      <c r="CA84" s="234"/>
      <c r="CB84" s="235"/>
      <c r="CC84" s="235"/>
      <c r="CD84" s="235"/>
      <c r="CE84" s="235"/>
      <c r="CF84" s="28"/>
      <c r="CG84" s="28"/>
      <c r="CH84" s="173"/>
      <c r="CI84" s="24"/>
      <c r="CJ84" s="25"/>
      <c r="CK84" s="6">
        <f t="shared" si="10"/>
        <v>0</v>
      </c>
      <c r="CL84" s="8" t="s">
        <v>72</v>
      </c>
      <c r="CM84" s="6">
        <f t="shared" si="11"/>
        <v>0</v>
      </c>
      <c r="CN84" s="236"/>
      <c r="CO84" s="24"/>
      <c r="CP84" s="6"/>
      <c r="CQ84" s="6"/>
      <c r="CR84" s="6"/>
      <c r="CS84" s="6"/>
      <c r="CT84" s="6"/>
      <c r="CU84" s="6"/>
      <c r="CV84" s="6"/>
      <c r="CW84" s="6"/>
      <c r="CX84" s="278"/>
      <c r="CY84" s="6"/>
      <c r="CZ84" s="6"/>
      <c r="DA84" s="6"/>
      <c r="DB84" s="6"/>
      <c r="DC84" s="6"/>
      <c r="DD84" s="6"/>
      <c r="DE84" s="6"/>
      <c r="DF84" s="6"/>
      <c r="DG84" s="6"/>
      <c r="DH84" s="6"/>
      <c r="DI84" s="6"/>
      <c r="DJ84" s="212"/>
      <c r="DK84" s="13"/>
      <c r="DL84" s="13"/>
      <c r="DM84" s="202"/>
      <c r="DN84" s="206"/>
      <c r="DO84" s="206"/>
      <c r="DP84" s="206"/>
      <c r="DQ84" s="206"/>
      <c r="DR84" s="206"/>
      <c r="DS84" s="207"/>
      <c r="DT84" s="208"/>
      <c r="DU84" s="207"/>
      <c r="DV84" s="207"/>
      <c r="DW84" s="207"/>
      <c r="DX84" s="207"/>
      <c r="DY84" s="207"/>
      <c r="DZ84" s="207"/>
    </row>
    <row r="85" spans="1:131" s="7" customFormat="1" ht="13.8" x14ac:dyDescent="0.25">
      <c r="A85" s="7" t="s">
        <v>141</v>
      </c>
      <c r="B85" s="19">
        <f>+CI85</f>
        <v>58</v>
      </c>
      <c r="C85" s="6">
        <f t="shared" ref="C85:E88" si="69">CJ85</f>
        <v>0</v>
      </c>
      <c r="D85" s="6">
        <f t="shared" si="69"/>
        <v>103</v>
      </c>
      <c r="E85" s="6" t="str">
        <f t="shared" si="69"/>
        <v>--</v>
      </c>
      <c r="F85" s="6">
        <f>+CM85</f>
        <v>203</v>
      </c>
      <c r="G85" s="174" t="str">
        <f t="shared" ref="G85:H88" si="70">CN85</f>
        <v>Max Mz</v>
      </c>
      <c r="H85" s="6" t="str">
        <f t="shared" si="70"/>
        <v>Internal</v>
      </c>
      <c r="I85" s="156"/>
      <c r="J85" s="10">
        <f t="shared" ref="J85:M88" si="71">(CP85)</f>
        <v>5536</v>
      </c>
      <c r="K85" s="10">
        <f t="shared" si="71"/>
        <v>9</v>
      </c>
      <c r="L85" s="10">
        <f t="shared" si="71"/>
        <v>4026</v>
      </c>
      <c r="M85" s="10">
        <f t="shared" si="71"/>
        <v>6</v>
      </c>
      <c r="N85" s="10">
        <f>IF(I85*J85&gt;=0,J85*$J$19+I85*$J$18,J85)</f>
        <v>5536</v>
      </c>
      <c r="O85" s="10">
        <f>(K85)*$J$19</f>
        <v>9</v>
      </c>
      <c r="P85" s="14">
        <f>IF(I85*L85&gt;=0,(L85)+I85,L85)</f>
        <v>4026</v>
      </c>
      <c r="Q85" s="3">
        <f>(M85)</f>
        <v>6</v>
      </c>
      <c r="R85" s="20">
        <f t="shared" si="61"/>
        <v>2100</v>
      </c>
      <c r="S85" s="23"/>
      <c r="T85" s="12">
        <v>40</v>
      </c>
      <c r="U85" s="28"/>
      <c r="V85" s="28"/>
      <c r="W85" s="12">
        <v>20</v>
      </c>
      <c r="X85" s="28"/>
      <c r="Y85" s="28"/>
      <c r="Z85" s="12"/>
      <c r="AA85" s="28"/>
      <c r="AB85" s="28"/>
      <c r="AC85" s="158"/>
      <c r="AD85" s="28"/>
      <c r="AE85" s="28"/>
      <c r="AF85" s="158"/>
      <c r="AG85" s="28"/>
      <c r="AH85" s="28"/>
      <c r="AI85" s="29"/>
      <c r="AJ85" s="6">
        <f>PI()/4*T85^2*$O$12/$AX$16</f>
        <v>8377.5804095727817</v>
      </c>
      <c r="AK85" s="28" t="str">
        <f>IF(W85=0,"","+")</f>
        <v>+</v>
      </c>
      <c r="AL85" s="6">
        <f>PI()/4*W85^2*$O$12/$AX$16</f>
        <v>2094.3951023931954</v>
      </c>
      <c r="AM85" s="28" t="str">
        <f>IF(Z85=0,"","+")</f>
        <v/>
      </c>
      <c r="AN85" s="6">
        <f>PI()/4*Z85^2*$O$12/$AX$16</f>
        <v>0</v>
      </c>
      <c r="AO85" s="28" t="str">
        <f>IF(AC85=0,"","+")</f>
        <v/>
      </c>
      <c r="AP85" s="6">
        <f>PI()/4*AC85^2*$O$12/$AX$16</f>
        <v>0</v>
      </c>
      <c r="AQ85" s="28" t="str">
        <f>IF(AF85=0,"","+")</f>
        <v/>
      </c>
      <c r="AR85" s="6">
        <f>PI()/4*AF85^2*$O$12/$AX$16</f>
        <v>0</v>
      </c>
      <c r="AS85" s="28" t="str">
        <f>IF(AI85=0,"","+")</f>
        <v/>
      </c>
      <c r="AT85" s="6">
        <f>PI()/4*AI85^2*$O$12/$AX$16</f>
        <v>0</v>
      </c>
      <c r="AU85" s="28" t="s">
        <v>24</v>
      </c>
      <c r="AV85" s="15">
        <f>VALUE(AJ85)+VALUE(AL85)+VALUE(AN85)+VALUE(AP85)+VALUE(AR85)+VALUE(AT85)</f>
        <v>10471.975511965977</v>
      </c>
      <c r="AW85" s="228">
        <f>MAX(0.3*$AJ$14^(2/3)/$AJ$16*0.26*100,0.13)</f>
        <v>0.15723814702688016</v>
      </c>
      <c r="AX85" s="6">
        <f>AW85/100*$O$12*BK85</f>
        <v>3114.8876926024964</v>
      </c>
      <c r="AY85" s="6"/>
      <c r="AZ85" s="6"/>
      <c r="BA85" s="24" t="str">
        <f>IF(BB85=0,"","+")</f>
        <v/>
      </c>
      <c r="BB85" s="24"/>
      <c r="BC85" s="28" t="s">
        <v>24</v>
      </c>
      <c r="BD85" s="15">
        <f>AX85+AZ85+BB85</f>
        <v>3114.8876926024964</v>
      </c>
      <c r="BE85" s="2">
        <f>(R85-($AX$14+$O$16+T85/2))</f>
        <v>1997</v>
      </c>
      <c r="BF85" s="3">
        <f>IF(W85=0,0,(R85-($AX$14+T85/2+$O$16+$BI$16)))</f>
        <v>1917</v>
      </c>
      <c r="BG85" s="3">
        <f>IF(Z85=0,0,(R85-($AX$14+T85/2+$BI$16+$O$16+$BI$17)))</f>
        <v>0</v>
      </c>
      <c r="BH85" s="3">
        <f>IF(AC85=0,0,(R85-($AX$14+T85/2+$O$16+$BI$16+$BI$17+$BI$18)))</f>
        <v>0</v>
      </c>
      <c r="BI85" s="3">
        <f>IF(AF85=0,0,(R85-($AX$14+T85/2+$O$16+$BI$16+$BI$17+$BI$18+$BL$16)))</f>
        <v>0</v>
      </c>
      <c r="BJ85" s="3">
        <f>IF(AI85=0,0,(R85-($AX$14+T85/2+$O$16+$BI$16+$BI$17+$BI$18+$BL$16+$BL$17)))</f>
        <v>0</v>
      </c>
      <c r="BK85" s="6">
        <f>(BE85*AJ85+BF85*AL85+BG85*AN85+BH85*AP85+BI85*AR85+BJ85*AT85)/AV85</f>
        <v>1981</v>
      </c>
      <c r="BL85" s="175">
        <f>ABS(N85)*1000000/$O$12/BK85^2</f>
        <v>1.4106755214415798</v>
      </c>
      <c r="BM85" s="175">
        <f>BL85/$AJ$14</f>
        <v>4.4083610045049369E-2</v>
      </c>
      <c r="BN85" s="21">
        <f>IF(BM85&lt;0.167,0.5+SQRT(0.25-(BM85/1.134)),0.82)</f>
        <v>0.95948401967225327</v>
      </c>
      <c r="BO85" s="15">
        <f>ABS(N85)/(0.87*$AJ$16*BN85*BK85)*10^6</f>
        <v>6695.5244925931365</v>
      </c>
      <c r="BP85" s="22">
        <v>-1007.9999999999268</v>
      </c>
      <c r="BQ85" s="175">
        <f>IF(Q85=0,2*ABS(P85*10^6)/$O$12/BP85/(BK85-BP85/3),Q85*BP85*1000/($O$12/2*BP85^2-(BE85-BP85)*AJ85*$AJ$18-(BF85-BP85)*AL85*$AJ$18-(BG85-BP85)*AN85*$AJ$18-(BH85-BP85)*AP85*$AJ$18-(BI85-BP85)*AR85*$AJ$18-(BJ85-BP85)*AT85*$AJ$18))</f>
        <v>-5.2631122831032613</v>
      </c>
      <c r="BR85" s="3">
        <f>0.5*$O$12*BP85*BQ85 /1000</f>
        <v>2652.6085906838507</v>
      </c>
      <c r="BS85" s="3">
        <f>($BQ85/$BP85)*(BE85-$BP85)*$AJ$18*AJ85/1000</f>
        <v>2128.6206262977516</v>
      </c>
      <c r="BT85" s="3">
        <f>($BQ85/$BP85)*(BF85-$BP85)*$AJ$18*AL85/1000</f>
        <v>517.98796438609975</v>
      </c>
      <c r="BU85" s="3">
        <f>($BQ85/$BP85)*(BG85-$BP85)*$AJ$18*AN85/1000</f>
        <v>0</v>
      </c>
      <c r="BV85" s="3">
        <f>($BQ85/$BP85)*(BH85-$BP85)*$AJ$18*AP85/1000</f>
        <v>0</v>
      </c>
      <c r="BW85" s="3">
        <f>($BQ85/$BP85)*(BI85-$BP85)*$AJ$18*AR85/1000</f>
        <v>0</v>
      </c>
      <c r="BX85" s="3">
        <f>($BQ85/$BP85)*(BJ85-$BP85)*$AJ$18*AT85/1000</f>
        <v>0</v>
      </c>
      <c r="BY85" s="175">
        <f>IF(Q85=0,0,(0.5*$O$12*BP85*BQ85/1000*(R85/2-$BP85/3)+BS85*(BE85-R85/2)+BT85*(BF85-R85/2)+BU85*(BG85-R85/2)+BV85*(BH85-R85/2)+BW85*(BI85-R85/2)+BX85*(BJ85-R85/2))/1000-ABS(P85))</f>
        <v>2115.4148049144715</v>
      </c>
      <c r="BZ85" s="10"/>
      <c r="CA85" s="176">
        <f>ABS(P85)/(BK85-BP85/3)/AV85*10^6-Q85*(R85/2-BP85/3)/(BK85-BP85/3)/AV85*1000</f>
        <v>165.58505007714078</v>
      </c>
      <c r="CB85" s="177">
        <f>(AV85/($O$12*MIN(2.5*(R85-BK85),(R85-BP85)/3,R85/2)-AV85))</f>
        <v>3.6484157010956073E-2</v>
      </c>
      <c r="CC85" s="177">
        <f>3.4*($O$16+$AX$14)+0.425*0.8*0.5*(T85^2+W85^2+Z85^2+AC85^2+AF85^2+AI85^2)/(T85+W85+Z85+AC85+AF85+AI85)/CB85</f>
        <v>437.51855827078543</v>
      </c>
      <c r="CD85" s="177">
        <f>MAX(0.6*CA85/$AJ$17,(CA85-0.4*0.3*$AJ$14^(2/3)/CB85*(1+$AJ$17/$AJ$15*CB85))/$AJ$17)</f>
        <v>0.56423011618805585</v>
      </c>
      <c r="CE85" s="178">
        <f>CC85*CD85/1000</f>
        <v>0.24686114696755596</v>
      </c>
      <c r="CF85" s="23" t="str">
        <f>IF(AND(AV85&gt;=BD85,AV85&gt;=BO85,CE85&lt;=(+IF(CO85="External",0.25,0.3))),"O.K", "Not O.K")</f>
        <v>O.K</v>
      </c>
      <c r="CG85" s="28"/>
      <c r="CH85" s="179" t="str">
        <f>IF(O85&lt;0.2*$AJ$14*R85*$O$12/1000,"N &lt; 0.2fckAc - OK!","TBA")</f>
        <v>N &lt; 0.2fckAc - OK!</v>
      </c>
      <c r="CI85" s="24">
        <v>58</v>
      </c>
      <c r="CJ85" s="25"/>
      <c r="CK85" s="6">
        <f t="shared" si="10"/>
        <v>103</v>
      </c>
      <c r="CL85" s="8" t="s">
        <v>72</v>
      </c>
      <c r="CM85" s="6">
        <f t="shared" si="11"/>
        <v>203</v>
      </c>
      <c r="CN85" s="26" t="s">
        <v>147</v>
      </c>
      <c r="CO85" s="27" t="s">
        <v>106</v>
      </c>
      <c r="CP85" s="2">
        <v>5536</v>
      </c>
      <c r="CQ85" s="15">
        <v>9</v>
      </c>
      <c r="CR85" s="3">
        <v>4026</v>
      </c>
      <c r="CS85" s="15">
        <v>6</v>
      </c>
      <c r="CT85" s="20">
        <v>2100</v>
      </c>
      <c r="CU85" s="2">
        <v>103</v>
      </c>
      <c r="CV85" s="15">
        <v>203</v>
      </c>
      <c r="CW85" s="6"/>
      <c r="CX85" s="278">
        <f>CI85</f>
        <v>58</v>
      </c>
      <c r="CY85" s="6">
        <f t="shared" ref="CY85:DD85" si="72">MAX(DN85:DN88)</f>
        <v>0</v>
      </c>
      <c r="CZ85" s="6">
        <f t="shared" si="72"/>
        <v>0</v>
      </c>
      <c r="DA85" s="6">
        <f t="shared" si="72"/>
        <v>0</v>
      </c>
      <c r="DB85" s="6">
        <f t="shared" si="72"/>
        <v>0</v>
      </c>
      <c r="DC85" s="6">
        <f t="shared" si="72"/>
        <v>0</v>
      </c>
      <c r="DD85" s="6">
        <f t="shared" si="72"/>
        <v>0</v>
      </c>
      <c r="DE85" s="6"/>
      <c r="DF85" s="6">
        <f t="shared" ref="DF85:DK85" si="73">MAX(DU85:DU88)</f>
        <v>40</v>
      </c>
      <c r="DG85" s="6">
        <f t="shared" si="73"/>
        <v>20</v>
      </c>
      <c r="DH85" s="6">
        <f t="shared" si="73"/>
        <v>0</v>
      </c>
      <c r="DI85" s="6">
        <f t="shared" si="73"/>
        <v>0</v>
      </c>
      <c r="DJ85" s="6">
        <f t="shared" si="73"/>
        <v>0</v>
      </c>
      <c r="DK85" s="6">
        <f t="shared" si="73"/>
        <v>0</v>
      </c>
      <c r="DL85" s="13"/>
      <c r="DM85" s="202">
        <f>CI85</f>
        <v>58</v>
      </c>
      <c r="DN85" s="206">
        <f>IF(CO85="external",T85,0)</f>
        <v>0</v>
      </c>
      <c r="DO85" s="206">
        <f>IF(CO85="external",W85,0)</f>
        <v>0</v>
      </c>
      <c r="DP85" s="206">
        <f>IF(CO85="external",Z85,0)</f>
        <v>0</v>
      </c>
      <c r="DQ85" s="206">
        <f>IF(CO85="external",AC85,0)</f>
        <v>0</v>
      </c>
      <c r="DR85" s="206">
        <f>IF(CO85="external",AF85,0)</f>
        <v>0</v>
      </c>
      <c r="DS85" s="207">
        <f>IF(CO85="external",AI85,0)</f>
        <v>0</v>
      </c>
      <c r="DT85" s="208"/>
      <c r="DU85" s="207">
        <f>IF(CO85="internal",T85,0)</f>
        <v>40</v>
      </c>
      <c r="DV85" s="207">
        <f>IF(CO85="internal",W85,0)</f>
        <v>20</v>
      </c>
      <c r="DW85" s="207">
        <f>IF(CO85="internal",Z85,0)</f>
        <v>0</v>
      </c>
      <c r="DX85" s="207">
        <f>IF(CO85="internal",AC85,0)</f>
        <v>0</v>
      </c>
      <c r="DY85" s="207">
        <f>IF(CO85="internal",AF85,0)</f>
        <v>0</v>
      </c>
      <c r="DZ85" s="207">
        <f>IF(CO85="internal",AI85,0)</f>
        <v>0</v>
      </c>
    </row>
    <row r="86" spans="1:131" s="7" customFormat="1" x14ac:dyDescent="0.3">
      <c r="B86" s="19">
        <f>+CI86</f>
        <v>0</v>
      </c>
      <c r="C86" s="6">
        <f t="shared" si="69"/>
        <v>0</v>
      </c>
      <c r="D86" s="6">
        <f t="shared" si="69"/>
        <v>105</v>
      </c>
      <c r="E86" s="6" t="str">
        <f t="shared" si="69"/>
        <v>--</v>
      </c>
      <c r="F86" s="6">
        <f>+CM86</f>
        <v>205</v>
      </c>
      <c r="G86" s="174" t="str">
        <f t="shared" si="70"/>
        <v>Min Mz</v>
      </c>
      <c r="H86" s="6" t="str">
        <f t="shared" si="70"/>
        <v>Internal</v>
      </c>
      <c r="I86" s="156"/>
      <c r="J86" s="10">
        <f t="shared" si="71"/>
        <v>1161</v>
      </c>
      <c r="K86" s="10">
        <f t="shared" si="71"/>
        <v>2</v>
      </c>
      <c r="L86" s="10">
        <f t="shared" si="71"/>
        <v>788</v>
      </c>
      <c r="M86" s="10">
        <f t="shared" si="71"/>
        <v>2</v>
      </c>
      <c r="N86" s="10">
        <f>IF(I86*J86&gt;=0,J86*$J$19+I86*$J$18,J86)</f>
        <v>1161</v>
      </c>
      <c r="O86" s="10">
        <f>(K86)*$J$19</f>
        <v>2</v>
      </c>
      <c r="P86" s="14">
        <f>IF(I86*L86&gt;=0,(L86)+I86,L86)</f>
        <v>788</v>
      </c>
      <c r="Q86" s="3">
        <f>(M86)</f>
        <v>2</v>
      </c>
      <c r="R86" s="20">
        <f t="shared" si="61"/>
        <v>2100</v>
      </c>
      <c r="S86" s="23"/>
      <c r="T86" s="12">
        <v>25</v>
      </c>
      <c r="U86" s="28"/>
      <c r="V86" s="28"/>
      <c r="W86" s="12"/>
      <c r="X86" s="28"/>
      <c r="Y86" s="28"/>
      <c r="Z86" s="12"/>
      <c r="AA86" s="28"/>
      <c r="AB86" s="28"/>
      <c r="AC86" s="158"/>
      <c r="AD86" s="28"/>
      <c r="AE86" s="28"/>
      <c r="AF86" s="158"/>
      <c r="AG86" s="28"/>
      <c r="AH86" s="28"/>
      <c r="AI86" s="29"/>
      <c r="AJ86" s="6">
        <f>PI()/4*T86^2*$O$12/$AX$16</f>
        <v>3272.4923474893681</v>
      </c>
      <c r="AK86" s="28" t="str">
        <f>IF(W86=0,"","+")</f>
        <v/>
      </c>
      <c r="AL86" s="6">
        <f>PI()/4*W86^2*$O$12/$AX$16</f>
        <v>0</v>
      </c>
      <c r="AM86" s="28" t="str">
        <f>IF(Z86=0,"","+")</f>
        <v/>
      </c>
      <c r="AN86" s="6">
        <f>PI()/4*Z86^2*$O$12/$AX$16</f>
        <v>0</v>
      </c>
      <c r="AO86" s="28" t="str">
        <f>IF(AC86=0,"","+")</f>
        <v/>
      </c>
      <c r="AP86" s="6">
        <f>PI()/4*AC86^2*$O$12/$AX$16</f>
        <v>0</v>
      </c>
      <c r="AQ86" s="28" t="str">
        <f>IF(AF86=0,"","+")</f>
        <v/>
      </c>
      <c r="AR86" s="6">
        <f>PI()/4*AF86^2*$O$12/$AX$16</f>
        <v>0</v>
      </c>
      <c r="AS86" s="28" t="str">
        <f>IF(AI86=0,"","+")</f>
        <v/>
      </c>
      <c r="AT86" s="6">
        <f>PI()/4*AI86^2*$O$12/$AX$16</f>
        <v>0</v>
      </c>
      <c r="AU86" s="28" t="s">
        <v>24</v>
      </c>
      <c r="AV86" s="15">
        <f>VALUE(AJ86)+VALUE(AL86)+VALUE(AN86)+VALUE(AP86)+VALUE(AR86)+VALUE(AT86)</f>
        <v>3272.4923474893681</v>
      </c>
      <c r="AW86" s="228">
        <f>MAX(0.3*$AJ$14^(2/3)/$AJ$16*0.26*100,0.13)</f>
        <v>0.15723814702688016</v>
      </c>
      <c r="AX86" s="6">
        <f>AW86/100*$O$12*BK86</f>
        <v>3151.8386571538126</v>
      </c>
      <c r="AY86" s="6"/>
      <c r="AZ86" s="6"/>
      <c r="BA86" s="24" t="str">
        <f>IF(BB86=0,"","+")</f>
        <v/>
      </c>
      <c r="BB86" s="24"/>
      <c r="BC86" s="28" t="s">
        <v>24</v>
      </c>
      <c r="BD86" s="15">
        <f>AX86+AZ86+BB86</f>
        <v>3151.8386571538126</v>
      </c>
      <c r="BE86" s="2">
        <f>(R86-($AX$14+$O$16+T86/2))</f>
        <v>2004.5</v>
      </c>
      <c r="BF86" s="3">
        <f>IF(W86=0,0,(R86-($AX$14+T86/2+$O$16+$BI$16)))</f>
        <v>0</v>
      </c>
      <c r="BG86" s="3">
        <f>IF(Z86=0,0,(R86-($AX$14+T86/2+$BI$16+$O$16+$BI$17)))</f>
        <v>0</v>
      </c>
      <c r="BH86" s="3">
        <f>IF(AC86=0,0,(R86-($AX$14+T86/2+$O$16+$BI$16+$BI$17+$BI$18)))</f>
        <v>0</v>
      </c>
      <c r="BI86" s="3">
        <f>IF(AF86=0,0,(R86-($AX$14+T86/2+$O$16+$BI$16+$BI$17+$BI$18+$BL$16)))</f>
        <v>0</v>
      </c>
      <c r="BJ86" s="3">
        <f>IF(AI86=0,0,(R86-($AX$14+T86/2+$O$16+$BI$16+$BI$17+$BI$18+$BL$16+$BL$17)))</f>
        <v>0</v>
      </c>
      <c r="BK86" s="6">
        <f>(BE86*AJ86+BF86*AL86+BG86*AN86+BH86*AP86+BI86*AR86+BJ86*AT86)/AV86</f>
        <v>2004.4999999999998</v>
      </c>
      <c r="BL86" s="175">
        <f>ABS(N86)*1000000/$O$12/BK86^2</f>
        <v>0.28894826998445322</v>
      </c>
      <c r="BM86" s="175">
        <f>BL86/$AJ$14</f>
        <v>9.0296334370141632E-3</v>
      </c>
      <c r="BN86" s="21">
        <f>IF(BM86&lt;0.167,0.5+SQRT(0.25-(BM86/1.134)),0.82)</f>
        <v>0.99197292637381984</v>
      </c>
      <c r="BO86" s="15">
        <f>ABS(N86)/(0.87*$AJ$16*BN86*BK86)*10^6</f>
        <v>1342.2613436977279</v>
      </c>
      <c r="BP86" s="22">
        <v>411.83404523468408</v>
      </c>
      <c r="BQ86" s="175">
        <f>IF(Q86=0,2*ABS(P86*10^6)/$O$12/BP86/(BK86-BP86/3),Q86*BP86*1000/($O$12/2*BP86^2-(BE86-BP86)*AJ86*$AJ$18-(BF86-BP86)*AL86*$AJ$18-(BG86-BP86)*AN86*$AJ$18-(BH86-BP86)*AP86*$AJ$18-(BI86-BP86)*AR86*$AJ$18-(BJ86-BP86)*AT86*$AJ$18))</f>
        <v>2.0544182252146359</v>
      </c>
      <c r="BR86" s="3">
        <f>0.5*$O$12*BP86*BQ86 /1000</f>
        <v>423.03968414700188</v>
      </c>
      <c r="BS86" s="3">
        <f>($BQ86/$BP86)*(BE86-$BP86)*$AJ$18*AJ86/1000</f>
        <v>421.03968414700188</v>
      </c>
      <c r="BT86" s="3">
        <f>($BQ86/$BP86)*(BF86-$BP86)*$AJ$18*AL86/1000</f>
        <v>0</v>
      </c>
      <c r="BU86" s="3">
        <f>($BQ86/$BP86)*(BG86-$BP86)*$AJ$18*AN86/1000</f>
        <v>0</v>
      </c>
      <c r="BV86" s="3">
        <f>($BQ86/$BP86)*(BH86-$BP86)*$AJ$18*AP86/1000</f>
        <v>0</v>
      </c>
      <c r="BW86" s="3">
        <f>($BQ86/$BP86)*(BI86-$BP86)*$AJ$18*AR86/1000</f>
        <v>0</v>
      </c>
      <c r="BX86" s="3">
        <f>($BQ86/$BP86)*(BJ86-$BP86)*$AJ$18*AT86/1000</f>
        <v>0</v>
      </c>
      <c r="BY86" s="175">
        <f>IF(Q86=0,0,(0.5*$O$12*BP86*BQ86/1000*(R86/2-$BP86/3)+BS86*(BE86-R86/2)+BT86*(BF86-R86/2)+BU86*(BG86-R86/2)+BV86*(BH86-R86/2)+BW86*(BI86-R86/2)+BX86*(BJ86-R86/2))/1000-ABS(P86))</f>
        <v>-1.266355639018002E-6</v>
      </c>
      <c r="BZ86" s="10"/>
      <c r="CA86" s="176">
        <f>ABS(P86)/(BK86-BP86/3)/AV86*10^6-Q86*(R86/2-BP86/3)/(BK86-BP86/3)/AV86*1000</f>
        <v>128.66025038934728</v>
      </c>
      <c r="CB86" s="177">
        <f>(AV86/($O$12*MIN(2.5*(R86-BK86),(R86-BP86)/3,R86/2)-AV86))</f>
        <v>1.3897260847174034E-2</v>
      </c>
      <c r="CC86" s="177">
        <f>3.4*($O$16+$AX$14)+0.425*0.8*0.5*(T86^2+W86^2+Z86^2+AC86^2+AF86^2+AI86^2)/(T86+W86+Z86+AC86+AF86+AI86)/CB86</f>
        <v>588.01566013163131</v>
      </c>
      <c r="CD86" s="177">
        <f>MAX(0.6*CA86/$AJ$17,(CA86-0.4*0.3*$AJ$14^(2/3)/CB86*(1+$AJ$17/$AJ$15*CB86))/$AJ$17)</f>
        <v>0.38598075116804181</v>
      </c>
      <c r="CE86" s="178">
        <f>CC86*CD86/1000</f>
        <v>0.22696272619617902</v>
      </c>
      <c r="CF86" s="23" t="str">
        <f>IF(AND(AV86&gt;=BD86,AV86&gt;=BO86,CE86&lt;=(+IF(CO86="External",0.25,0.3))),"O.K", "Not O.K")</f>
        <v>O.K</v>
      </c>
      <c r="CG86" s="28"/>
      <c r="CH86" s="179" t="str">
        <f>IF(O86&lt;0.2*$AJ$14*R86*$O$12/1000,"N &lt; 0.2fckAc - OK!","TBA")</f>
        <v>N &lt; 0.2fckAc - OK!</v>
      </c>
      <c r="CI86" s="24"/>
      <c r="CJ86" s="25"/>
      <c r="CK86" s="6">
        <f t="shared" si="10"/>
        <v>105</v>
      </c>
      <c r="CL86" s="8" t="s">
        <v>72</v>
      </c>
      <c r="CM86" s="6">
        <f t="shared" si="11"/>
        <v>205</v>
      </c>
      <c r="CN86" s="26" t="s">
        <v>148</v>
      </c>
      <c r="CO86" s="27" t="s">
        <v>106</v>
      </c>
      <c r="CP86" s="2">
        <v>1161</v>
      </c>
      <c r="CQ86" s="15">
        <v>2</v>
      </c>
      <c r="CR86" s="3">
        <v>788</v>
      </c>
      <c r="CS86" s="15">
        <v>2</v>
      </c>
      <c r="CT86" s="20">
        <v>2100</v>
      </c>
      <c r="CU86" s="2">
        <v>105</v>
      </c>
      <c r="CV86" s="15">
        <v>205</v>
      </c>
      <c r="CW86" s="6"/>
      <c r="CX86" s="278"/>
      <c r="CY86" s="6"/>
      <c r="CZ86" s="6"/>
      <c r="DA86" s="6"/>
      <c r="DB86" s="6"/>
      <c r="DC86" s="6"/>
      <c r="DD86" s="6"/>
      <c r="DE86" s="6"/>
      <c r="DF86" s="6"/>
      <c r="DG86" s="6"/>
      <c r="DH86" s="6"/>
      <c r="DI86" s="6"/>
      <c r="DJ86" s="212"/>
      <c r="DK86" s="13"/>
      <c r="DL86" s="13"/>
      <c r="DM86" s="202"/>
      <c r="DN86" s="206">
        <f>IF(CO86="external",T86,0)</f>
        <v>0</v>
      </c>
      <c r="DO86" s="206">
        <f>IF(CO86="external",W86,0)</f>
        <v>0</v>
      </c>
      <c r="DP86" s="206">
        <f>IF(CO86="external",Z86,0)</f>
        <v>0</v>
      </c>
      <c r="DQ86" s="206">
        <f>IF(CO86="external",AC86,0)</f>
        <v>0</v>
      </c>
      <c r="DR86" s="206">
        <f>IF(CO86="external",AF86,0)</f>
        <v>0</v>
      </c>
      <c r="DS86" s="207">
        <f>IF(CO86="external",AI86,0)</f>
        <v>0</v>
      </c>
      <c r="DT86" s="208"/>
      <c r="DU86" s="207">
        <f>IF(CO86="internal",T86,0)</f>
        <v>25</v>
      </c>
      <c r="DV86" s="207">
        <f>IF(CO86="internal",W86,0)</f>
        <v>0</v>
      </c>
      <c r="DW86" s="207">
        <f>IF(CO86="internal",Z86,0)</f>
        <v>0</v>
      </c>
      <c r="DX86" s="207">
        <f>IF(CO86="internal",AC86,0)</f>
        <v>0</v>
      </c>
      <c r="DY86" s="207">
        <f>IF(CO86="internal",AF86,0)</f>
        <v>0</v>
      </c>
      <c r="DZ86" s="207">
        <f>IF(CO86="internal",AI86,0)</f>
        <v>0</v>
      </c>
    </row>
    <row r="87" spans="1:131" s="7" customFormat="1" x14ac:dyDescent="0.3">
      <c r="B87" s="19">
        <f>+CI87</f>
        <v>0</v>
      </c>
      <c r="C87" s="6">
        <f t="shared" si="69"/>
        <v>0</v>
      </c>
      <c r="D87" s="6">
        <f t="shared" si="69"/>
        <v>103</v>
      </c>
      <c r="E87" s="6" t="str">
        <f t="shared" si="69"/>
        <v>--</v>
      </c>
      <c r="F87" s="6">
        <f>+CM87</f>
        <v>203</v>
      </c>
      <c r="G87" s="174" t="str">
        <f t="shared" si="70"/>
        <v>Max Fx</v>
      </c>
      <c r="H87" s="6" t="str">
        <f t="shared" si="70"/>
        <v>Internal</v>
      </c>
      <c r="I87" s="156"/>
      <c r="J87" s="10">
        <f t="shared" si="71"/>
        <v>5536</v>
      </c>
      <c r="K87" s="10">
        <f t="shared" si="71"/>
        <v>9</v>
      </c>
      <c r="L87" s="10">
        <f t="shared" si="71"/>
        <v>4026</v>
      </c>
      <c r="M87" s="10">
        <f t="shared" si="71"/>
        <v>6</v>
      </c>
      <c r="N87" s="10">
        <f>IF(I87*J87&gt;=0,J87*$J$19+I87*$J$18,J87)</f>
        <v>5536</v>
      </c>
      <c r="O87" s="10">
        <f>(K87)*$J$19</f>
        <v>9</v>
      </c>
      <c r="P87" s="14">
        <f>IF(I87*L87&gt;=0,(L87)+I87,L87)</f>
        <v>4026</v>
      </c>
      <c r="Q87" s="3">
        <f>(M87)</f>
        <v>6</v>
      </c>
      <c r="R87" s="20">
        <f t="shared" si="61"/>
        <v>2100</v>
      </c>
      <c r="S87" s="23"/>
      <c r="T87" s="12">
        <v>40</v>
      </c>
      <c r="U87" s="28"/>
      <c r="V87" s="28"/>
      <c r="W87" s="12">
        <v>20</v>
      </c>
      <c r="X87" s="28"/>
      <c r="Y87" s="28"/>
      <c r="Z87" s="12"/>
      <c r="AA87" s="28"/>
      <c r="AB87" s="28"/>
      <c r="AC87" s="158"/>
      <c r="AD87" s="28"/>
      <c r="AE87" s="28"/>
      <c r="AF87" s="158"/>
      <c r="AG87" s="28"/>
      <c r="AH87" s="28"/>
      <c r="AI87" s="29"/>
      <c r="AJ87" s="6">
        <f>PI()/4*T87^2*$O$12/$AX$16</f>
        <v>8377.5804095727817</v>
      </c>
      <c r="AK87" s="28" t="str">
        <f>IF(W87=0,"","+")</f>
        <v>+</v>
      </c>
      <c r="AL87" s="6">
        <f>PI()/4*W87^2*$O$12/$AX$16</f>
        <v>2094.3951023931954</v>
      </c>
      <c r="AM87" s="28" t="str">
        <f>IF(Z87=0,"","+")</f>
        <v/>
      </c>
      <c r="AN87" s="6">
        <f>PI()/4*Z87^2*$O$12/$AX$16</f>
        <v>0</v>
      </c>
      <c r="AO87" s="28" t="str">
        <f>IF(AC87=0,"","+")</f>
        <v/>
      </c>
      <c r="AP87" s="6">
        <f>PI()/4*AC87^2*$O$12/$AX$16</f>
        <v>0</v>
      </c>
      <c r="AQ87" s="28" t="str">
        <f>IF(AF87=0,"","+")</f>
        <v/>
      </c>
      <c r="AR87" s="6">
        <f>PI()/4*AF87^2*$O$12/$AX$16</f>
        <v>0</v>
      </c>
      <c r="AS87" s="28" t="str">
        <f>IF(AI87=0,"","+")</f>
        <v/>
      </c>
      <c r="AT87" s="6">
        <f>PI()/4*AI87^2*$O$12/$AX$16</f>
        <v>0</v>
      </c>
      <c r="AU87" s="28" t="s">
        <v>24</v>
      </c>
      <c r="AV87" s="15">
        <f>VALUE(AJ87)+VALUE(AL87)+VALUE(AN87)+VALUE(AP87)+VALUE(AR87)+VALUE(AT87)</f>
        <v>10471.975511965977</v>
      </c>
      <c r="AW87" s="228">
        <f>MAX(0.3*$AJ$14^(2/3)/$AJ$16*0.26*100,0.13)</f>
        <v>0.15723814702688016</v>
      </c>
      <c r="AX87" s="6">
        <f>AW87/100*$O$12*BK87</f>
        <v>3114.8876926024964</v>
      </c>
      <c r="AY87" s="6"/>
      <c r="AZ87" s="6"/>
      <c r="BA87" s="24" t="str">
        <f>IF(BB87=0,"","+")</f>
        <v/>
      </c>
      <c r="BB87" s="24"/>
      <c r="BC87" s="28" t="s">
        <v>24</v>
      </c>
      <c r="BD87" s="15">
        <f>AX87+AZ87+BB87</f>
        <v>3114.8876926024964</v>
      </c>
      <c r="BE87" s="2">
        <f>(R87-($AX$14+$O$16+T87/2))</f>
        <v>1997</v>
      </c>
      <c r="BF87" s="3">
        <f>IF(W87=0,0,(R87-($AX$14+T87/2+$O$16+$BI$16)))</f>
        <v>1917</v>
      </c>
      <c r="BG87" s="3">
        <f>IF(Z87=0,0,(R87-($AX$14+T87/2+$BI$16+$O$16+$BI$17)))</f>
        <v>0</v>
      </c>
      <c r="BH87" s="3">
        <f>IF(AC87=0,0,(R87-($AX$14+T87/2+$O$16+$BI$16+$BI$17+$BI$18)))</f>
        <v>0</v>
      </c>
      <c r="BI87" s="3">
        <f>IF(AF87=0,0,(R87-($AX$14+T87/2+$O$16+$BI$16+$BI$17+$BI$18+$BL$16)))</f>
        <v>0</v>
      </c>
      <c r="BJ87" s="3">
        <f>IF(AI87=0,0,(R87-($AX$14+T87/2+$O$16+$BI$16+$BI$17+$BI$18+$BL$16+$BL$17)))</f>
        <v>0</v>
      </c>
      <c r="BK87" s="6">
        <f>(BE87*AJ87+BF87*AL87+BG87*AN87+BH87*AP87+BI87*AR87+BJ87*AT87)/AV87</f>
        <v>1981</v>
      </c>
      <c r="BL87" s="175">
        <f>ABS(N87)*1000000/$O$12/BK87^2</f>
        <v>1.4106755214415798</v>
      </c>
      <c r="BM87" s="175">
        <f>BL87/$AJ$14</f>
        <v>4.4083610045049369E-2</v>
      </c>
      <c r="BN87" s="21">
        <f>IF(BM87&lt;0.167,0.5+SQRT(0.25-(BM87/1.134)),0.82)</f>
        <v>0.95948401967225327</v>
      </c>
      <c r="BO87" s="15">
        <f>ABS(N87)/(0.87*$AJ$16*BN87*BK87)*10^6</f>
        <v>6695.5244925931365</v>
      </c>
      <c r="BP87" s="22">
        <v>-1007.9999999999268</v>
      </c>
      <c r="BQ87" s="175">
        <f>IF(Q87=0,2*ABS(P87*10^6)/$O$12/BP87/(BK87-BP87/3),Q87*BP87*1000/($O$12/2*BP87^2-(BE87-BP87)*AJ87*$AJ$18-(BF87-BP87)*AL87*$AJ$18-(BG87-BP87)*AN87*$AJ$18-(BH87-BP87)*AP87*$AJ$18-(BI87-BP87)*AR87*$AJ$18-(BJ87-BP87)*AT87*$AJ$18))</f>
        <v>-5.2631122831032613</v>
      </c>
      <c r="BR87" s="3">
        <f>0.5*$O$12*BP87*BQ87 /1000</f>
        <v>2652.6085906838507</v>
      </c>
      <c r="BS87" s="3">
        <f>($BQ87/$BP87)*(BE87-$BP87)*$AJ$18*AJ87/1000</f>
        <v>2128.6206262977516</v>
      </c>
      <c r="BT87" s="3">
        <f>($BQ87/$BP87)*(BF87-$BP87)*$AJ$18*AL87/1000</f>
        <v>517.98796438609975</v>
      </c>
      <c r="BU87" s="3">
        <f>($BQ87/$BP87)*(BG87-$BP87)*$AJ$18*AN87/1000</f>
        <v>0</v>
      </c>
      <c r="BV87" s="3">
        <f>($BQ87/$BP87)*(BH87-$BP87)*$AJ$18*AP87/1000</f>
        <v>0</v>
      </c>
      <c r="BW87" s="3">
        <f>($BQ87/$BP87)*(BI87-$BP87)*$AJ$18*AR87/1000</f>
        <v>0</v>
      </c>
      <c r="BX87" s="3">
        <f>($BQ87/$BP87)*(BJ87-$BP87)*$AJ$18*AT87/1000</f>
        <v>0</v>
      </c>
      <c r="BY87" s="175">
        <f>IF(Q87=0,0,(0.5*$O$12*BP87*BQ87/1000*(R87/2-$BP87/3)+BS87*(BE87-R87/2)+BT87*(BF87-R87/2)+BU87*(BG87-R87/2)+BV87*(BH87-R87/2)+BW87*(BI87-R87/2)+BX87*(BJ87-R87/2))/1000-ABS(P87))</f>
        <v>2115.4148049144715</v>
      </c>
      <c r="BZ87" s="10"/>
      <c r="CA87" s="176">
        <f>ABS(P87)/(BK87-BP87/3)/AV87*10^6-Q87*(R87/2-BP87/3)/(BK87-BP87/3)/AV87*1000</f>
        <v>165.58505007714078</v>
      </c>
      <c r="CB87" s="177">
        <f>(AV87/($O$12*MIN(2.5*(R87-BK87),(R87-BP87)/3,R87/2)-AV87))</f>
        <v>3.6484157010956073E-2</v>
      </c>
      <c r="CC87" s="177">
        <f>3.4*($O$16+$AX$14)+0.425*0.8*0.5*(T87^2+W87^2+Z87^2+AC87^2+AF87^2+AI87^2)/(T87+W87+Z87+AC87+AF87+AI87)/CB87</f>
        <v>437.51855827078543</v>
      </c>
      <c r="CD87" s="177">
        <f>MAX(0.6*CA87/$AJ$17,(CA87-0.4*0.3*$AJ$14^(2/3)/CB87*(1+$AJ$17/$AJ$15*CB87))/$AJ$17)</f>
        <v>0.56423011618805585</v>
      </c>
      <c r="CE87" s="178">
        <f>CC87*CD87/1000</f>
        <v>0.24686114696755596</v>
      </c>
      <c r="CF87" s="23" t="str">
        <f>IF(AND(AV87&gt;=BD87,AV87&gt;=BO87,CE87&lt;=(+IF(CO87="External",0.25,0.3))),"O.K", "Not O.K")</f>
        <v>O.K</v>
      </c>
      <c r="CG87" s="28"/>
      <c r="CH87" s="179" t="str">
        <f>IF(O87&lt;0.2*$AJ$14*R87*$O$12/1000,"N &lt; 0.2fckAc - OK!","TBA")</f>
        <v>N &lt; 0.2fckAc - OK!</v>
      </c>
      <c r="CI87" s="24"/>
      <c r="CJ87" s="25"/>
      <c r="CK87" s="6">
        <f t="shared" si="10"/>
        <v>103</v>
      </c>
      <c r="CL87" s="8" t="s">
        <v>72</v>
      </c>
      <c r="CM87" s="6">
        <f t="shared" si="11"/>
        <v>203</v>
      </c>
      <c r="CN87" s="26" t="s">
        <v>145</v>
      </c>
      <c r="CO87" s="27" t="s">
        <v>106</v>
      </c>
      <c r="CP87" s="2">
        <v>5536</v>
      </c>
      <c r="CQ87" s="15">
        <v>9</v>
      </c>
      <c r="CR87" s="3">
        <v>4026</v>
      </c>
      <c r="CS87" s="15">
        <v>6</v>
      </c>
      <c r="CT87" s="20">
        <v>2100</v>
      </c>
      <c r="CU87" s="2">
        <v>103</v>
      </c>
      <c r="CV87" s="15">
        <v>203</v>
      </c>
      <c r="CW87" s="6"/>
      <c r="CX87" s="278"/>
      <c r="CY87" s="6"/>
      <c r="CZ87" s="6"/>
      <c r="DA87" s="6"/>
      <c r="DB87" s="6"/>
      <c r="DC87" s="6"/>
      <c r="DD87" s="6"/>
      <c r="DE87" s="6"/>
      <c r="DF87" s="6"/>
      <c r="DG87" s="6"/>
      <c r="DH87" s="6"/>
      <c r="DI87" s="6"/>
      <c r="DJ87" s="212"/>
      <c r="DK87" s="13"/>
      <c r="DL87" s="13"/>
      <c r="DM87" s="202"/>
      <c r="DN87" s="206">
        <f>IF(CO87="external",T87,0)</f>
        <v>0</v>
      </c>
      <c r="DO87" s="206">
        <f>IF(CO87="external",W87,0)</f>
        <v>0</v>
      </c>
      <c r="DP87" s="206">
        <f>IF(CO87="external",Z87,0)</f>
        <v>0</v>
      </c>
      <c r="DQ87" s="206">
        <f>IF(CO87="external",AC87,0)</f>
        <v>0</v>
      </c>
      <c r="DR87" s="206">
        <f>IF(CO87="external",AF87,0)</f>
        <v>0</v>
      </c>
      <c r="DS87" s="207">
        <f>IF(CO87="external",AI87,0)</f>
        <v>0</v>
      </c>
      <c r="DT87" s="208"/>
      <c r="DU87" s="207">
        <f>IF(CO87="internal",T87,0)</f>
        <v>40</v>
      </c>
      <c r="DV87" s="207">
        <f>IF(CO87="internal",W87,0)</f>
        <v>20</v>
      </c>
      <c r="DW87" s="207">
        <f>IF(CO87="internal",Z87,0)</f>
        <v>0</v>
      </c>
      <c r="DX87" s="207">
        <f>IF(CO87="internal",AC87,0)</f>
        <v>0</v>
      </c>
      <c r="DY87" s="207">
        <f>IF(CO87="internal",AF87,0)</f>
        <v>0</v>
      </c>
      <c r="DZ87" s="207">
        <f>IF(CO87="internal",AI87,0)</f>
        <v>0</v>
      </c>
    </row>
    <row r="88" spans="1:131" s="7" customFormat="1" x14ac:dyDescent="0.3">
      <c r="B88" s="19">
        <f>+CI88</f>
        <v>0</v>
      </c>
      <c r="C88" s="6">
        <f t="shared" si="69"/>
        <v>0</v>
      </c>
      <c r="D88" s="6">
        <f t="shared" si="69"/>
        <v>112</v>
      </c>
      <c r="E88" s="6" t="str">
        <f t="shared" si="69"/>
        <v>--</v>
      </c>
      <c r="F88" s="6">
        <f>+CM88</f>
        <v>212</v>
      </c>
      <c r="G88" s="174" t="str">
        <f t="shared" si="70"/>
        <v>Min Fx</v>
      </c>
      <c r="H88" s="6" t="str">
        <f t="shared" si="70"/>
        <v>Internal</v>
      </c>
      <c r="I88" s="156"/>
      <c r="J88" s="10">
        <f t="shared" si="71"/>
        <v>2884</v>
      </c>
      <c r="K88" s="10">
        <f t="shared" si="71"/>
        <v>0</v>
      </c>
      <c r="L88" s="10">
        <f t="shared" si="71"/>
        <v>1974</v>
      </c>
      <c r="M88" s="10">
        <f t="shared" si="71"/>
        <v>0</v>
      </c>
      <c r="N88" s="10">
        <f>IF(I88*J88&gt;=0,J88*$J$19+I88*$J$18,J88)</f>
        <v>2884</v>
      </c>
      <c r="O88" s="10">
        <f>(K88)*$J$19</f>
        <v>0</v>
      </c>
      <c r="P88" s="14">
        <f>IF(I88*L88&gt;=0,(L88)+I88,L88)</f>
        <v>1974</v>
      </c>
      <c r="Q88" s="3">
        <f>(M88)</f>
        <v>0</v>
      </c>
      <c r="R88" s="20">
        <f t="shared" si="61"/>
        <v>2100</v>
      </c>
      <c r="S88" s="23"/>
      <c r="T88" s="12">
        <v>40</v>
      </c>
      <c r="U88" s="28"/>
      <c r="V88" s="28"/>
      <c r="W88" s="12"/>
      <c r="X88" s="28"/>
      <c r="Y88" s="28"/>
      <c r="Z88" s="12"/>
      <c r="AA88" s="28"/>
      <c r="AB88" s="28"/>
      <c r="AC88" s="158"/>
      <c r="AD88" s="28"/>
      <c r="AE88" s="28"/>
      <c r="AF88" s="158"/>
      <c r="AG88" s="28"/>
      <c r="AH88" s="28"/>
      <c r="AI88" s="29"/>
      <c r="AJ88" s="6">
        <f>PI()/4*T88^2*$O$12/$AX$16</f>
        <v>8377.5804095727817</v>
      </c>
      <c r="AK88" s="28" t="str">
        <f>IF(W88=0,"","+")</f>
        <v/>
      </c>
      <c r="AL88" s="6">
        <f>PI()/4*W88^2*$O$12/$AX$16</f>
        <v>0</v>
      </c>
      <c r="AM88" s="28" t="str">
        <f>IF(Z88=0,"","+")</f>
        <v/>
      </c>
      <c r="AN88" s="6">
        <f>PI()/4*Z88^2*$O$12/$AX$16</f>
        <v>0</v>
      </c>
      <c r="AO88" s="28" t="str">
        <f>IF(AC88=0,"","+")</f>
        <v/>
      </c>
      <c r="AP88" s="6">
        <f>PI()/4*AC88^2*$O$12/$AX$16</f>
        <v>0</v>
      </c>
      <c r="AQ88" s="28" t="str">
        <f>IF(AF88=0,"","+")</f>
        <v/>
      </c>
      <c r="AR88" s="6">
        <f>PI()/4*AF88^2*$O$12/$AX$16</f>
        <v>0</v>
      </c>
      <c r="AS88" s="28" t="str">
        <f>IF(AI88=0,"","+")</f>
        <v/>
      </c>
      <c r="AT88" s="6">
        <f>PI()/4*AI88^2*$O$12/$AX$16</f>
        <v>0</v>
      </c>
      <c r="AU88" s="28" t="s">
        <v>24</v>
      </c>
      <c r="AV88" s="15">
        <f>VALUE(AJ88)+VALUE(AL88)+VALUE(AN88)+VALUE(AP88)+VALUE(AR88)+VALUE(AT88)</f>
        <v>8377.5804095727817</v>
      </c>
      <c r="AW88" s="228">
        <f>MAX(0.3*$AJ$14^(2/3)/$AJ$16*0.26*100,0.13)</f>
        <v>0.15723814702688016</v>
      </c>
      <c r="AX88" s="6">
        <f>AW88/100*$O$12*BK88</f>
        <v>3140.0457961267971</v>
      </c>
      <c r="AY88" s="6"/>
      <c r="AZ88" s="6"/>
      <c r="BA88" s="24" t="str">
        <f>IF(BB88=0,"","+")</f>
        <v/>
      </c>
      <c r="BB88" s="24"/>
      <c r="BC88" s="28" t="s">
        <v>24</v>
      </c>
      <c r="BD88" s="15">
        <f>AX88+AZ88+BB88</f>
        <v>3140.0457961267971</v>
      </c>
      <c r="BE88" s="2">
        <f>(R88-($AX$14+$O$16+T88/2))</f>
        <v>1997</v>
      </c>
      <c r="BF88" s="3">
        <f>IF(W88=0,0,(R88-($AX$14+T88/2+$O$16+$BI$16)))</f>
        <v>0</v>
      </c>
      <c r="BG88" s="3">
        <f>IF(Z88=0,0,(R88-($AX$14+T88/2+$BI$16+$O$16+$BI$17)))</f>
        <v>0</v>
      </c>
      <c r="BH88" s="3">
        <f>IF(AC88=0,0,(R88-($AX$14+T88/2+$O$16+$BI$16+$BI$17+$BI$18)))</f>
        <v>0</v>
      </c>
      <c r="BI88" s="3">
        <f>IF(AF88=0,0,(R88-($AX$14+T88/2+$O$16+$BI$16+$BI$17+$BI$18+$BL$16)))</f>
        <v>0</v>
      </c>
      <c r="BJ88" s="3">
        <f>IF(AI88=0,0,(R88-($AX$14+T88/2+$O$16+$BI$16+$BI$17+$BI$18+$BL$16+$BL$17)))</f>
        <v>0</v>
      </c>
      <c r="BK88" s="6">
        <f>(BE88*AJ88+BF88*AL88+BG88*AN88+BH88*AP88+BI88*AR88+BJ88*AT88)/AV88</f>
        <v>1997</v>
      </c>
      <c r="BL88" s="175">
        <f>ABS(N88)*1000000/$O$12/BK88^2</f>
        <v>0.72316787650178327</v>
      </c>
      <c r="BM88" s="175">
        <f>BL88/$AJ$14</f>
        <v>2.2598996140680727E-2</v>
      </c>
      <c r="BN88" s="21">
        <f>IF(BM88&lt;0.167,0.5+SQRT(0.25-(BM88/1.134)),0.82)</f>
        <v>0.9796576195315867</v>
      </c>
      <c r="BO88" s="15">
        <f>ABS(N88)/(0.87*$AJ$16*BN88*BK88)*10^6</f>
        <v>3388.8598895821892</v>
      </c>
      <c r="BP88" s="22">
        <v>1050</v>
      </c>
      <c r="BQ88" s="175">
        <f>IF(Q88=0,2*ABS(P88*10^6)/$O$12/BP88/(BK88-BP88/3),Q88*BP88*1000/($O$12/2*BP88^2-(BE88-BP88)*AJ88*$AJ$18-(BF88-BP88)*AL88*$AJ$18-(BG88-BP88)*AN88*$AJ$18-(BH88-BP88)*AP88*$AJ$18-(BI88-BP88)*AR88*$AJ$18-(BJ88-BP88)*AT88*$AJ$18))</f>
        <v>2.2829386763812995</v>
      </c>
      <c r="BR88" s="3">
        <f>0.5*$O$12*BP88*BQ88 /1000</f>
        <v>1198.5428051001822</v>
      </c>
      <c r="BS88" s="3">
        <f>($BQ88/$BP88)*(BE88-$BP88)*$AJ$18*AJ88/1000</f>
        <v>279.33580855942512</v>
      </c>
      <c r="BT88" s="3">
        <f>($BQ88/$BP88)*(BF88-$BP88)*$AJ$18*AL88/1000</f>
        <v>0</v>
      </c>
      <c r="BU88" s="3">
        <f>($BQ88/$BP88)*(BG88-$BP88)*$AJ$18*AN88/1000</f>
        <v>0</v>
      </c>
      <c r="BV88" s="3">
        <f>($BQ88/$BP88)*(BH88-$BP88)*$AJ$18*AP88/1000</f>
        <v>0</v>
      </c>
      <c r="BW88" s="3">
        <f>($BQ88/$BP88)*(BI88-$BP88)*$AJ$18*AR88/1000</f>
        <v>0</v>
      </c>
      <c r="BX88" s="3">
        <f>($BQ88/$BP88)*(BJ88-$BP88)*$AJ$18*AT88/1000</f>
        <v>0</v>
      </c>
      <c r="BY88" s="175">
        <f>IF(Q88=0,0,(0.5*$O$12*BP88*BQ88/1000*(R88/2-$BP88/3)+BS88*(BE88-R88/2)+BT88*(BF88-R88/2)+BU88*(BG88-R88/2)+BV88*(BH88-R88/2)+BW88*(BI88-R88/2)+BX88*(BJ88-R88/2))/1000-ABS(P88))</f>
        <v>0</v>
      </c>
      <c r="BZ88" s="10"/>
      <c r="CA88" s="176">
        <f>ABS(P88)/(BK88-BP88/3)/AV88*10^6-Q88*(R88/2-BP88/3)/(BK88-BP88/3)/AV88*1000</f>
        <v>143.06550895419008</v>
      </c>
      <c r="CB88" s="177">
        <f>(AV88/($O$12*MIN(2.5*(R88-BK88),(R88-BP88)/3,R88/2)-AV88))</f>
        <v>3.3628368026234035E-2</v>
      </c>
      <c r="CC88" s="177">
        <f>3.4*($O$16+$AX$14)+0.425*0.8*0.5*(T88^2+W88^2+Z88^2+AC88^2+AF88^2+AI88^2)/(T88+W88+Z88+AC88+AF88+AI88)/CB88</f>
        <v>484.41022901543153</v>
      </c>
      <c r="CD88" s="177">
        <f>MAX(0.6*CA88/$AJ$17,(CA88-0.4*0.3*$AJ$14^(2/3)/CB88*(1+$AJ$17/$AJ$15*CB88))/$AJ$17)</f>
        <v>0.43755571963096218</v>
      </c>
      <c r="CE88" s="178">
        <f>CC88*CD88/1000</f>
        <v>0.21195646635344634</v>
      </c>
      <c r="CF88" s="23" t="str">
        <f>IF(AND(AV88&gt;=BD88,AV88&gt;=BO88,CE88&lt;=(+IF(CO88="External",0.25,0.3))),"O.K", "Not O.K")</f>
        <v>O.K</v>
      </c>
      <c r="CG88" s="28"/>
      <c r="CH88" s="179" t="str">
        <f>IF(O88&lt;0.2*$AJ$14*R88*$O$12/1000,"N &lt; 0.2fckAc - OK!","TBA")</f>
        <v>N &lt; 0.2fckAc - OK!</v>
      </c>
      <c r="CI88" s="24"/>
      <c r="CJ88" s="25"/>
      <c r="CK88" s="6">
        <f t="shared" si="10"/>
        <v>112</v>
      </c>
      <c r="CL88" s="8" t="s">
        <v>72</v>
      </c>
      <c r="CM88" s="6">
        <f t="shared" si="11"/>
        <v>212</v>
      </c>
      <c r="CN88" s="26" t="s">
        <v>146</v>
      </c>
      <c r="CO88" s="27" t="s">
        <v>106</v>
      </c>
      <c r="CP88" s="2">
        <v>2884</v>
      </c>
      <c r="CQ88" s="15">
        <v>0</v>
      </c>
      <c r="CR88" s="3">
        <v>1974</v>
      </c>
      <c r="CS88" s="15">
        <v>0</v>
      </c>
      <c r="CT88" s="20">
        <v>2100</v>
      </c>
      <c r="CU88" s="2">
        <v>112</v>
      </c>
      <c r="CV88" s="15">
        <v>212</v>
      </c>
      <c r="CW88" s="6"/>
      <c r="CX88" s="278"/>
      <c r="CY88" s="6"/>
      <c r="CZ88" s="6"/>
      <c r="DA88" s="6"/>
      <c r="DB88" s="6"/>
      <c r="DC88" s="6"/>
      <c r="DD88" s="6"/>
      <c r="DE88" s="6"/>
      <c r="DF88" s="6"/>
      <c r="DG88" s="6"/>
      <c r="DH88" s="6"/>
      <c r="DI88" s="6"/>
      <c r="DJ88" s="212"/>
      <c r="DK88" s="13"/>
      <c r="DL88" s="13"/>
      <c r="DM88" s="202"/>
      <c r="DN88" s="206">
        <f>IF(CO88="external",T88,0)</f>
        <v>0</v>
      </c>
      <c r="DO88" s="206">
        <f>IF(CO88="external",W88,0)</f>
        <v>0</v>
      </c>
      <c r="DP88" s="206">
        <f>IF(CO88="external",Z88,0)</f>
        <v>0</v>
      </c>
      <c r="DQ88" s="206">
        <f>IF(CO88="external",AC88,0)</f>
        <v>0</v>
      </c>
      <c r="DR88" s="206">
        <f>IF(CO88="external",AF88,0)</f>
        <v>0</v>
      </c>
      <c r="DS88" s="207">
        <f>IF(CO88="external",AI88,0)</f>
        <v>0</v>
      </c>
      <c r="DT88" s="208"/>
      <c r="DU88" s="207">
        <f>IF(CO88="internal",T88,0)</f>
        <v>40</v>
      </c>
      <c r="DV88" s="207">
        <f>IF(CO88="internal",W88,0)</f>
        <v>0</v>
      </c>
      <c r="DW88" s="207">
        <f>IF(CO88="internal",Z88,0)</f>
        <v>0</v>
      </c>
      <c r="DX88" s="207">
        <f>IF(CO88="internal",AC88,0)</f>
        <v>0</v>
      </c>
      <c r="DY88" s="207">
        <f>IF(CO88="internal",AF88,0)</f>
        <v>0</v>
      </c>
      <c r="DZ88" s="207">
        <f>IF(CO88="internal",AI88,0)</f>
        <v>0</v>
      </c>
    </row>
    <row r="89" spans="1:131" s="7" customFormat="1" x14ac:dyDescent="0.3">
      <c r="B89" s="242"/>
      <c r="C89" s="238"/>
      <c r="D89" s="237"/>
      <c r="E89" s="238"/>
      <c r="F89" s="238">
        <v>103</v>
      </c>
      <c r="G89" s="239"/>
      <c r="H89" s="67"/>
      <c r="I89" s="67"/>
      <c r="J89" s="67"/>
      <c r="K89" s="67"/>
      <c r="L89" s="67">
        <v>18</v>
      </c>
      <c r="M89" s="67"/>
      <c r="N89" s="67"/>
      <c r="O89" s="67"/>
      <c r="P89" s="67"/>
      <c r="Q89" s="67"/>
      <c r="R89" s="67"/>
      <c r="S89" s="67"/>
      <c r="T89" s="240"/>
      <c r="U89" s="67"/>
      <c r="V89" s="67"/>
      <c r="W89" s="240"/>
      <c r="X89" s="67"/>
      <c r="Y89" s="67"/>
      <c r="Z89" s="67"/>
      <c r="AA89" s="67"/>
      <c r="AB89" s="67"/>
      <c r="AC89" s="67"/>
      <c r="AD89" s="67"/>
      <c r="AE89" s="67"/>
      <c r="AF89" s="67"/>
      <c r="AG89" s="67"/>
      <c r="AH89" s="67"/>
      <c r="AI89" s="241"/>
      <c r="AJ89" s="67"/>
      <c r="AK89" s="67"/>
      <c r="AL89" s="67"/>
      <c r="AM89" s="67"/>
      <c r="AN89" s="67"/>
      <c r="AO89" s="67"/>
      <c r="AP89" s="67"/>
      <c r="AQ89" s="67"/>
      <c r="AR89" s="67"/>
      <c r="AS89" s="67"/>
      <c r="AT89" s="67"/>
      <c r="AU89" s="67"/>
      <c r="AV89" s="67"/>
      <c r="AW89" s="67"/>
      <c r="AX89" s="67"/>
      <c r="AY89" s="67"/>
      <c r="AZ89" s="67"/>
      <c r="BA89" s="67"/>
      <c r="BB89" s="67"/>
      <c r="BC89" s="67"/>
      <c r="BD89" s="67"/>
      <c r="BE89" s="67"/>
      <c r="BF89" s="67"/>
      <c r="BG89" s="67"/>
      <c r="BH89" s="67"/>
      <c r="BI89" s="67"/>
      <c r="BJ89" s="67"/>
      <c r="BK89" s="67"/>
      <c r="BL89" s="67"/>
      <c r="BM89" s="67"/>
      <c r="BN89" s="67"/>
      <c r="BO89" s="67"/>
      <c r="BP89" s="67"/>
      <c r="BQ89" s="67"/>
      <c r="BR89" s="67"/>
      <c r="BS89" s="67"/>
      <c r="BT89" s="67"/>
      <c r="BU89" s="67"/>
      <c r="BV89" s="67"/>
      <c r="BW89" s="67"/>
      <c r="BX89" s="67"/>
      <c r="BY89" s="67"/>
      <c r="BZ89" s="67"/>
      <c r="CA89" s="67"/>
      <c r="CB89" s="67"/>
      <c r="CC89" s="67"/>
      <c r="CD89" s="67"/>
      <c r="CE89" s="67"/>
      <c r="CH89" s="243"/>
      <c r="CI89" s="6"/>
      <c r="CJ89" s="37"/>
      <c r="CK89" s="6">
        <f t="shared" si="10"/>
        <v>0</v>
      </c>
      <c r="CL89" s="8" t="s">
        <v>72</v>
      </c>
      <c r="CM89" s="6">
        <f t="shared" si="11"/>
        <v>0</v>
      </c>
      <c r="CN89" s="39"/>
      <c r="CO89" s="40"/>
      <c r="CP89" s="13"/>
      <c r="CQ89" s="13"/>
      <c r="CR89" s="13"/>
      <c r="CS89" s="13"/>
      <c r="CU89" s="6"/>
      <c r="CV89" s="6"/>
      <c r="CW89" s="28"/>
      <c r="CX89" s="280"/>
      <c r="CY89" s="185"/>
      <c r="CZ89" s="185"/>
      <c r="DA89" s="185"/>
      <c r="DB89" s="185"/>
      <c r="DC89" s="185"/>
      <c r="DD89" s="185"/>
      <c r="DE89" s="185"/>
      <c r="DF89" s="185"/>
      <c r="DG89" s="185"/>
      <c r="DH89" s="185"/>
      <c r="DI89" s="185"/>
      <c r="DJ89" s="209"/>
      <c r="DK89" s="185"/>
      <c r="DL89" s="185"/>
      <c r="DM89" s="186"/>
      <c r="DN89" s="187"/>
      <c r="DO89" s="187"/>
      <c r="DP89" s="187"/>
      <c r="DQ89" s="187"/>
      <c r="DR89" s="187"/>
      <c r="DS89" s="187"/>
      <c r="DT89" s="188"/>
      <c r="DU89" s="187"/>
      <c r="DV89" s="187"/>
      <c r="DW89" s="187"/>
      <c r="DX89" s="187"/>
      <c r="DY89" s="187"/>
      <c r="DZ89" s="187"/>
      <c r="EA89" s="185"/>
    </row>
    <row r="90" spans="1:131" s="7" customFormat="1" ht="13.8" x14ac:dyDescent="0.25">
      <c r="A90" s="7" t="s">
        <v>141</v>
      </c>
      <c r="B90" s="19">
        <f>+CI90</f>
        <v>61</v>
      </c>
      <c r="C90" s="6">
        <f t="shared" ref="C90:E93" si="74">CJ90</f>
        <v>0</v>
      </c>
      <c r="D90" s="6">
        <f t="shared" si="74"/>
        <v>103</v>
      </c>
      <c r="E90" s="6" t="str">
        <f t="shared" si="74"/>
        <v>--</v>
      </c>
      <c r="F90" s="6">
        <f>+CM90</f>
        <v>203</v>
      </c>
      <c r="G90" s="174" t="str">
        <f t="shared" ref="G90:H93" si="75">CN90</f>
        <v>Max Mz</v>
      </c>
      <c r="H90" s="6" t="str">
        <f t="shared" si="75"/>
        <v>Internal</v>
      </c>
      <c r="I90" s="156"/>
      <c r="J90" s="10">
        <f t="shared" ref="J90:M93" si="76">(CP90)</f>
        <v>5515</v>
      </c>
      <c r="K90" s="10">
        <f t="shared" si="76"/>
        <v>9</v>
      </c>
      <c r="L90" s="10">
        <f t="shared" si="76"/>
        <v>4010</v>
      </c>
      <c r="M90" s="10">
        <f t="shared" si="76"/>
        <v>6</v>
      </c>
      <c r="N90" s="10">
        <f>IF(I90*J90&gt;=0,J90*$J$19+I90*$J$18,J90)</f>
        <v>5515</v>
      </c>
      <c r="O90" s="10">
        <f>(K90)*$J$19</f>
        <v>9</v>
      </c>
      <c r="P90" s="14">
        <f>IF(I90*L90&gt;=0,(L90)+I90,L90)</f>
        <v>4010</v>
      </c>
      <c r="Q90" s="3">
        <f>(M90)</f>
        <v>6</v>
      </c>
      <c r="R90" s="20">
        <f>CT90</f>
        <v>2100</v>
      </c>
      <c r="S90" s="23"/>
      <c r="T90" s="12">
        <v>40</v>
      </c>
      <c r="U90" s="28"/>
      <c r="V90" s="28"/>
      <c r="W90" s="12">
        <v>20</v>
      </c>
      <c r="X90" s="28"/>
      <c r="Y90" s="28"/>
      <c r="Z90" s="12"/>
      <c r="AA90" s="28"/>
      <c r="AB90" s="28"/>
      <c r="AC90" s="158"/>
      <c r="AD90" s="28"/>
      <c r="AE90" s="28"/>
      <c r="AF90" s="158"/>
      <c r="AG90" s="28"/>
      <c r="AH90" s="28"/>
      <c r="AI90" s="29"/>
      <c r="AJ90" s="6">
        <f>PI()/4*T90^2*$O$12/$AX$16</f>
        <v>8377.5804095727817</v>
      </c>
      <c r="AK90" s="28" t="str">
        <f>IF(W90=0,"","+")</f>
        <v>+</v>
      </c>
      <c r="AL90" s="6">
        <f>PI()/4*W90^2*$O$12/$AX$16</f>
        <v>2094.3951023931954</v>
      </c>
      <c r="AM90" s="28" t="str">
        <f>IF(Z90=0,"","+")</f>
        <v/>
      </c>
      <c r="AN90" s="6">
        <f>PI()/4*Z90^2*$O$12/$AX$16</f>
        <v>0</v>
      </c>
      <c r="AO90" s="28" t="str">
        <f>IF(AC90=0,"","+")</f>
        <v/>
      </c>
      <c r="AP90" s="6">
        <f>PI()/4*AC90^2*$O$12/$AX$16</f>
        <v>0</v>
      </c>
      <c r="AQ90" s="28" t="str">
        <f>IF(AF90=0,"","+")</f>
        <v/>
      </c>
      <c r="AR90" s="6">
        <f>PI()/4*AF90^2*$O$12/$AX$16</f>
        <v>0</v>
      </c>
      <c r="AS90" s="28" t="str">
        <f>IF(AI90=0,"","+")</f>
        <v/>
      </c>
      <c r="AT90" s="6">
        <f>PI()/4*AI90^2*$O$12/$AX$16</f>
        <v>0</v>
      </c>
      <c r="AU90" s="28" t="s">
        <v>24</v>
      </c>
      <c r="AV90" s="15">
        <f>VALUE(AJ90)+VALUE(AL90)+VALUE(AN90)+VALUE(AP90)+VALUE(AR90)+VALUE(AT90)</f>
        <v>10471.975511965977</v>
      </c>
      <c r="AW90" s="228">
        <f>MAX(0.3*$AJ$14^(2/3)/$AJ$16*0.26*100,0.13)</f>
        <v>0.15723814702688016</v>
      </c>
      <c r="AX90" s="6">
        <f>AW90/100*$O$12*BK90</f>
        <v>3114.8876926024964</v>
      </c>
      <c r="AY90" s="6"/>
      <c r="AZ90" s="6"/>
      <c r="BA90" s="24" t="str">
        <f>IF(BB90=0,"","+")</f>
        <v/>
      </c>
      <c r="BB90" s="24"/>
      <c r="BC90" s="28" t="s">
        <v>24</v>
      </c>
      <c r="BD90" s="15">
        <f>AX90+AZ90+BB90</f>
        <v>3114.8876926024964</v>
      </c>
      <c r="BE90" s="2">
        <f>(R90-($AX$14+$O$16+T90/2))</f>
        <v>1997</v>
      </c>
      <c r="BF90" s="3">
        <f>IF(W90=0,0,(R90-($AX$14+T90/2+$O$16+$BI$16)))</f>
        <v>1917</v>
      </c>
      <c r="BG90" s="3">
        <f>IF(Z90=0,0,(R90-($AX$14+T90/2+$BI$16+$O$16+$BI$17)))</f>
        <v>0</v>
      </c>
      <c r="BH90" s="3">
        <f>IF(AC90=0,0,(R90-($AX$14+T90/2+$O$16+$BI$16+$BI$17+$BI$18)))</f>
        <v>0</v>
      </c>
      <c r="BI90" s="3">
        <f>IF(AF90=0,0,(R90-($AX$14+T90/2+$O$16+$BI$16+$BI$17+$BI$18+$BL$16)))</f>
        <v>0</v>
      </c>
      <c r="BJ90" s="3">
        <f>IF(AI90=0,0,(R90-($AX$14+T90/2+$O$16+$BI$16+$BI$17+$BI$18+$BL$16+$BL$17)))</f>
        <v>0</v>
      </c>
      <c r="BK90" s="6">
        <f>(BE90*AJ90+BF90*AL90+BG90*AN90+BH90*AP90+BI90*AR90+BJ90*AT90)/AV90</f>
        <v>1981</v>
      </c>
      <c r="BL90" s="175">
        <f>ABS(N90)*1000000/$O$12/BK90^2</f>
        <v>1.4053243317829323</v>
      </c>
      <c r="BM90" s="175">
        <f>BL90/$AJ$14</f>
        <v>4.3916385368216633E-2</v>
      </c>
      <c r="BN90" s="21">
        <f>IF(BM90&lt;0.167,0.5+SQRT(0.25-(BM90/1.134)),0.82)</f>
        <v>0.95964445909400786</v>
      </c>
      <c r="BO90" s="15">
        <f>ABS(N90)/(0.87*$AJ$16*BN90*BK90)*10^6</f>
        <v>6669.0108535488471</v>
      </c>
      <c r="BP90" s="22">
        <v>-1007.9999999999263</v>
      </c>
      <c r="BQ90" s="175">
        <f>IF(Q90=0,2*ABS(P90*10^6)/$O$12/BP90/(BK90-BP90/3),Q90*BP90*1000/($O$12/2*BP90^2-(BE90-BP90)*AJ90*$AJ$18-(BF90-BP90)*AL90*$AJ$18-(BG90-BP90)*AN90*$AJ$18-(BH90-BP90)*AP90*$AJ$18-(BI90-BP90)*AR90*$AJ$18-(BJ90-BP90)*AT90*$AJ$18))</f>
        <v>-5.2631122831051016</v>
      </c>
      <c r="BR90" s="3">
        <f>0.5*$O$12*BP90*BQ90 /1000</f>
        <v>2652.608590684777</v>
      </c>
      <c r="BS90" s="3">
        <f>($BQ90/$BP90)*(BE90-$BP90)*$AJ$18*AJ90/1000</f>
        <v>2128.6206262984961</v>
      </c>
      <c r="BT90" s="3">
        <f>($BQ90/$BP90)*(BF90-$BP90)*$AJ$18*AL90/1000</f>
        <v>517.98796438628096</v>
      </c>
      <c r="BU90" s="3">
        <f>($BQ90/$BP90)*(BG90-$BP90)*$AJ$18*AN90/1000</f>
        <v>0</v>
      </c>
      <c r="BV90" s="3">
        <f>($BQ90/$BP90)*(BH90-$BP90)*$AJ$18*AP90/1000</f>
        <v>0</v>
      </c>
      <c r="BW90" s="3">
        <f>($BQ90/$BP90)*(BI90-$BP90)*$AJ$18*AR90/1000</f>
        <v>0</v>
      </c>
      <c r="BX90" s="3">
        <f>($BQ90/$BP90)*(BJ90-$BP90)*$AJ$18*AT90/1000</f>
        <v>0</v>
      </c>
      <c r="BY90" s="175">
        <f>IF(Q90=0,0,(0.5*$O$12*BP90*BQ90/1000*(R90/2-$BP90/3)+BS90*(BE90-R90/2)+BT90*(BF90-R90/2)+BU90*(BG90-R90/2)+BV90*(BH90-R90/2)+BW90*(BI90-R90/2)+BX90*(BJ90-R90/2))/1000-ABS(P90))</f>
        <v>2131.414804916617</v>
      </c>
      <c r="BZ90" s="10"/>
      <c r="CA90" s="176">
        <f>ABS(P90)/(BK90-BP90/3)/AV90*10^6-Q90*(R90/2-BP90/3)/(BK90-BP90/3)/AV90*1000</f>
        <v>164.92562519423953</v>
      </c>
      <c r="CB90" s="177">
        <f>(AV90/($O$12*MIN(2.5*(R90-BK90),(R90-BP90)/3,R90/2)-AV90))</f>
        <v>3.6484157010956073E-2</v>
      </c>
      <c r="CC90" s="177">
        <f>3.4*($O$16+$AX$14)+0.425*0.8*0.5*(T90^2+W90^2+Z90^2+AC90^2+AF90^2+AI90^2)/(T90+W90+Z90+AC90+AF90+AI90)/CB90</f>
        <v>437.51855827078543</v>
      </c>
      <c r="CD90" s="177">
        <f>MAX(0.6*CA90/$AJ$17,(CA90-0.4*0.3*$AJ$14^(2/3)/CB90*(1+$AJ$17/$AJ$15*CB90))/$AJ$17)</f>
        <v>0.56093299177354961</v>
      </c>
      <c r="CE90" s="178">
        <f>CC90*CD90/1000</f>
        <v>0.24541859384728176</v>
      </c>
      <c r="CF90" s="23" t="str">
        <f>IF(AND(AV90&gt;=BD90,AV90&gt;=BO90,CE90&lt;=(+IF(CO90="External",0.25,0.3))),"O.K", "Not O.K")</f>
        <v>O.K</v>
      </c>
      <c r="CG90" s="28"/>
      <c r="CH90" s="179" t="str">
        <f>IF(O90&lt;0.2*$AJ$14*R90*$O$12/1000,"N &lt; 0.2fckAc - OK!","TBA")</f>
        <v>N &lt; 0.2fckAc - OK!</v>
      </c>
      <c r="CI90" s="24">
        <v>61</v>
      </c>
      <c r="CJ90" s="25"/>
      <c r="CK90" s="6">
        <f t="shared" si="10"/>
        <v>103</v>
      </c>
      <c r="CL90" s="8" t="s">
        <v>72</v>
      </c>
      <c r="CM90" s="6">
        <f t="shared" si="11"/>
        <v>203</v>
      </c>
      <c r="CN90" s="26" t="s">
        <v>147</v>
      </c>
      <c r="CO90" s="27" t="s">
        <v>106</v>
      </c>
      <c r="CP90" s="2">
        <v>5515</v>
      </c>
      <c r="CQ90" s="15">
        <v>9</v>
      </c>
      <c r="CR90" s="3">
        <v>4010</v>
      </c>
      <c r="CS90" s="3">
        <v>6</v>
      </c>
      <c r="CT90" s="20">
        <v>2100</v>
      </c>
      <c r="CU90" s="2">
        <v>103</v>
      </c>
      <c r="CV90" s="15">
        <v>203</v>
      </c>
      <c r="CW90" s="6"/>
      <c r="CX90" s="278">
        <f>CI90</f>
        <v>61</v>
      </c>
      <c r="CY90" s="6">
        <f t="shared" ref="CY90:DD90" si="77">MAX(DN90:DN93)</f>
        <v>0</v>
      </c>
      <c r="CZ90" s="6">
        <f t="shared" si="77"/>
        <v>0</v>
      </c>
      <c r="DA90" s="6">
        <f t="shared" si="77"/>
        <v>0</v>
      </c>
      <c r="DB90" s="6">
        <f t="shared" si="77"/>
        <v>0</v>
      </c>
      <c r="DC90" s="6">
        <f t="shared" si="77"/>
        <v>0</v>
      </c>
      <c r="DD90" s="6">
        <f t="shared" si="77"/>
        <v>0</v>
      </c>
      <c r="DE90" s="6"/>
      <c r="DF90" s="6">
        <f t="shared" ref="DF90:DK90" si="78">MAX(DU90:DU93)</f>
        <v>40</v>
      </c>
      <c r="DG90" s="6">
        <f t="shared" si="78"/>
        <v>20</v>
      </c>
      <c r="DH90" s="6">
        <f t="shared" si="78"/>
        <v>0</v>
      </c>
      <c r="DI90" s="6">
        <f t="shared" si="78"/>
        <v>0</v>
      </c>
      <c r="DJ90" s="6">
        <f t="shared" si="78"/>
        <v>0</v>
      </c>
      <c r="DK90" s="6">
        <f t="shared" si="78"/>
        <v>0</v>
      </c>
      <c r="DL90" s="13"/>
      <c r="DM90" s="202">
        <f>CI90</f>
        <v>61</v>
      </c>
      <c r="DN90" s="206">
        <f>IF(CO90="external",T90,0)</f>
        <v>0</v>
      </c>
      <c r="DO90" s="206">
        <f>IF(CO90="external",W90,0)</f>
        <v>0</v>
      </c>
      <c r="DP90" s="206">
        <f>IF(CO90="external",Z90,0)</f>
        <v>0</v>
      </c>
      <c r="DQ90" s="206">
        <f>IF(CO90="external",AC90,0)</f>
        <v>0</v>
      </c>
      <c r="DR90" s="206">
        <f>IF(CO90="external",AF90,0)</f>
        <v>0</v>
      </c>
      <c r="DS90" s="207">
        <f>IF(CO90="external",AI90,0)</f>
        <v>0</v>
      </c>
      <c r="DT90" s="208"/>
      <c r="DU90" s="207">
        <f>IF(CO90="internal",T90,0)</f>
        <v>40</v>
      </c>
      <c r="DV90" s="207">
        <f>IF(CO90="internal",W90,0)</f>
        <v>20</v>
      </c>
      <c r="DW90" s="207">
        <f>IF(CO90="internal",Z90,0)</f>
        <v>0</v>
      </c>
      <c r="DX90" s="207">
        <f>IF(CO90="internal",AC90,0)</f>
        <v>0</v>
      </c>
      <c r="DY90" s="207">
        <f>IF(CO90="internal",AF90,0)</f>
        <v>0</v>
      </c>
      <c r="DZ90" s="207">
        <f>IF(CO90="internal",AI90,0)</f>
        <v>0</v>
      </c>
    </row>
    <row r="91" spans="1:131" s="7" customFormat="1" x14ac:dyDescent="0.3">
      <c r="B91" s="19">
        <f>+CI91</f>
        <v>0</v>
      </c>
      <c r="C91" s="6">
        <f t="shared" si="74"/>
        <v>0</v>
      </c>
      <c r="D91" s="6">
        <f t="shared" si="74"/>
        <v>105</v>
      </c>
      <c r="E91" s="6" t="str">
        <f t="shared" si="74"/>
        <v>--</v>
      </c>
      <c r="F91" s="6">
        <f>+CM91</f>
        <v>205</v>
      </c>
      <c r="G91" s="174" t="str">
        <f t="shared" si="75"/>
        <v>Min Mz</v>
      </c>
      <c r="H91" s="6" t="str">
        <f t="shared" si="75"/>
        <v>Internal</v>
      </c>
      <c r="I91" s="156"/>
      <c r="J91" s="10">
        <f t="shared" si="76"/>
        <v>1138</v>
      </c>
      <c r="K91" s="10">
        <f t="shared" si="76"/>
        <v>2</v>
      </c>
      <c r="L91" s="10">
        <f t="shared" si="76"/>
        <v>769</v>
      </c>
      <c r="M91" s="10">
        <f t="shared" si="76"/>
        <v>2</v>
      </c>
      <c r="N91" s="10">
        <f>IF(I91*J91&gt;=0,J91*$J$19+I91*$J$18,J91)</f>
        <v>1138</v>
      </c>
      <c r="O91" s="10">
        <f>(K91)*$J$19</f>
        <v>2</v>
      </c>
      <c r="P91" s="14">
        <f>IF(I91*L91&gt;=0,(L91)+I91,L91)</f>
        <v>769</v>
      </c>
      <c r="Q91" s="3">
        <f>(M91)</f>
        <v>2</v>
      </c>
      <c r="R91" s="20">
        <f t="shared" ref="R91:R113" si="79">CT91</f>
        <v>2100</v>
      </c>
      <c r="S91" s="23"/>
      <c r="T91" s="12">
        <v>25</v>
      </c>
      <c r="U91" s="28"/>
      <c r="V91" s="28"/>
      <c r="W91" s="12"/>
      <c r="X91" s="28"/>
      <c r="Y91" s="28"/>
      <c r="Z91" s="12"/>
      <c r="AA91" s="28"/>
      <c r="AB91" s="28"/>
      <c r="AC91" s="158"/>
      <c r="AD91" s="28"/>
      <c r="AE91" s="28"/>
      <c r="AF91" s="158"/>
      <c r="AG91" s="28"/>
      <c r="AH91" s="28"/>
      <c r="AI91" s="29"/>
      <c r="AJ91" s="6">
        <f>PI()/4*T91^2*$O$12/$AX$16</f>
        <v>3272.4923474893681</v>
      </c>
      <c r="AK91" s="28" t="str">
        <f>IF(W91=0,"","+")</f>
        <v/>
      </c>
      <c r="AL91" s="6">
        <f>PI()/4*W91^2*$O$12/$AX$16</f>
        <v>0</v>
      </c>
      <c r="AM91" s="28" t="str">
        <f>IF(Z91=0,"","+")</f>
        <v/>
      </c>
      <c r="AN91" s="6">
        <f>PI()/4*Z91^2*$O$12/$AX$16</f>
        <v>0</v>
      </c>
      <c r="AO91" s="28" t="str">
        <f>IF(AC91=0,"","+")</f>
        <v/>
      </c>
      <c r="AP91" s="6">
        <f>PI()/4*AC91^2*$O$12/$AX$16</f>
        <v>0</v>
      </c>
      <c r="AQ91" s="28" t="str">
        <f>IF(AF91=0,"","+")</f>
        <v/>
      </c>
      <c r="AR91" s="6">
        <f>PI()/4*AF91^2*$O$12/$AX$16</f>
        <v>0</v>
      </c>
      <c r="AS91" s="28" t="str">
        <f>IF(AI91=0,"","+")</f>
        <v/>
      </c>
      <c r="AT91" s="6">
        <f>PI()/4*AI91^2*$O$12/$AX$16</f>
        <v>0</v>
      </c>
      <c r="AU91" s="28" t="s">
        <v>24</v>
      </c>
      <c r="AV91" s="15">
        <f>VALUE(AJ91)+VALUE(AL91)+VALUE(AN91)+VALUE(AP91)+VALUE(AR91)+VALUE(AT91)</f>
        <v>3272.4923474893681</v>
      </c>
      <c r="AW91" s="228">
        <f>MAX(0.3*$AJ$14^(2/3)/$AJ$16*0.26*100,0.13)</f>
        <v>0.15723814702688016</v>
      </c>
      <c r="AX91" s="6">
        <f>AW91/100*$O$12*BK91</f>
        <v>3151.8386571538126</v>
      </c>
      <c r="AY91" s="6"/>
      <c r="AZ91" s="6"/>
      <c r="BA91" s="24" t="str">
        <f>IF(BB91=0,"","+")</f>
        <v/>
      </c>
      <c r="BB91" s="24"/>
      <c r="BC91" s="28" t="s">
        <v>24</v>
      </c>
      <c r="BD91" s="15">
        <f>AX91+AZ91+BB91</f>
        <v>3151.8386571538126</v>
      </c>
      <c r="BE91" s="2">
        <f>(R91-($AX$14+$O$16+T91/2))</f>
        <v>2004.5</v>
      </c>
      <c r="BF91" s="3">
        <f>IF(W91=0,0,(R91-($AX$14+T91/2+$O$16+$BI$16)))</f>
        <v>0</v>
      </c>
      <c r="BG91" s="3">
        <f>IF(Z91=0,0,(R91-($AX$14+T91/2+$BI$16+$O$16+$BI$17)))</f>
        <v>0</v>
      </c>
      <c r="BH91" s="3">
        <f>IF(AC91=0,0,(R91-($AX$14+T91/2+$O$16+$BI$16+$BI$17+$BI$18)))</f>
        <v>0</v>
      </c>
      <c r="BI91" s="3">
        <f>IF(AF91=0,0,(R91-($AX$14+T91/2+$O$16+$BI$16+$BI$17+$BI$18+$BL$16)))</f>
        <v>0</v>
      </c>
      <c r="BJ91" s="3">
        <f>IF(AI91=0,0,(R91-($AX$14+T91/2+$O$16+$BI$16+$BI$17+$BI$18+$BL$16+$BL$17)))</f>
        <v>0</v>
      </c>
      <c r="BK91" s="6">
        <f>(BE91*AJ91+BF91*AL91+BG91*AN91+BH91*AP91+BI91*AR91+BJ91*AT91)/AV91</f>
        <v>2004.4999999999998</v>
      </c>
      <c r="BL91" s="175">
        <f>ABS(N91)*1000000/$O$12/BK91^2</f>
        <v>0.28322405791757777</v>
      </c>
      <c r="BM91" s="175">
        <f>BL91/$AJ$14</f>
        <v>8.8507518099243052E-3</v>
      </c>
      <c r="BN91" s="21">
        <f>IF(BM91&lt;0.167,0.5+SQRT(0.25-(BM91/1.134)),0.82)</f>
        <v>0.99213321796445797</v>
      </c>
      <c r="BO91" s="15">
        <f>ABS(N91)/(0.87*$AJ$16*BN91*BK91)*10^6</f>
        <v>1315.4579012661568</v>
      </c>
      <c r="BP91" s="22">
        <v>411.85539104989925</v>
      </c>
      <c r="BQ91" s="175">
        <f>IF(Q91=0,2*ABS(P91*10^6)/$O$12/BP91/(BK91-BP91/3),Q91*BP91*1000/($O$12/2*BP91^2-(BE91-BP91)*AJ91*$AJ$18-(BF91-BP91)*AL91*$AJ$18-(BG91-BP91)*AN91*$AJ$18-(BH91-BP91)*AP91*$AJ$18-(BI91-BP91)*AR91*$AJ$18-(BJ91-BP91)*AT91*$AJ$18))</f>
        <v>2.0049059114309018</v>
      </c>
      <c r="BR91" s="3">
        <f>0.5*$O$12*BP91*BQ91 /1000</f>
        <v>412.86565408531436</v>
      </c>
      <c r="BS91" s="3">
        <f>($BQ91/$BP91)*(BE91-$BP91)*$AJ$18*AJ91/1000</f>
        <v>410.86565408531436</v>
      </c>
      <c r="BT91" s="3">
        <f>($BQ91/$BP91)*(BF91-$BP91)*$AJ$18*AL91/1000</f>
        <v>0</v>
      </c>
      <c r="BU91" s="3">
        <f>($BQ91/$BP91)*(BG91-$BP91)*$AJ$18*AN91/1000</f>
        <v>0</v>
      </c>
      <c r="BV91" s="3">
        <f>($BQ91/$BP91)*(BH91-$BP91)*$AJ$18*AP91/1000</f>
        <v>0</v>
      </c>
      <c r="BW91" s="3">
        <f>($BQ91/$BP91)*(BI91-$BP91)*$AJ$18*AR91/1000</f>
        <v>0</v>
      </c>
      <c r="BX91" s="3">
        <f>($BQ91/$BP91)*(BJ91-$BP91)*$AJ$18*AT91/1000</f>
        <v>0</v>
      </c>
      <c r="BY91" s="175">
        <f>IF(Q91=0,0,(0.5*$O$12*BP91*BQ91/1000*(R91/2-$BP91/3)+BS91*(BE91-R91/2)+BT91*(BF91-R91/2)+BU91*(BG91-R91/2)+BV91*(BH91-R91/2)+BW91*(BI91-R91/2)+BX91*(BJ91-R91/2))/1000-ABS(P91))</f>
        <v>-1.1152411389048211E-4</v>
      </c>
      <c r="BZ91" s="10"/>
      <c r="CA91" s="176">
        <f>ABS(P91)/(BK91-BP91/3)/AV91*10^6-Q91*(R91/2-BP91/3)/(BK91-BP91/3)/AV91*1000</f>
        <v>125.55131385656189</v>
      </c>
      <c r="CB91" s="177">
        <f>(AV91/($O$12*MIN(2.5*(R91-BK91),(R91-BP91)/3,R91/2)-AV91))</f>
        <v>1.3897260847174034E-2</v>
      </c>
      <c r="CC91" s="177">
        <f>3.4*($O$16+$AX$14)+0.425*0.8*0.5*(T91^2+W91^2+Z91^2+AC91^2+AF91^2+AI91^2)/(T91+W91+Z91+AC91+AF91+AI91)/CB91</f>
        <v>588.01566013163131</v>
      </c>
      <c r="CD91" s="177">
        <f>MAX(0.6*CA91/$AJ$17,(CA91-0.4*0.3*$AJ$14^(2/3)/CB91*(1+$AJ$17/$AJ$15*CB91))/$AJ$17)</f>
        <v>0.37665394156968568</v>
      </c>
      <c r="CE91" s="178">
        <f>CC91*CD91/1000</f>
        <v>0.22147841609327962</v>
      </c>
      <c r="CF91" s="23" t="str">
        <f>IF(AND(AV91&gt;=BD91,AV91&gt;=BO91,CE91&lt;=(+IF(CO91="External",0.25,0.3))),"O.K", "Not O.K")</f>
        <v>O.K</v>
      </c>
      <c r="CG91" s="28"/>
      <c r="CH91" s="179" t="str">
        <f>IF(O91&lt;0.2*$AJ$14*R91*$O$12/1000,"N &lt; 0.2fckAc - OK!","TBA")</f>
        <v>N &lt; 0.2fckAc - OK!</v>
      </c>
      <c r="CI91" s="24"/>
      <c r="CJ91" s="25"/>
      <c r="CK91" s="6">
        <f t="shared" si="10"/>
        <v>105</v>
      </c>
      <c r="CL91" s="8" t="s">
        <v>72</v>
      </c>
      <c r="CM91" s="6">
        <f t="shared" si="11"/>
        <v>205</v>
      </c>
      <c r="CN91" s="26" t="s">
        <v>148</v>
      </c>
      <c r="CO91" s="27" t="s">
        <v>106</v>
      </c>
      <c r="CP91" s="2">
        <v>1138</v>
      </c>
      <c r="CQ91" s="15">
        <v>2</v>
      </c>
      <c r="CR91" s="3">
        <v>769</v>
      </c>
      <c r="CS91" s="15">
        <v>2</v>
      </c>
      <c r="CT91" s="20">
        <v>2100</v>
      </c>
      <c r="CU91" s="2">
        <v>105</v>
      </c>
      <c r="CV91" s="15">
        <v>205</v>
      </c>
      <c r="CW91" s="6"/>
      <c r="CX91" s="278"/>
      <c r="CY91" s="6"/>
      <c r="CZ91" s="6"/>
      <c r="DA91" s="6"/>
      <c r="DB91" s="6"/>
      <c r="DC91" s="6"/>
      <c r="DD91" s="6"/>
      <c r="DE91" s="6"/>
      <c r="DF91" s="6"/>
      <c r="DG91" s="6"/>
      <c r="DH91" s="6"/>
      <c r="DI91" s="6"/>
      <c r="DJ91" s="212"/>
      <c r="DK91" s="13"/>
      <c r="DL91" s="13"/>
      <c r="DM91" s="202"/>
      <c r="DN91" s="206">
        <f>IF(CO91="external",T91,0)</f>
        <v>0</v>
      </c>
      <c r="DO91" s="206">
        <f>IF(CO91="external",W91,0)</f>
        <v>0</v>
      </c>
      <c r="DP91" s="206">
        <f>IF(CO91="external",Z91,0)</f>
        <v>0</v>
      </c>
      <c r="DQ91" s="206">
        <f>IF(CO91="external",AC91,0)</f>
        <v>0</v>
      </c>
      <c r="DR91" s="206">
        <f>IF(CO91="external",AF91,0)</f>
        <v>0</v>
      </c>
      <c r="DS91" s="207">
        <f>IF(CO91="external",AI91,0)</f>
        <v>0</v>
      </c>
      <c r="DT91" s="208"/>
      <c r="DU91" s="207">
        <f>IF(CO91="internal",T91,0)</f>
        <v>25</v>
      </c>
      <c r="DV91" s="207">
        <f>IF(CO91="internal",W91,0)</f>
        <v>0</v>
      </c>
      <c r="DW91" s="207">
        <f>IF(CO91="internal",Z91,0)</f>
        <v>0</v>
      </c>
      <c r="DX91" s="207">
        <f>IF(CO91="internal",AC91,0)</f>
        <v>0</v>
      </c>
      <c r="DY91" s="207">
        <f>IF(CO91="internal",AF91,0)</f>
        <v>0</v>
      </c>
      <c r="DZ91" s="207">
        <f>IF(CO91="internal",AI91,0)</f>
        <v>0</v>
      </c>
    </row>
    <row r="92" spans="1:131" s="7" customFormat="1" x14ac:dyDescent="0.3">
      <c r="B92" s="19">
        <f>+CI92</f>
        <v>0</v>
      </c>
      <c r="C92" s="6">
        <f t="shared" si="74"/>
        <v>0</v>
      </c>
      <c r="D92" s="6">
        <f t="shared" si="74"/>
        <v>103</v>
      </c>
      <c r="E92" s="6" t="str">
        <f t="shared" si="74"/>
        <v>--</v>
      </c>
      <c r="F92" s="6">
        <f>+CM92</f>
        <v>203</v>
      </c>
      <c r="G92" s="174" t="str">
        <f t="shared" si="75"/>
        <v>Max Fx</v>
      </c>
      <c r="H92" s="6" t="str">
        <f t="shared" si="75"/>
        <v>Internal</v>
      </c>
      <c r="I92" s="156"/>
      <c r="J92" s="10">
        <f t="shared" si="76"/>
        <v>5515</v>
      </c>
      <c r="K92" s="10">
        <f t="shared" si="76"/>
        <v>9</v>
      </c>
      <c r="L92" s="10">
        <f t="shared" si="76"/>
        <v>4010</v>
      </c>
      <c r="M92" s="10">
        <f t="shared" si="76"/>
        <v>6</v>
      </c>
      <c r="N92" s="10">
        <f>IF(I92*J92&gt;=0,J92*$J$19+I92*$J$18,J92)</f>
        <v>5515</v>
      </c>
      <c r="O92" s="10">
        <f>(K92)*$J$19</f>
        <v>9</v>
      </c>
      <c r="P92" s="14">
        <f>IF(I92*L92&gt;=0,(L92)+I92,L92)</f>
        <v>4010</v>
      </c>
      <c r="Q92" s="3">
        <f>(M92)</f>
        <v>6</v>
      </c>
      <c r="R92" s="20">
        <f t="shared" si="79"/>
        <v>2100</v>
      </c>
      <c r="S92" s="23"/>
      <c r="T92" s="12">
        <v>40</v>
      </c>
      <c r="U92" s="28"/>
      <c r="V92" s="28"/>
      <c r="W92" s="12">
        <v>20</v>
      </c>
      <c r="X92" s="28"/>
      <c r="Y92" s="28"/>
      <c r="Z92" s="12"/>
      <c r="AA92" s="28"/>
      <c r="AB92" s="28"/>
      <c r="AC92" s="158"/>
      <c r="AD92" s="28"/>
      <c r="AE92" s="28"/>
      <c r="AF92" s="158"/>
      <c r="AG92" s="28"/>
      <c r="AH92" s="28"/>
      <c r="AI92" s="29"/>
      <c r="AJ92" s="6">
        <f>PI()/4*T92^2*$O$12/$AX$16</f>
        <v>8377.5804095727817</v>
      </c>
      <c r="AK92" s="28" t="str">
        <f>IF(W92=0,"","+")</f>
        <v>+</v>
      </c>
      <c r="AL92" s="6">
        <f>PI()/4*W92^2*$O$12/$AX$16</f>
        <v>2094.3951023931954</v>
      </c>
      <c r="AM92" s="28" t="str">
        <f>IF(Z92=0,"","+")</f>
        <v/>
      </c>
      <c r="AN92" s="6">
        <f>PI()/4*Z92^2*$O$12/$AX$16</f>
        <v>0</v>
      </c>
      <c r="AO92" s="28" t="str">
        <f>IF(AC92=0,"","+")</f>
        <v/>
      </c>
      <c r="AP92" s="6">
        <f>PI()/4*AC92^2*$O$12/$AX$16</f>
        <v>0</v>
      </c>
      <c r="AQ92" s="28" t="str">
        <f>IF(AF92=0,"","+")</f>
        <v/>
      </c>
      <c r="AR92" s="6">
        <f>PI()/4*AF92^2*$O$12/$AX$16</f>
        <v>0</v>
      </c>
      <c r="AS92" s="28" t="str">
        <f>IF(AI92=0,"","+")</f>
        <v/>
      </c>
      <c r="AT92" s="6">
        <f>PI()/4*AI92^2*$O$12/$AX$16</f>
        <v>0</v>
      </c>
      <c r="AU92" s="28" t="s">
        <v>24</v>
      </c>
      <c r="AV92" s="15">
        <f>VALUE(AJ92)+VALUE(AL92)+VALUE(AN92)+VALUE(AP92)+VALUE(AR92)+VALUE(AT92)</f>
        <v>10471.975511965977</v>
      </c>
      <c r="AW92" s="228">
        <f>MAX(0.3*$AJ$14^(2/3)/$AJ$16*0.26*100,0.13)</f>
        <v>0.15723814702688016</v>
      </c>
      <c r="AX92" s="6">
        <f>AW92/100*$O$12*BK92</f>
        <v>3114.8876926024964</v>
      </c>
      <c r="AY92" s="6"/>
      <c r="AZ92" s="6"/>
      <c r="BA92" s="24" t="str">
        <f>IF(BB92=0,"","+")</f>
        <v/>
      </c>
      <c r="BB92" s="24"/>
      <c r="BC92" s="28" t="s">
        <v>24</v>
      </c>
      <c r="BD92" s="15">
        <f>AX92+AZ92+BB92</f>
        <v>3114.8876926024964</v>
      </c>
      <c r="BE92" s="2">
        <f>(R92-($AX$14+$O$16+T92/2))</f>
        <v>1997</v>
      </c>
      <c r="BF92" s="3">
        <f>IF(W92=0,0,(R92-($AX$14+T92/2+$O$16+$BI$16)))</f>
        <v>1917</v>
      </c>
      <c r="BG92" s="3">
        <f>IF(Z92=0,0,(R92-($AX$14+T92/2+$BI$16+$O$16+$BI$17)))</f>
        <v>0</v>
      </c>
      <c r="BH92" s="3">
        <f>IF(AC92=0,0,(R92-($AX$14+T92/2+$O$16+$BI$16+$BI$17+$BI$18)))</f>
        <v>0</v>
      </c>
      <c r="BI92" s="3">
        <f>IF(AF92=0,0,(R92-($AX$14+T92/2+$O$16+$BI$16+$BI$17+$BI$18+$BL$16)))</f>
        <v>0</v>
      </c>
      <c r="BJ92" s="3">
        <f>IF(AI92=0,0,(R92-($AX$14+T92/2+$O$16+$BI$16+$BI$17+$BI$18+$BL$16+$BL$17)))</f>
        <v>0</v>
      </c>
      <c r="BK92" s="6">
        <f>(BE92*AJ92+BF92*AL92+BG92*AN92+BH92*AP92+BI92*AR92+BJ92*AT92)/AV92</f>
        <v>1981</v>
      </c>
      <c r="BL92" s="175">
        <f>ABS(N92)*1000000/$O$12/BK92^2</f>
        <v>1.4053243317829323</v>
      </c>
      <c r="BM92" s="175">
        <f>BL92/$AJ$14</f>
        <v>4.3916385368216633E-2</v>
      </c>
      <c r="BN92" s="21">
        <f>IF(BM92&lt;0.167,0.5+SQRT(0.25-(BM92/1.134)),0.82)</f>
        <v>0.95964445909400786</v>
      </c>
      <c r="BO92" s="15">
        <f>ABS(N92)/(0.87*$AJ$16*BN92*BK92)*10^6</f>
        <v>6669.0108535488471</v>
      </c>
      <c r="BP92" s="22">
        <v>-1007.9999999999263</v>
      </c>
      <c r="BQ92" s="175">
        <f>IF(Q92=0,2*ABS(P92*10^6)/$O$12/BP92/(BK92-BP92/3),Q92*BP92*1000/($O$12/2*BP92^2-(BE92-BP92)*AJ92*$AJ$18-(BF92-BP92)*AL92*$AJ$18-(BG92-BP92)*AN92*$AJ$18-(BH92-BP92)*AP92*$AJ$18-(BI92-BP92)*AR92*$AJ$18-(BJ92-BP92)*AT92*$AJ$18))</f>
        <v>-5.2631122831051016</v>
      </c>
      <c r="BR92" s="3">
        <f>0.5*$O$12*BP92*BQ92 /1000</f>
        <v>2652.608590684777</v>
      </c>
      <c r="BS92" s="3">
        <f>($BQ92/$BP92)*(BE92-$BP92)*$AJ$18*AJ92/1000</f>
        <v>2128.6206262984961</v>
      </c>
      <c r="BT92" s="3">
        <f>($BQ92/$BP92)*(BF92-$BP92)*$AJ$18*AL92/1000</f>
        <v>517.98796438628096</v>
      </c>
      <c r="BU92" s="3">
        <f>($BQ92/$BP92)*(BG92-$BP92)*$AJ$18*AN92/1000</f>
        <v>0</v>
      </c>
      <c r="BV92" s="3">
        <f>($BQ92/$BP92)*(BH92-$BP92)*$AJ$18*AP92/1000</f>
        <v>0</v>
      </c>
      <c r="BW92" s="3">
        <f>($BQ92/$BP92)*(BI92-$BP92)*$AJ$18*AR92/1000</f>
        <v>0</v>
      </c>
      <c r="BX92" s="3">
        <f>($BQ92/$BP92)*(BJ92-$BP92)*$AJ$18*AT92/1000</f>
        <v>0</v>
      </c>
      <c r="BY92" s="175">
        <f>IF(Q92=0,0,(0.5*$O$12*BP92*BQ92/1000*(R92/2-$BP92/3)+BS92*(BE92-R92/2)+BT92*(BF92-R92/2)+BU92*(BG92-R92/2)+BV92*(BH92-R92/2)+BW92*(BI92-R92/2)+BX92*(BJ92-R92/2))/1000-ABS(P92))</f>
        <v>2131.414804916617</v>
      </c>
      <c r="BZ92" s="10"/>
      <c r="CA92" s="176">
        <f>ABS(P92)/(BK92-BP92/3)/AV92*10^6-Q92*(R92/2-BP92/3)/(BK92-BP92/3)/AV92*1000</f>
        <v>164.92562519423953</v>
      </c>
      <c r="CB92" s="177">
        <f>(AV92/($O$12*MIN(2.5*(R92-BK92),(R92-BP92)/3,R92/2)-AV92))</f>
        <v>3.6484157010956073E-2</v>
      </c>
      <c r="CC92" s="177">
        <f>3.4*($O$16+$AX$14)+0.425*0.8*0.5*(T92^2+W92^2+Z92^2+AC92^2+AF92^2+AI92^2)/(T92+W92+Z92+AC92+AF92+AI92)/CB92</f>
        <v>437.51855827078543</v>
      </c>
      <c r="CD92" s="177">
        <f>MAX(0.6*CA92/$AJ$17,(CA92-0.4*0.3*$AJ$14^(2/3)/CB92*(1+$AJ$17/$AJ$15*CB92))/$AJ$17)</f>
        <v>0.56093299177354961</v>
      </c>
      <c r="CE92" s="178">
        <f>CC92*CD92/1000</f>
        <v>0.24541859384728176</v>
      </c>
      <c r="CF92" s="23" t="str">
        <f>IF(AND(AV92&gt;=BD92,AV92&gt;=BO92,CE92&lt;=(+IF(CO92="External",0.25,0.3))),"O.K", "Not O.K")</f>
        <v>O.K</v>
      </c>
      <c r="CG92" s="28"/>
      <c r="CH92" s="179" t="str">
        <f>IF(O92&lt;0.2*$AJ$14*R92*$O$12/1000,"N &lt; 0.2fckAc - OK!","TBA")</f>
        <v>N &lt; 0.2fckAc - OK!</v>
      </c>
      <c r="CI92" s="24"/>
      <c r="CJ92" s="25"/>
      <c r="CK92" s="6">
        <f t="shared" si="10"/>
        <v>103</v>
      </c>
      <c r="CL92" s="8" t="s">
        <v>72</v>
      </c>
      <c r="CM92" s="6">
        <f t="shared" si="11"/>
        <v>203</v>
      </c>
      <c r="CN92" s="26" t="s">
        <v>145</v>
      </c>
      <c r="CO92" s="27" t="s">
        <v>106</v>
      </c>
      <c r="CP92" s="2">
        <v>5515</v>
      </c>
      <c r="CQ92" s="15">
        <v>9</v>
      </c>
      <c r="CR92" s="3">
        <v>4010</v>
      </c>
      <c r="CS92" s="15">
        <v>6</v>
      </c>
      <c r="CT92" s="20">
        <v>2100</v>
      </c>
      <c r="CU92" s="2">
        <v>103</v>
      </c>
      <c r="CV92" s="15">
        <v>203</v>
      </c>
      <c r="CW92" s="6"/>
      <c r="CX92" s="278"/>
      <c r="CY92" s="6"/>
      <c r="CZ92" s="6"/>
      <c r="DA92" s="6"/>
      <c r="DB92" s="6"/>
      <c r="DC92" s="6"/>
      <c r="DD92" s="6"/>
      <c r="DE92" s="6"/>
      <c r="DF92" s="6"/>
      <c r="DG92" s="6"/>
      <c r="DH92" s="6"/>
      <c r="DI92" s="6"/>
      <c r="DJ92" s="212"/>
      <c r="DK92" s="13"/>
      <c r="DL92" s="13"/>
      <c r="DM92" s="202"/>
      <c r="DN92" s="206">
        <f>IF(CO92="external",T92,0)</f>
        <v>0</v>
      </c>
      <c r="DO92" s="206">
        <f>IF(CO92="external",W92,0)</f>
        <v>0</v>
      </c>
      <c r="DP92" s="206">
        <f>IF(CO92="external",Z92,0)</f>
        <v>0</v>
      </c>
      <c r="DQ92" s="206">
        <f>IF(CO92="external",AC92,0)</f>
        <v>0</v>
      </c>
      <c r="DR92" s="206">
        <f>IF(CO92="external",AF92,0)</f>
        <v>0</v>
      </c>
      <c r="DS92" s="207">
        <f>IF(CO92="external",AI92,0)</f>
        <v>0</v>
      </c>
      <c r="DT92" s="208"/>
      <c r="DU92" s="207">
        <f>IF(CO92="internal",T92,0)</f>
        <v>40</v>
      </c>
      <c r="DV92" s="207">
        <f>IF(CO92="internal",W92,0)</f>
        <v>20</v>
      </c>
      <c r="DW92" s="207">
        <f>IF(CO92="internal",Z92,0)</f>
        <v>0</v>
      </c>
      <c r="DX92" s="207">
        <f>IF(CO92="internal",AC92,0)</f>
        <v>0</v>
      </c>
      <c r="DY92" s="207">
        <f>IF(CO92="internal",AF92,0)</f>
        <v>0</v>
      </c>
      <c r="DZ92" s="207">
        <f>IF(CO92="internal",AI92,0)</f>
        <v>0</v>
      </c>
    </row>
    <row r="93" spans="1:131" s="7" customFormat="1" x14ac:dyDescent="0.3">
      <c r="B93" s="19">
        <f>+CI93</f>
        <v>0</v>
      </c>
      <c r="C93" s="6">
        <f t="shared" si="74"/>
        <v>0</v>
      </c>
      <c r="D93" s="6">
        <f t="shared" si="74"/>
        <v>112</v>
      </c>
      <c r="E93" s="6" t="str">
        <f t="shared" si="74"/>
        <v>--</v>
      </c>
      <c r="F93" s="6">
        <f>+CM93</f>
        <v>212</v>
      </c>
      <c r="G93" s="174" t="str">
        <f t="shared" si="75"/>
        <v>Min Fx</v>
      </c>
      <c r="H93" s="6" t="str">
        <f t="shared" si="75"/>
        <v>Internal</v>
      </c>
      <c r="I93" s="156"/>
      <c r="J93" s="10">
        <f t="shared" si="76"/>
        <v>2846</v>
      </c>
      <c r="K93" s="10">
        <f t="shared" si="76"/>
        <v>0</v>
      </c>
      <c r="L93" s="10">
        <f t="shared" si="76"/>
        <v>1951</v>
      </c>
      <c r="M93" s="10">
        <f t="shared" si="76"/>
        <v>0</v>
      </c>
      <c r="N93" s="10">
        <f>IF(I93*J93&gt;=0,J93*$J$19+I93*$J$18,J93)</f>
        <v>2846</v>
      </c>
      <c r="O93" s="10">
        <f>(K93)*$J$19</f>
        <v>0</v>
      </c>
      <c r="P93" s="14">
        <f>IF(I93*L93&gt;=0,(L93)+I93,L93)</f>
        <v>1951</v>
      </c>
      <c r="Q93" s="3">
        <f>(M93)</f>
        <v>0</v>
      </c>
      <c r="R93" s="20">
        <f t="shared" si="79"/>
        <v>2100</v>
      </c>
      <c r="S93" s="23"/>
      <c r="T93" s="12">
        <v>40</v>
      </c>
      <c r="U93" s="28"/>
      <c r="V93" s="28"/>
      <c r="W93" s="12"/>
      <c r="X93" s="28"/>
      <c r="Y93" s="28"/>
      <c r="Z93" s="12"/>
      <c r="AA93" s="28"/>
      <c r="AB93" s="28"/>
      <c r="AC93" s="158"/>
      <c r="AD93" s="28"/>
      <c r="AE93" s="28"/>
      <c r="AF93" s="158"/>
      <c r="AG93" s="28"/>
      <c r="AH93" s="28"/>
      <c r="AI93" s="29"/>
      <c r="AJ93" s="6">
        <f>PI()/4*T93^2*$O$12/$AX$16</f>
        <v>8377.5804095727817</v>
      </c>
      <c r="AK93" s="28" t="str">
        <f>IF(W93=0,"","+")</f>
        <v/>
      </c>
      <c r="AL93" s="6">
        <f>PI()/4*W93^2*$O$12/$AX$16</f>
        <v>0</v>
      </c>
      <c r="AM93" s="28" t="str">
        <f>IF(Z93=0,"","+")</f>
        <v/>
      </c>
      <c r="AN93" s="6">
        <f>PI()/4*Z93^2*$O$12/$AX$16</f>
        <v>0</v>
      </c>
      <c r="AO93" s="28" t="str">
        <f>IF(AC93=0,"","+")</f>
        <v/>
      </c>
      <c r="AP93" s="6">
        <f>PI()/4*AC93^2*$O$12/$AX$16</f>
        <v>0</v>
      </c>
      <c r="AQ93" s="28" t="str">
        <f>IF(AF93=0,"","+")</f>
        <v/>
      </c>
      <c r="AR93" s="6">
        <f>PI()/4*AF93^2*$O$12/$AX$16</f>
        <v>0</v>
      </c>
      <c r="AS93" s="28" t="str">
        <f>IF(AI93=0,"","+")</f>
        <v/>
      </c>
      <c r="AT93" s="6">
        <f>PI()/4*AI93^2*$O$12/$AX$16</f>
        <v>0</v>
      </c>
      <c r="AU93" s="28" t="s">
        <v>24</v>
      </c>
      <c r="AV93" s="15">
        <f>VALUE(AJ93)+VALUE(AL93)+VALUE(AN93)+VALUE(AP93)+VALUE(AR93)+VALUE(AT93)</f>
        <v>8377.5804095727817</v>
      </c>
      <c r="AW93" s="228">
        <f>MAX(0.3*$AJ$14^(2/3)/$AJ$16*0.26*100,0.13)</f>
        <v>0.15723814702688016</v>
      </c>
      <c r="AX93" s="6">
        <f>AW93/100*$O$12*BK93</f>
        <v>3140.0457961267971</v>
      </c>
      <c r="AY93" s="6"/>
      <c r="AZ93" s="6"/>
      <c r="BA93" s="24" t="str">
        <f>IF(BB93=0,"","+")</f>
        <v/>
      </c>
      <c r="BB93" s="24"/>
      <c r="BC93" s="28" t="s">
        <v>24</v>
      </c>
      <c r="BD93" s="15">
        <f>AX93+AZ93+BB93</f>
        <v>3140.0457961267971</v>
      </c>
      <c r="BE93" s="2">
        <f>(R93-($AX$14+$O$16+T93/2))</f>
        <v>1997</v>
      </c>
      <c r="BF93" s="3">
        <f>IF(W93=0,0,(R93-($AX$14+T93/2+$O$16+$BI$16)))</f>
        <v>0</v>
      </c>
      <c r="BG93" s="3">
        <f>IF(Z93=0,0,(R93-($AX$14+T93/2+$BI$16+$O$16+$BI$17)))</f>
        <v>0</v>
      </c>
      <c r="BH93" s="3">
        <f>IF(AC93=0,0,(R93-($AX$14+T93/2+$O$16+$BI$16+$BI$17+$BI$18)))</f>
        <v>0</v>
      </c>
      <c r="BI93" s="3">
        <f>IF(AF93=0,0,(R93-($AX$14+T93/2+$O$16+$BI$16+$BI$17+$BI$18+$BL$16)))</f>
        <v>0</v>
      </c>
      <c r="BJ93" s="3">
        <f>IF(AI93=0,0,(R93-($AX$14+T93/2+$O$16+$BI$16+$BI$17+$BI$18+$BL$16+$BL$17)))</f>
        <v>0</v>
      </c>
      <c r="BK93" s="6">
        <f>(BE93*AJ93+BF93*AL93+BG93*AN93+BH93*AP93+BI93*AR93+BJ93*AT93)/AV93</f>
        <v>1997</v>
      </c>
      <c r="BL93" s="175">
        <f>ABS(N93)*1000000/$O$12/BK93^2</f>
        <v>0.71363931224829236</v>
      </c>
      <c r="BM93" s="175">
        <f>BL93/$AJ$14</f>
        <v>2.2301228507759136E-2</v>
      </c>
      <c r="BN93" s="21">
        <f>IF(BM93&lt;0.167,0.5+SQRT(0.25-(BM93/1.134)),0.82)</f>
        <v>0.97993125930865155</v>
      </c>
      <c r="BO93" s="15">
        <f>ABS(N93)/(0.87*$AJ$16*BN93*BK93)*10^6</f>
        <v>3343.2739333992813</v>
      </c>
      <c r="BP93" s="22">
        <v>1050</v>
      </c>
      <c r="BQ93" s="175">
        <f>IF(Q93=0,2*ABS(P93*10^6)/$O$12/BP93/(BK93-BP93/3),Q93*BP93*1000/($O$12/2*BP93^2-(BE93-BP93)*AJ93*$AJ$18-(BF93-BP93)*AL93*$AJ$18-(BG93-BP93)*AN93*$AJ$18-(BH93-BP93)*AP93*$AJ$18-(BI93-BP93)*AR93*$AJ$18-(BJ93-BP93)*AT93*$AJ$18))</f>
        <v>2.2563390869401796</v>
      </c>
      <c r="BR93" s="3">
        <f>0.5*$O$12*BP93*BQ93 /1000</f>
        <v>1184.5780206435943</v>
      </c>
      <c r="BS93" s="3">
        <f>($BQ93/$BP93)*(BE93-$BP93)*$AJ$18*AJ93/1000</f>
        <v>276.08113601795264</v>
      </c>
      <c r="BT93" s="3">
        <f>($BQ93/$BP93)*(BF93-$BP93)*$AJ$18*AL93/1000</f>
        <v>0</v>
      </c>
      <c r="BU93" s="3">
        <f>($BQ93/$BP93)*(BG93-$BP93)*$AJ$18*AN93/1000</f>
        <v>0</v>
      </c>
      <c r="BV93" s="3">
        <f>($BQ93/$BP93)*(BH93-$BP93)*$AJ$18*AP93/1000</f>
        <v>0</v>
      </c>
      <c r="BW93" s="3">
        <f>($BQ93/$BP93)*(BI93-$BP93)*$AJ$18*AR93/1000</f>
        <v>0</v>
      </c>
      <c r="BX93" s="3">
        <f>($BQ93/$BP93)*(BJ93-$BP93)*$AJ$18*AT93/1000</f>
        <v>0</v>
      </c>
      <c r="BY93" s="175">
        <f>IF(Q93=0,0,(0.5*$O$12*BP93*BQ93/1000*(R93/2-$BP93/3)+BS93*(BE93-R93/2)+BT93*(BF93-R93/2)+BU93*(BG93-R93/2)+BV93*(BH93-R93/2)+BW93*(BI93-R93/2)+BX93*(BJ93-R93/2))/1000-ABS(P93))</f>
        <v>0</v>
      </c>
      <c r="BZ93" s="10"/>
      <c r="CA93" s="176">
        <f>ABS(P93)/(BK93-BP93/3)/AV93*10^6-Q93*(R93/2-BP93/3)/(BK93-BP93/3)/AV93*1000</f>
        <v>141.39858559758096</v>
      </c>
      <c r="CB93" s="177">
        <f>(AV93/($O$12*MIN(2.5*(R93-BK93),(R93-BP93)/3,R93/2)-AV93))</f>
        <v>3.3628368026234035E-2</v>
      </c>
      <c r="CC93" s="177">
        <f>3.4*($O$16+$AX$14)+0.425*0.8*0.5*(T93^2+W93^2+Z93^2+AC93^2+AF93^2+AI93^2)/(T93+W93+Z93+AC93+AF93+AI93)/CB93</f>
        <v>484.41022901543153</v>
      </c>
      <c r="CD93" s="177">
        <f>MAX(0.6*CA93/$AJ$17,(CA93-0.4*0.3*$AJ$14^(2/3)/CB93*(1+$AJ$17/$AJ$15*CB93))/$AJ$17)</f>
        <v>0.42922110284791659</v>
      </c>
      <c r="CE93" s="178">
        <f>CC93*CD93/1000</f>
        <v>0.20791909272881537</v>
      </c>
      <c r="CF93" s="23" t="str">
        <f>IF(AND(AV93&gt;=BD93,AV93&gt;=BO93,CE93&lt;=(+IF(CO93="External",0.25,0.3))),"O.K", "Not O.K")</f>
        <v>O.K</v>
      </c>
      <c r="CG93" s="28"/>
      <c r="CH93" s="179" t="str">
        <f>IF(O93&lt;0.2*$AJ$14*R93*$O$12/1000,"N &lt; 0.2fckAc - OK!","TBA")</f>
        <v>N &lt; 0.2fckAc - OK!</v>
      </c>
      <c r="CI93" s="24"/>
      <c r="CJ93" s="25"/>
      <c r="CK93" s="6">
        <f t="shared" si="10"/>
        <v>112</v>
      </c>
      <c r="CL93" s="8" t="s">
        <v>72</v>
      </c>
      <c r="CM93" s="6">
        <f t="shared" si="11"/>
        <v>212</v>
      </c>
      <c r="CN93" s="26" t="s">
        <v>146</v>
      </c>
      <c r="CO93" s="27" t="s">
        <v>106</v>
      </c>
      <c r="CP93" s="2">
        <v>2846</v>
      </c>
      <c r="CQ93" s="15">
        <v>0</v>
      </c>
      <c r="CR93" s="3">
        <v>1951</v>
      </c>
      <c r="CS93" s="15">
        <v>0</v>
      </c>
      <c r="CT93" s="20">
        <v>2100</v>
      </c>
      <c r="CU93" s="2">
        <v>112</v>
      </c>
      <c r="CV93" s="15">
        <v>212</v>
      </c>
      <c r="CW93" s="6"/>
      <c r="CX93" s="278"/>
      <c r="CY93" s="6"/>
      <c r="CZ93" s="6"/>
      <c r="DA93" s="6"/>
      <c r="DB93" s="6"/>
      <c r="DC93" s="6"/>
      <c r="DD93" s="6"/>
      <c r="DE93" s="6"/>
      <c r="DF93" s="6"/>
      <c r="DG93" s="6"/>
      <c r="DH93" s="6"/>
      <c r="DI93" s="6"/>
      <c r="DJ93" s="212"/>
      <c r="DK93" s="13"/>
      <c r="DL93" s="13"/>
      <c r="DM93" s="202"/>
      <c r="DN93" s="206">
        <f>IF(CO93="external",T93,0)</f>
        <v>0</v>
      </c>
      <c r="DO93" s="206">
        <f>IF(CO93="external",W93,0)</f>
        <v>0</v>
      </c>
      <c r="DP93" s="206">
        <f>IF(CO93="external",Z93,0)</f>
        <v>0</v>
      </c>
      <c r="DQ93" s="206">
        <f>IF(CO93="external",AC93,0)</f>
        <v>0</v>
      </c>
      <c r="DR93" s="206">
        <f>IF(CO93="external",AF93,0)</f>
        <v>0</v>
      </c>
      <c r="DS93" s="207">
        <f>IF(CO93="external",AI93,0)</f>
        <v>0</v>
      </c>
      <c r="DT93" s="208"/>
      <c r="DU93" s="207">
        <f>IF(CO93="internal",T93,0)</f>
        <v>40</v>
      </c>
      <c r="DV93" s="207">
        <f>IF(CO93="internal",W93,0)</f>
        <v>0</v>
      </c>
      <c r="DW93" s="207">
        <f>IF(CO93="internal",Z93,0)</f>
        <v>0</v>
      </c>
      <c r="DX93" s="207">
        <f>IF(CO93="internal",AC93,0)</f>
        <v>0</v>
      </c>
      <c r="DY93" s="207">
        <f>IF(CO93="internal",AF93,0)</f>
        <v>0</v>
      </c>
      <c r="DZ93" s="207">
        <f>IF(CO93="internal",AI93,0)</f>
        <v>0</v>
      </c>
    </row>
    <row r="94" spans="1:131" s="7" customFormat="1" x14ac:dyDescent="0.3">
      <c r="B94" s="19"/>
      <c r="C94" s="6"/>
      <c r="D94" s="6"/>
      <c r="E94" s="6"/>
      <c r="F94" s="6"/>
      <c r="G94" s="232"/>
      <c r="H94" s="6"/>
      <c r="I94" s="24"/>
      <c r="J94" s="6"/>
      <c r="K94" s="6"/>
      <c r="L94" s="6"/>
      <c r="M94" s="6"/>
      <c r="N94" s="6"/>
      <c r="O94" s="6"/>
      <c r="P94" s="24"/>
      <c r="Q94" s="6"/>
      <c r="R94" s="6">
        <f t="shared" si="79"/>
        <v>0</v>
      </c>
      <c r="S94" s="28"/>
      <c r="T94" s="12"/>
      <c r="U94" s="28"/>
      <c r="V94" s="28"/>
      <c r="W94" s="12"/>
      <c r="X94" s="28"/>
      <c r="Y94" s="28"/>
      <c r="Z94" s="12"/>
      <c r="AA94" s="28"/>
      <c r="AB94" s="28"/>
      <c r="AC94" s="158"/>
      <c r="AD94" s="28"/>
      <c r="AE94" s="28"/>
      <c r="AF94" s="158"/>
      <c r="AG94" s="28"/>
      <c r="AH94" s="28"/>
      <c r="AI94" s="12"/>
      <c r="AJ94" s="6"/>
      <c r="AK94" s="28"/>
      <c r="AL94" s="6"/>
      <c r="AM94" s="28"/>
      <c r="AN94" s="6"/>
      <c r="AO94" s="28"/>
      <c r="AP94" s="6"/>
      <c r="AQ94" s="28"/>
      <c r="AR94" s="6"/>
      <c r="AS94" s="28"/>
      <c r="AT94" s="6"/>
      <c r="AU94" s="28"/>
      <c r="AV94" s="6"/>
      <c r="AW94" s="233"/>
      <c r="AX94" s="6"/>
      <c r="AY94" s="6"/>
      <c r="AZ94" s="6"/>
      <c r="BA94" s="24"/>
      <c r="BB94" s="24"/>
      <c r="BC94" s="28"/>
      <c r="BD94" s="6"/>
      <c r="BE94" s="6"/>
      <c r="BF94" s="6"/>
      <c r="BG94" s="6"/>
      <c r="BH94" s="6"/>
      <c r="BI94" s="6"/>
      <c r="BJ94" s="6"/>
      <c r="BK94" s="6"/>
      <c r="BL94" s="231"/>
      <c r="BM94" s="231"/>
      <c r="BN94" s="231"/>
      <c r="BO94" s="6"/>
      <c r="BP94" s="234"/>
      <c r="BQ94" s="231"/>
      <c r="BR94" s="6"/>
      <c r="BS94" s="6"/>
      <c r="BT94" s="6"/>
      <c r="BU94" s="6"/>
      <c r="BV94" s="6"/>
      <c r="BW94" s="6"/>
      <c r="BX94" s="6"/>
      <c r="BY94" s="231"/>
      <c r="BZ94" s="6"/>
      <c r="CA94" s="234"/>
      <c r="CB94" s="235"/>
      <c r="CC94" s="235"/>
      <c r="CD94" s="235"/>
      <c r="CE94" s="235"/>
      <c r="CF94" s="28"/>
      <c r="CG94" s="28"/>
      <c r="CH94" s="173"/>
      <c r="CI94" s="24"/>
      <c r="CJ94" s="25"/>
      <c r="CK94" s="6">
        <f t="shared" ref="CK94:CK108" si="80">CU94</f>
        <v>0</v>
      </c>
      <c r="CL94" s="8" t="s">
        <v>72</v>
      </c>
      <c r="CM94" s="6">
        <f t="shared" ref="CM94:CM108" si="81">CV94</f>
        <v>0</v>
      </c>
      <c r="CN94" s="236"/>
      <c r="CO94" s="24"/>
      <c r="CP94" s="6"/>
      <c r="CQ94" s="6"/>
      <c r="CR94" s="6"/>
      <c r="CS94" s="6"/>
      <c r="CT94" s="6"/>
      <c r="CU94" s="6"/>
      <c r="CV94" s="6"/>
      <c r="CW94" s="6"/>
      <c r="CX94" s="278"/>
      <c r="CY94" s="6"/>
      <c r="CZ94" s="6"/>
      <c r="DA94" s="6"/>
      <c r="DB94" s="6"/>
      <c r="DC94" s="6"/>
      <c r="DD94" s="6"/>
      <c r="DE94" s="6"/>
      <c r="DF94" s="6"/>
      <c r="DG94" s="6"/>
      <c r="DH94" s="6"/>
      <c r="DI94" s="6"/>
      <c r="DJ94" s="212"/>
      <c r="DK94" s="13"/>
      <c r="DL94" s="13"/>
      <c r="DM94" s="202"/>
      <c r="DN94" s="206"/>
      <c r="DO94" s="206"/>
      <c r="DP94" s="206"/>
      <c r="DQ94" s="206"/>
      <c r="DR94" s="206"/>
      <c r="DS94" s="207"/>
      <c r="DT94" s="208"/>
      <c r="DU94" s="207"/>
      <c r="DV94" s="207"/>
      <c r="DW94" s="207"/>
      <c r="DX94" s="207"/>
      <c r="DY94" s="207"/>
      <c r="DZ94" s="207"/>
    </row>
    <row r="95" spans="1:131" s="7" customFormat="1" ht="13.8" x14ac:dyDescent="0.25">
      <c r="A95" s="7" t="s">
        <v>141</v>
      </c>
      <c r="B95" s="19">
        <f>+CI95</f>
        <v>62</v>
      </c>
      <c r="C95" s="6">
        <f t="shared" ref="C95:E98" si="82">CJ95</f>
        <v>0</v>
      </c>
      <c r="D95" s="6">
        <f t="shared" si="82"/>
        <v>103</v>
      </c>
      <c r="E95" s="6" t="str">
        <f t="shared" si="82"/>
        <v>--</v>
      </c>
      <c r="F95" s="6">
        <f>+CM95</f>
        <v>203</v>
      </c>
      <c r="G95" s="174" t="str">
        <f t="shared" ref="G95:H98" si="83">CN95</f>
        <v>Max Mz</v>
      </c>
      <c r="H95" s="6" t="str">
        <f t="shared" si="83"/>
        <v>Internal</v>
      </c>
      <c r="I95" s="156"/>
      <c r="J95" s="10">
        <f t="shared" ref="J95:M98" si="84">(CP95)</f>
        <v>4112</v>
      </c>
      <c r="K95" s="10">
        <f t="shared" si="84"/>
        <v>9</v>
      </c>
      <c r="L95" s="10">
        <f t="shared" si="84"/>
        <v>2991</v>
      </c>
      <c r="M95" s="10">
        <f t="shared" si="84"/>
        <v>6</v>
      </c>
      <c r="N95" s="10">
        <f>IF(I95*J95&gt;=0,J95*$J$19+I95*$J$18,J95)</f>
        <v>4112</v>
      </c>
      <c r="O95" s="10">
        <f>(K95)*$J$19</f>
        <v>9</v>
      </c>
      <c r="P95" s="14">
        <f>IF(I95*L95&gt;=0,(L95)+I95,L95)</f>
        <v>2991</v>
      </c>
      <c r="Q95" s="3">
        <f>(M95)</f>
        <v>6</v>
      </c>
      <c r="R95" s="20">
        <f t="shared" si="79"/>
        <v>1000</v>
      </c>
      <c r="S95" s="23"/>
      <c r="T95" s="12">
        <v>40</v>
      </c>
      <c r="U95" s="28"/>
      <c r="V95" s="28"/>
      <c r="W95" s="12">
        <v>40</v>
      </c>
      <c r="X95" s="28"/>
      <c r="Y95" s="28"/>
      <c r="Z95" s="12">
        <v>32</v>
      </c>
      <c r="AA95" s="28"/>
      <c r="AB95" s="28"/>
      <c r="AC95" s="158"/>
      <c r="AD95" s="28"/>
      <c r="AE95" s="28"/>
      <c r="AF95" s="158"/>
      <c r="AG95" s="28"/>
      <c r="AH95" s="28"/>
      <c r="AI95" s="29"/>
      <c r="AJ95" s="6">
        <f>PI()/4*T95^2*$O$12/$AX$16</f>
        <v>8377.5804095727817</v>
      </c>
      <c r="AK95" s="28" t="str">
        <f>IF(W95=0,"","+")</f>
        <v>+</v>
      </c>
      <c r="AL95" s="6">
        <f>PI()/4*W95^2*$O$12/$AX$16</f>
        <v>8377.5804095727817</v>
      </c>
      <c r="AM95" s="28" t="str">
        <f>IF(Z95=0,"","+")</f>
        <v>+</v>
      </c>
      <c r="AN95" s="6">
        <f>PI()/4*Z95^2*$O$12/$AX$16</f>
        <v>5361.6514621265796</v>
      </c>
      <c r="AO95" s="28" t="str">
        <f>IF(AC95=0,"","+")</f>
        <v/>
      </c>
      <c r="AP95" s="6">
        <f>PI()/4*AC95^2*$O$12/$AX$16</f>
        <v>0</v>
      </c>
      <c r="AQ95" s="28" t="str">
        <f>IF(AF95=0,"","+")</f>
        <v/>
      </c>
      <c r="AR95" s="6">
        <f>PI()/4*AF95^2*$O$12/$AX$16</f>
        <v>0</v>
      </c>
      <c r="AS95" s="28" t="str">
        <f>IF(AI95=0,"","+")</f>
        <v/>
      </c>
      <c r="AT95" s="6">
        <f>PI()/4*AI95^2*$O$12/$AX$16</f>
        <v>0</v>
      </c>
      <c r="AU95" s="28" t="s">
        <v>24</v>
      </c>
      <c r="AV95" s="15">
        <f>VALUE(AJ95)+VALUE(AL95)+VALUE(AN95)+VALUE(AP95)+VALUE(AR95)+VALUE(AT95)</f>
        <v>22116.812281272141</v>
      </c>
      <c r="AW95" s="228">
        <f>MAX(0.3*$AJ$14^(2/3)/$AJ$16*0.26*100,0.13)</f>
        <v>0.15723814702688016</v>
      </c>
      <c r="AX95" s="6">
        <f>AW95/100*$O$12*BK95</f>
        <v>1301.7889136125434</v>
      </c>
      <c r="AY95" s="6"/>
      <c r="AZ95" s="6"/>
      <c r="BA95" s="24" t="str">
        <f>IF(BB95=0,"","+")</f>
        <v/>
      </c>
      <c r="BB95" s="24"/>
      <c r="BC95" s="28" t="s">
        <v>24</v>
      </c>
      <c r="BD95" s="15">
        <f>AX95+AZ95+BB95</f>
        <v>1301.7889136125434</v>
      </c>
      <c r="BE95" s="2">
        <f>(R95-($AX$14+$O$16+T95/2))</f>
        <v>897</v>
      </c>
      <c r="BF95" s="3">
        <f>IF(W95=0,0,(R95-($AX$14+T95/2+$O$16+$BI$16)))</f>
        <v>817</v>
      </c>
      <c r="BG95" s="3">
        <f>IF(Z95=0,0,(R95-($AX$14+T95/2+$BI$16+$O$16+$BI$17)))</f>
        <v>737</v>
      </c>
      <c r="BH95" s="3">
        <f>IF(AC95=0,0,(R95-($AX$14+T95/2+$O$16+$BI$16+$BI$17+$BI$18)))</f>
        <v>0</v>
      </c>
      <c r="BI95" s="3">
        <f>IF(AF95=0,0,(R95-($AX$14+T95/2+$O$16+$BI$16+$BI$17+$BI$18+$BL$16)))</f>
        <v>0</v>
      </c>
      <c r="BJ95" s="3">
        <f>IF(AI95=0,0,(R95-($AX$14+T95/2+$O$16+$BI$16+$BI$17+$BI$18+$BL$16+$BL$17)))</f>
        <v>0</v>
      </c>
      <c r="BK95" s="6">
        <f>(BE95*AJ95+BF95*AL95+BG95*AN95+BH95*AP95+BI95*AR95+BJ95*AT95)/AV95</f>
        <v>827.90909090909099</v>
      </c>
      <c r="BL95" s="175">
        <f>ABS(N95)*1000000/$O$12/BK95^2</f>
        <v>5.9991235081271901</v>
      </c>
      <c r="BM95" s="175">
        <f>BL95/$AJ$14</f>
        <v>0.18747260962897469</v>
      </c>
      <c r="BN95" s="21">
        <f>IF(BM95&lt;0.167,0.5+SQRT(0.25-(BM95/1.134)),0.82)</f>
        <v>0.82</v>
      </c>
      <c r="BO95" s="15">
        <f>ABS(N95)/(0.87*$AJ$16*BN95*BK95)*10^6</f>
        <v>13924.106784034031</v>
      </c>
      <c r="BP95" s="22">
        <v>491.3413628048412</v>
      </c>
      <c r="BQ95" s="175">
        <f>IF(Q95=0,2*ABS(P95*10^6)/$O$12/BP95/(BK95-BP95/3),Q95*BP95*1000/($O$12/2*BP95^2-(BE95-BP95)*AJ95*$AJ$18-(BF95-BP95)*AL95*$AJ$18-(BG95-BP95)*AN95*$AJ$18-(BH95-BP95)*AP95*$AJ$18-(BI95-BP95)*AR95*$AJ$18-(BJ95-BP95)*AT95*$AJ$18))</f>
        <v>18.033373754144545</v>
      </c>
      <c r="BR95" s="3">
        <f>0.5*$O$12*BP95*BQ95 /1000</f>
        <v>4430.2712181652178</v>
      </c>
      <c r="BS95" s="3">
        <f>($BQ95/$BP95)*(BE95-$BP95)*$AJ$18*AJ95/1000</f>
        <v>2019.8823377308709</v>
      </c>
      <c r="BT95" s="3">
        <f>($BQ95/$BP95)*(BF95-$BP95)*$AJ$18*AL95/1000</f>
        <v>1621.541042360572</v>
      </c>
      <c r="BU95" s="3">
        <f>($BQ95/$BP95)*(BG95-$BP95)*$AJ$18*AN95/1000</f>
        <v>782.8478380737746</v>
      </c>
      <c r="BV95" s="3">
        <f>($BQ95/$BP95)*(BH95-$BP95)*$AJ$18*AP95/1000</f>
        <v>0</v>
      </c>
      <c r="BW95" s="3">
        <f>($BQ95/$BP95)*(BI95-$BP95)*$AJ$18*AR95/1000</f>
        <v>0</v>
      </c>
      <c r="BX95" s="3">
        <f>($BQ95/$BP95)*(BJ95-$BP95)*$AJ$18*AT95/1000</f>
        <v>0</v>
      </c>
      <c r="BY95" s="175">
        <f>IF(Q95=0,0,(0.5*$O$12*BP95*BQ95/1000*(R95/2-$BP95/3)+BS95*(BE95-R95/2)+BT95*(BF95-R95/2)+BU95*(BG95-R95/2)+BV95*(BH95-R95/2)+BW95*(BI95-R95/2)+BX95*(BJ95-R95/2))/1000-ABS(P95))</f>
        <v>5.1257076256661094E-4</v>
      </c>
      <c r="BZ95" s="10"/>
      <c r="CA95" s="176">
        <f>ABS(P95)/(BK95-BP95/3)/AV95*10^6-Q95*(R95/2-BP95/3)/(BK95-BP95/3)/AV95*1000</f>
        <v>203.49261839219474</v>
      </c>
      <c r="CB95" s="177">
        <f>(AV95/($O$12*MIN(2.5*(R95-BK95),(R95-BP95)/3,R95/2)-AV95))</f>
        <v>0.15000951099507476</v>
      </c>
      <c r="CC95" s="177">
        <f>3.4*($O$16+$AX$14)+0.425*0.8*0.5*(T95^2+W95^2+Z95^2+AC95^2+AF95^2+AI95^2)/(T95+W95+Z95+AC95+AF95+AI95)/CB95</f>
        <v>324.94014713399793</v>
      </c>
      <c r="CD95" s="177">
        <f>MAX(0.6*CA95/$AJ$17,(CA95-0.4*0.3*$AJ$14^(2/3)/CB95*(1+$AJ$17/$AJ$15*CB95))/$AJ$17)</f>
        <v>0.87921323701562704</v>
      </c>
      <c r="CE95" s="178">
        <f>CC95*CD95/1000</f>
        <v>0.28569167859801642</v>
      </c>
      <c r="CF95" s="23" t="str">
        <f>IF(AND(AV95&gt;=BD95,AV95&gt;=BO95,CE95&lt;=(+IF(CO95="External",0.25,0.3))),"O.K", "Not O.K")</f>
        <v>O.K</v>
      </c>
      <c r="CG95" s="28"/>
      <c r="CH95" s="179" t="str">
        <f>IF(O95&lt;0.2*$AJ$14*R95*$O$12/1000,"N &lt; 0.2fckAc - OK!","TBA")</f>
        <v>N &lt; 0.2fckAc - OK!</v>
      </c>
      <c r="CI95" s="24">
        <v>62</v>
      </c>
      <c r="CJ95" s="25"/>
      <c r="CK95" s="6">
        <f t="shared" si="80"/>
        <v>103</v>
      </c>
      <c r="CL95" s="8" t="s">
        <v>72</v>
      </c>
      <c r="CM95" s="6">
        <f t="shared" si="81"/>
        <v>203</v>
      </c>
      <c r="CN95" s="26" t="s">
        <v>147</v>
      </c>
      <c r="CO95" s="27" t="s">
        <v>106</v>
      </c>
      <c r="CP95" s="2">
        <v>4112</v>
      </c>
      <c r="CQ95" s="15">
        <v>9</v>
      </c>
      <c r="CR95" s="3">
        <v>2991</v>
      </c>
      <c r="CS95" s="15">
        <v>6</v>
      </c>
      <c r="CT95" s="20">
        <v>1000</v>
      </c>
      <c r="CU95" s="2">
        <v>103</v>
      </c>
      <c r="CV95" s="15">
        <v>203</v>
      </c>
      <c r="CW95" s="6"/>
      <c r="CX95" s="278">
        <f>CI95</f>
        <v>62</v>
      </c>
      <c r="CY95" s="6">
        <f t="shared" ref="CY95:DD95" si="85">MAX(DN95:DN98)</f>
        <v>0</v>
      </c>
      <c r="CZ95" s="6">
        <f t="shared" si="85"/>
        <v>0</v>
      </c>
      <c r="DA95" s="6">
        <f t="shared" si="85"/>
        <v>0</v>
      </c>
      <c r="DB95" s="6">
        <f t="shared" si="85"/>
        <v>0</v>
      </c>
      <c r="DC95" s="6">
        <f t="shared" si="85"/>
        <v>0</v>
      </c>
      <c r="DD95" s="6">
        <f t="shared" si="85"/>
        <v>0</v>
      </c>
      <c r="DE95" s="6"/>
      <c r="DF95" s="6">
        <f t="shared" ref="DF95:DK95" si="86">MAX(DU95:DU98)</f>
        <v>40</v>
      </c>
      <c r="DG95" s="6">
        <f t="shared" si="86"/>
        <v>40</v>
      </c>
      <c r="DH95" s="6">
        <f t="shared" si="86"/>
        <v>32</v>
      </c>
      <c r="DI95" s="6">
        <f t="shared" si="86"/>
        <v>0</v>
      </c>
      <c r="DJ95" s="6">
        <f t="shared" si="86"/>
        <v>0</v>
      </c>
      <c r="DK95" s="6">
        <f t="shared" si="86"/>
        <v>0</v>
      </c>
      <c r="DL95" s="13"/>
      <c r="DM95" s="202">
        <f>CI95</f>
        <v>62</v>
      </c>
      <c r="DN95" s="206">
        <f>IF(CO95="external",T95,0)</f>
        <v>0</v>
      </c>
      <c r="DO95" s="206">
        <f>IF(CO95="external",W95,0)</f>
        <v>0</v>
      </c>
      <c r="DP95" s="206">
        <f>IF(CO95="external",Z95,0)</f>
        <v>0</v>
      </c>
      <c r="DQ95" s="206">
        <f>IF(CO95="external",AC95,0)</f>
        <v>0</v>
      </c>
      <c r="DR95" s="206">
        <f>IF(CO95="external",AF95,0)</f>
        <v>0</v>
      </c>
      <c r="DS95" s="207">
        <f>IF(CO95="external",AI95,0)</f>
        <v>0</v>
      </c>
      <c r="DT95" s="208"/>
      <c r="DU95" s="207">
        <f>IF(CO95="internal",T95,0)</f>
        <v>40</v>
      </c>
      <c r="DV95" s="207">
        <f>IF(CO95="internal",W95,0)</f>
        <v>40</v>
      </c>
      <c r="DW95" s="207">
        <f>IF(CO95="internal",Z95,0)</f>
        <v>32</v>
      </c>
      <c r="DX95" s="207">
        <f>IF(CO95="internal",AC95,0)</f>
        <v>0</v>
      </c>
      <c r="DY95" s="207">
        <f>IF(CO95="internal",AF95,0)</f>
        <v>0</v>
      </c>
      <c r="DZ95" s="207">
        <f>IF(CO95="internal",AI95,0)</f>
        <v>0</v>
      </c>
    </row>
    <row r="96" spans="1:131" s="7" customFormat="1" x14ac:dyDescent="0.3">
      <c r="B96" s="19">
        <f>+CI96</f>
        <v>0</v>
      </c>
      <c r="C96" s="6">
        <f t="shared" si="82"/>
        <v>0</v>
      </c>
      <c r="D96" s="6">
        <f t="shared" si="82"/>
        <v>113</v>
      </c>
      <c r="E96" s="6" t="str">
        <f t="shared" si="82"/>
        <v>--</v>
      </c>
      <c r="F96" s="6">
        <f>+CM96</f>
        <v>213</v>
      </c>
      <c r="G96" s="174" t="str">
        <f t="shared" si="83"/>
        <v>Min Mz</v>
      </c>
      <c r="H96" s="6" t="str">
        <f t="shared" si="83"/>
        <v>Internal</v>
      </c>
      <c r="I96" s="156"/>
      <c r="J96" s="10">
        <f t="shared" si="84"/>
        <v>132</v>
      </c>
      <c r="K96" s="10">
        <f t="shared" si="84"/>
        <v>0</v>
      </c>
      <c r="L96" s="10">
        <f t="shared" si="84"/>
        <v>55</v>
      </c>
      <c r="M96" s="10">
        <f t="shared" si="84"/>
        <v>1</v>
      </c>
      <c r="N96" s="10">
        <f>IF(I96*J96&gt;=0,J96*$J$19+I96*$J$18,J96)</f>
        <v>132</v>
      </c>
      <c r="O96" s="10">
        <f>(K96)*$J$19</f>
        <v>0</v>
      </c>
      <c r="P96" s="14">
        <f>IF(I96*L96&gt;=0,(L96)+I96,L96)</f>
        <v>55</v>
      </c>
      <c r="Q96" s="3">
        <f>(M96)</f>
        <v>1</v>
      </c>
      <c r="R96" s="20">
        <f t="shared" si="79"/>
        <v>1000</v>
      </c>
      <c r="S96" s="23"/>
      <c r="T96" s="12">
        <v>20</v>
      </c>
      <c r="U96" s="28"/>
      <c r="V96" s="28"/>
      <c r="W96" s="12"/>
      <c r="X96" s="28"/>
      <c r="Y96" s="28"/>
      <c r="Z96" s="12"/>
      <c r="AA96" s="28"/>
      <c r="AB96" s="28"/>
      <c r="AC96" s="158"/>
      <c r="AD96" s="28"/>
      <c r="AE96" s="28"/>
      <c r="AF96" s="158"/>
      <c r="AG96" s="28"/>
      <c r="AH96" s="28"/>
      <c r="AI96" s="29"/>
      <c r="AJ96" s="6">
        <f>PI()/4*T96^2*$O$12/$AX$16</f>
        <v>2094.3951023931954</v>
      </c>
      <c r="AK96" s="28" t="str">
        <f>IF(W96=0,"","+")</f>
        <v/>
      </c>
      <c r="AL96" s="6">
        <f>PI()/4*W96^2*$O$12/$AX$16</f>
        <v>0</v>
      </c>
      <c r="AM96" s="28" t="str">
        <f>IF(Z96=0,"","+")</f>
        <v/>
      </c>
      <c r="AN96" s="6">
        <f>PI()/4*Z96^2*$O$12/$AX$16</f>
        <v>0</v>
      </c>
      <c r="AO96" s="28" t="str">
        <f>IF(AC96=0,"","+")</f>
        <v/>
      </c>
      <c r="AP96" s="6">
        <f>PI()/4*AC96^2*$O$12/$AX$16</f>
        <v>0</v>
      </c>
      <c r="AQ96" s="28" t="str">
        <f>IF(AF96=0,"","+")</f>
        <v/>
      </c>
      <c r="AR96" s="6">
        <f>PI()/4*AF96^2*$O$12/$AX$16</f>
        <v>0</v>
      </c>
      <c r="AS96" s="28" t="str">
        <f>IF(AI96=0,"","+")</f>
        <v/>
      </c>
      <c r="AT96" s="6">
        <f>PI()/4*AI96^2*$O$12/$AX$16</f>
        <v>0</v>
      </c>
      <c r="AU96" s="28" t="s">
        <v>24</v>
      </c>
      <c r="AV96" s="15">
        <f>VALUE(AJ96)+VALUE(AL96)+VALUE(AN96)+VALUE(AP96)+VALUE(AR96)+VALUE(AT96)</f>
        <v>2094.3951023931954</v>
      </c>
      <c r="AW96" s="228">
        <f>MAX(0.3*$AJ$14^(2/3)/$AJ$16*0.26*100,0.13)</f>
        <v>0.15723814702688016</v>
      </c>
      <c r="AX96" s="6">
        <f>AW96/100*$O$12*BK96</f>
        <v>1426.1499935338031</v>
      </c>
      <c r="AY96" s="6"/>
      <c r="AZ96" s="6"/>
      <c r="BA96" s="24" t="str">
        <f>IF(BB96=0,"","+")</f>
        <v/>
      </c>
      <c r="BB96" s="24"/>
      <c r="BC96" s="28" t="s">
        <v>24</v>
      </c>
      <c r="BD96" s="15">
        <f>AX96+AZ96+BB96</f>
        <v>1426.1499935338031</v>
      </c>
      <c r="BE96" s="2">
        <f>(R96-($AX$14+$O$16+T96/2))</f>
        <v>907</v>
      </c>
      <c r="BF96" s="3">
        <f>IF(W96=0,0,(R96-($AX$14+T96/2+$O$16+$BI$16)))</f>
        <v>0</v>
      </c>
      <c r="BG96" s="3">
        <f>IF(Z96=0,0,(R96-($AX$14+T96/2+$BI$16+$O$16+$BI$17)))</f>
        <v>0</v>
      </c>
      <c r="BH96" s="3">
        <f>IF(AC96=0,0,(R96-($AX$14+T96/2+$O$16+$BI$16+$BI$17+$BI$18)))</f>
        <v>0</v>
      </c>
      <c r="BI96" s="3">
        <f>IF(AF96=0,0,(R96-($AX$14+T96/2+$O$16+$BI$16+$BI$17+$BI$18+$BL$16)))</f>
        <v>0</v>
      </c>
      <c r="BJ96" s="3">
        <f>IF(AI96=0,0,(R96-($AX$14+T96/2+$O$16+$BI$16+$BI$17+$BI$18+$BL$16+$BL$17)))</f>
        <v>0</v>
      </c>
      <c r="BK96" s="6">
        <f>(BE96*AJ96+BF96*AL96+BG96*AN96+BH96*AP96+BI96*AR96+BJ96*AT96)/AV96</f>
        <v>907</v>
      </c>
      <c r="BL96" s="175">
        <f>ABS(N96)*1000000/$O$12/BK96^2</f>
        <v>0.16045725455206292</v>
      </c>
      <c r="BM96" s="175">
        <f>BL96/$AJ$14</f>
        <v>5.0142892047519661E-3</v>
      </c>
      <c r="BN96" s="21">
        <f>IF(BM96&lt;0.167,0.5+SQRT(0.25-(BM96/1.134)),0.82)</f>
        <v>0.99555850130383639</v>
      </c>
      <c r="BO96" s="15">
        <f>ABS(N96)/(0.87*$AJ$16*BN96*BK96)*10^6</f>
        <v>336.05518609321933</v>
      </c>
      <c r="BP96" s="22">
        <v>217.85653335949178</v>
      </c>
      <c r="BQ96" s="175">
        <f>IF(Q96=0,2*ABS(P96*10^6)/$O$12/BP96/(BK96-BP96/3),Q96*BP96*1000/($O$12/2*BP96^2-(BE96-BP96)*AJ96*$AJ$18-(BF96-BP96)*AL96*$AJ$18-(BG96-BP96)*AN96*$AJ$18-(BH96-BP96)*AP96*$AJ$18-(BI96-BP96)*AR96*$AJ$18-(BJ96-BP96)*AT96*$AJ$18))</f>
        <v>0.60962026446737538</v>
      </c>
      <c r="BR96" s="3">
        <f>0.5*$O$12*BP96*BQ96 /1000</f>
        <v>66.404878741279489</v>
      </c>
      <c r="BS96" s="3">
        <f>($BQ96/$BP96)*(BE96-$BP96)*$AJ$18*AJ96/1000</f>
        <v>65.404878741279475</v>
      </c>
      <c r="BT96" s="3">
        <f>($BQ96/$BP96)*(BF96-$BP96)*$AJ$18*AL96/1000</f>
        <v>0</v>
      </c>
      <c r="BU96" s="3">
        <f>($BQ96/$BP96)*(BG96-$BP96)*$AJ$18*AN96/1000</f>
        <v>0</v>
      </c>
      <c r="BV96" s="3">
        <f>($BQ96/$BP96)*(BH96-$BP96)*$AJ$18*AP96/1000</f>
        <v>0</v>
      </c>
      <c r="BW96" s="3">
        <f>($BQ96/$BP96)*(BI96-$BP96)*$AJ$18*AR96/1000</f>
        <v>0</v>
      </c>
      <c r="BX96" s="3">
        <f>($BQ96/$BP96)*(BJ96-$BP96)*$AJ$18*AT96/1000</f>
        <v>0</v>
      </c>
      <c r="BY96" s="175">
        <f>IF(Q96=0,0,(0.5*$O$12*BP96*BQ96/1000*(R96/2-$BP96/3)+BS96*(BE96-R96/2)+BT96*(BF96-R96/2)+BU96*(BG96-R96/2)+BV96*(BH96-R96/2)+BW96*(BI96-R96/2)+BX96*(BJ96-R96/2))/1000-ABS(P96))</f>
        <v>-2.0541903694493158E-5</v>
      </c>
      <c r="BZ96" s="10"/>
      <c r="CA96" s="176">
        <f>ABS(P96)/(BK96-BP96/3)/AV96*10^6-Q96*(R96/2-BP96/3)/(BK96-BP96/3)/AV96*1000</f>
        <v>31.228541016865393</v>
      </c>
      <c r="CB96" s="177">
        <f>(AV96/($O$12*MIN(2.5*(R96-BK96),(R96-BP96)/3,R96/2)-AV96))</f>
        <v>9.0900353892170004E-3</v>
      </c>
      <c r="CC96" s="177">
        <f>3.4*($O$16+$AX$14)+0.425*0.8*0.5*(T96^2+W96^2+Z96^2+AC96^2+AF96^2+AI96^2)/(T96+W96+Z96+AC96+AF96+AI96)/CB96</f>
        <v>656.23594754242981</v>
      </c>
      <c r="CD96" s="177">
        <f>MAX(0.6*CA96/$AJ$17,(CA96-0.4*0.3*$AJ$14^(2/3)/CB96*(1+$AJ$17/$AJ$15*CB96))/$AJ$17)</f>
        <v>9.3685623050596176E-2</v>
      </c>
      <c r="CE96" s="178">
        <f>CC96*CD96/1000</f>
        <v>6.1479873613710885E-2</v>
      </c>
      <c r="CF96" s="23" t="str">
        <f>IF(AND(AV96&gt;=BD96,AV96&gt;=BO96,CE96&lt;=(+IF(CO96="External",0.25,0.3))),"O.K", "Not O.K")</f>
        <v>O.K</v>
      </c>
      <c r="CG96" s="28"/>
      <c r="CH96" s="179" t="str">
        <f>IF(O96&lt;0.2*$AJ$14*R96*$O$12/1000,"N &lt; 0.2fckAc - OK!","TBA")</f>
        <v>N &lt; 0.2fckAc - OK!</v>
      </c>
      <c r="CI96" s="24"/>
      <c r="CJ96" s="25"/>
      <c r="CK96" s="6">
        <f t="shared" si="80"/>
        <v>113</v>
      </c>
      <c r="CL96" s="8" t="s">
        <v>72</v>
      </c>
      <c r="CM96" s="6">
        <f t="shared" si="81"/>
        <v>213</v>
      </c>
      <c r="CN96" s="26" t="s">
        <v>148</v>
      </c>
      <c r="CO96" s="27" t="s">
        <v>106</v>
      </c>
      <c r="CP96" s="2">
        <v>132</v>
      </c>
      <c r="CQ96" s="15">
        <v>0</v>
      </c>
      <c r="CR96" s="3">
        <v>55</v>
      </c>
      <c r="CS96" s="15">
        <v>1</v>
      </c>
      <c r="CT96" s="20">
        <v>1000</v>
      </c>
      <c r="CU96" s="2">
        <v>113</v>
      </c>
      <c r="CV96" s="15">
        <v>213</v>
      </c>
      <c r="CW96" s="6"/>
      <c r="CX96" s="278"/>
      <c r="CY96" s="6"/>
      <c r="CZ96" s="6"/>
      <c r="DA96" s="6"/>
      <c r="DB96" s="6"/>
      <c r="DC96" s="6"/>
      <c r="DD96" s="6"/>
      <c r="DE96" s="6"/>
      <c r="DF96" s="6"/>
      <c r="DG96" s="6"/>
      <c r="DH96" s="6"/>
      <c r="DI96" s="6"/>
      <c r="DJ96" s="212"/>
      <c r="DK96" s="13"/>
      <c r="DL96" s="13"/>
      <c r="DM96" s="202"/>
      <c r="DN96" s="206">
        <f>IF(CO96="external",T96,0)</f>
        <v>0</v>
      </c>
      <c r="DO96" s="206">
        <f>IF(CO96="external",W96,0)</f>
        <v>0</v>
      </c>
      <c r="DP96" s="206">
        <f>IF(CO96="external",Z96,0)</f>
        <v>0</v>
      </c>
      <c r="DQ96" s="206">
        <f>IF(CO96="external",AC96,0)</f>
        <v>0</v>
      </c>
      <c r="DR96" s="206">
        <f>IF(CO96="external",AF96,0)</f>
        <v>0</v>
      </c>
      <c r="DS96" s="207">
        <f>IF(CO96="external",AI96,0)</f>
        <v>0</v>
      </c>
      <c r="DT96" s="208"/>
      <c r="DU96" s="207">
        <f>IF(CO96="internal",T96,0)</f>
        <v>20</v>
      </c>
      <c r="DV96" s="207">
        <f>IF(CO96="internal",W96,0)</f>
        <v>0</v>
      </c>
      <c r="DW96" s="207">
        <f>IF(CO96="internal",Z96,0)</f>
        <v>0</v>
      </c>
      <c r="DX96" s="207">
        <f>IF(CO96="internal",AC96,0)</f>
        <v>0</v>
      </c>
      <c r="DY96" s="207">
        <f>IF(CO96="internal",AF96,0)</f>
        <v>0</v>
      </c>
      <c r="DZ96" s="207">
        <f>IF(CO96="internal",AI96,0)</f>
        <v>0</v>
      </c>
    </row>
    <row r="97" spans="1:130" s="7" customFormat="1" x14ac:dyDescent="0.3">
      <c r="B97" s="19">
        <f>+CI97</f>
        <v>0</v>
      </c>
      <c r="C97" s="6">
        <f t="shared" si="82"/>
        <v>0</v>
      </c>
      <c r="D97" s="6">
        <f t="shared" si="82"/>
        <v>103</v>
      </c>
      <c r="E97" s="6" t="str">
        <f t="shared" si="82"/>
        <v>--</v>
      </c>
      <c r="F97" s="6">
        <f>+CM97</f>
        <v>203</v>
      </c>
      <c r="G97" s="174" t="str">
        <f t="shared" si="83"/>
        <v>Max Fx</v>
      </c>
      <c r="H97" s="6" t="str">
        <f t="shared" si="83"/>
        <v>Internal</v>
      </c>
      <c r="I97" s="156"/>
      <c r="J97" s="10">
        <f t="shared" si="84"/>
        <v>4112</v>
      </c>
      <c r="K97" s="10">
        <f t="shared" si="84"/>
        <v>9</v>
      </c>
      <c r="L97" s="10">
        <f t="shared" si="84"/>
        <v>2991</v>
      </c>
      <c r="M97" s="10">
        <f t="shared" si="84"/>
        <v>6</v>
      </c>
      <c r="N97" s="10">
        <f>IF(I97*J97&gt;=0,J97*$J$19+I97*$J$18,J97)</f>
        <v>4112</v>
      </c>
      <c r="O97" s="10">
        <f>(K97)*$J$19</f>
        <v>9</v>
      </c>
      <c r="P97" s="14">
        <f>IF(I97*L97&gt;=0,(L97)+I97,L97)</f>
        <v>2991</v>
      </c>
      <c r="Q97" s="3">
        <f>(M97)</f>
        <v>6</v>
      </c>
      <c r="R97" s="20">
        <f t="shared" si="79"/>
        <v>1000</v>
      </c>
      <c r="S97" s="23"/>
      <c r="T97" s="12">
        <v>40</v>
      </c>
      <c r="U97" s="28"/>
      <c r="V97" s="28"/>
      <c r="W97" s="12">
        <v>40</v>
      </c>
      <c r="X97" s="28"/>
      <c r="Y97" s="28"/>
      <c r="Z97" s="12">
        <v>32</v>
      </c>
      <c r="AA97" s="28"/>
      <c r="AB97" s="28"/>
      <c r="AC97" s="158"/>
      <c r="AD97" s="28"/>
      <c r="AE97" s="28"/>
      <c r="AF97" s="158"/>
      <c r="AG97" s="28"/>
      <c r="AH97" s="28"/>
      <c r="AI97" s="29"/>
      <c r="AJ97" s="6">
        <f>PI()/4*T97^2*$O$12/$AX$16</f>
        <v>8377.5804095727817</v>
      </c>
      <c r="AK97" s="28" t="str">
        <f>IF(W97=0,"","+")</f>
        <v>+</v>
      </c>
      <c r="AL97" s="6">
        <f>PI()/4*W97^2*$O$12/$AX$16</f>
        <v>8377.5804095727817</v>
      </c>
      <c r="AM97" s="28" t="str">
        <f>IF(Z97=0,"","+")</f>
        <v>+</v>
      </c>
      <c r="AN97" s="6">
        <f>PI()/4*Z97^2*$O$12/$AX$16</f>
        <v>5361.6514621265796</v>
      </c>
      <c r="AO97" s="28" t="str">
        <f>IF(AC97=0,"","+")</f>
        <v/>
      </c>
      <c r="AP97" s="6">
        <f>PI()/4*AC97^2*$O$12/$AX$16</f>
        <v>0</v>
      </c>
      <c r="AQ97" s="28" t="str">
        <f>IF(AF97=0,"","+")</f>
        <v/>
      </c>
      <c r="AR97" s="6">
        <f>PI()/4*AF97^2*$O$12/$AX$16</f>
        <v>0</v>
      </c>
      <c r="AS97" s="28" t="str">
        <f>IF(AI97=0,"","+")</f>
        <v/>
      </c>
      <c r="AT97" s="6">
        <f>PI()/4*AI97^2*$O$12/$AX$16</f>
        <v>0</v>
      </c>
      <c r="AU97" s="28" t="s">
        <v>24</v>
      </c>
      <c r="AV97" s="15">
        <f>VALUE(AJ97)+VALUE(AL97)+VALUE(AN97)+VALUE(AP97)+VALUE(AR97)+VALUE(AT97)</f>
        <v>22116.812281272141</v>
      </c>
      <c r="AW97" s="228">
        <f>MAX(0.3*$AJ$14^(2/3)/$AJ$16*0.26*100,0.13)</f>
        <v>0.15723814702688016</v>
      </c>
      <c r="AX97" s="6">
        <f>AW97/100*$O$12*BK97</f>
        <v>1301.7889136125434</v>
      </c>
      <c r="AY97" s="6"/>
      <c r="AZ97" s="6"/>
      <c r="BA97" s="24" t="str">
        <f>IF(BB97=0,"","+")</f>
        <v/>
      </c>
      <c r="BB97" s="24"/>
      <c r="BC97" s="28" t="s">
        <v>24</v>
      </c>
      <c r="BD97" s="15">
        <f>AX97+AZ97+BB97</f>
        <v>1301.7889136125434</v>
      </c>
      <c r="BE97" s="2">
        <f>(R97-($AX$14+$O$16+T97/2))</f>
        <v>897</v>
      </c>
      <c r="BF97" s="3">
        <f>IF(W97=0,0,(R97-($AX$14+T97/2+$O$16+$BI$16)))</f>
        <v>817</v>
      </c>
      <c r="BG97" s="3">
        <f>IF(Z97=0,0,(R97-($AX$14+T97/2+$BI$16+$O$16+$BI$17)))</f>
        <v>737</v>
      </c>
      <c r="BH97" s="3">
        <f>IF(AC97=0,0,(R97-($AX$14+T97/2+$O$16+$BI$16+$BI$17+$BI$18)))</f>
        <v>0</v>
      </c>
      <c r="BI97" s="3">
        <f>IF(AF97=0,0,(R97-($AX$14+T97/2+$O$16+$BI$16+$BI$17+$BI$18+$BL$16)))</f>
        <v>0</v>
      </c>
      <c r="BJ97" s="3">
        <f>IF(AI97=0,0,(R97-($AX$14+T97/2+$O$16+$BI$16+$BI$17+$BI$18+$BL$16+$BL$17)))</f>
        <v>0</v>
      </c>
      <c r="BK97" s="6">
        <f>(BE97*AJ97+BF97*AL97+BG97*AN97+BH97*AP97+BI97*AR97+BJ97*AT97)/AV97</f>
        <v>827.90909090909099</v>
      </c>
      <c r="BL97" s="175">
        <f>ABS(N97)*1000000/$O$12/BK97^2</f>
        <v>5.9991235081271901</v>
      </c>
      <c r="BM97" s="175">
        <f>BL97/$AJ$14</f>
        <v>0.18747260962897469</v>
      </c>
      <c r="BN97" s="21">
        <f>IF(BM97&lt;0.167,0.5+SQRT(0.25-(BM97/1.134)),0.82)</f>
        <v>0.82</v>
      </c>
      <c r="BO97" s="15">
        <f>ABS(N97)/(0.87*$AJ$16*BN97*BK97)*10^6</f>
        <v>13924.106784034031</v>
      </c>
      <c r="BP97" s="22">
        <v>491.3413628048412</v>
      </c>
      <c r="BQ97" s="175">
        <f>IF(Q97=0,2*ABS(P97*10^6)/$O$12/BP97/(BK97-BP97/3),Q97*BP97*1000/($O$12/2*BP97^2-(BE97-BP97)*AJ97*$AJ$18-(BF97-BP97)*AL97*$AJ$18-(BG97-BP97)*AN97*$AJ$18-(BH97-BP97)*AP97*$AJ$18-(BI97-BP97)*AR97*$AJ$18-(BJ97-BP97)*AT97*$AJ$18))</f>
        <v>18.033373754144545</v>
      </c>
      <c r="BR97" s="3">
        <f>0.5*$O$12*BP97*BQ97 /1000</f>
        <v>4430.2712181652178</v>
      </c>
      <c r="BS97" s="3">
        <f>($BQ97/$BP97)*(BE97-$BP97)*$AJ$18*AJ97/1000</f>
        <v>2019.8823377308709</v>
      </c>
      <c r="BT97" s="3">
        <f>($BQ97/$BP97)*(BF97-$BP97)*$AJ$18*AL97/1000</f>
        <v>1621.541042360572</v>
      </c>
      <c r="BU97" s="3">
        <f>($BQ97/$BP97)*(BG97-$BP97)*$AJ$18*AN97/1000</f>
        <v>782.8478380737746</v>
      </c>
      <c r="BV97" s="3">
        <f>($BQ97/$BP97)*(BH97-$BP97)*$AJ$18*AP97/1000</f>
        <v>0</v>
      </c>
      <c r="BW97" s="3">
        <f>($BQ97/$BP97)*(BI97-$BP97)*$AJ$18*AR97/1000</f>
        <v>0</v>
      </c>
      <c r="BX97" s="3">
        <f>($BQ97/$BP97)*(BJ97-$BP97)*$AJ$18*AT97/1000</f>
        <v>0</v>
      </c>
      <c r="BY97" s="175">
        <f>IF(Q97=0,0,(0.5*$O$12*BP97*BQ97/1000*(R97/2-$BP97/3)+BS97*(BE97-R97/2)+BT97*(BF97-R97/2)+BU97*(BG97-R97/2)+BV97*(BH97-R97/2)+BW97*(BI97-R97/2)+BX97*(BJ97-R97/2))/1000-ABS(P97))</f>
        <v>5.1257076256661094E-4</v>
      </c>
      <c r="BZ97" s="10"/>
      <c r="CA97" s="176">
        <f>ABS(P97)/(BK97-BP97/3)/AV97*10^6-Q97*(R97/2-BP97/3)/(BK97-BP97/3)/AV97*1000</f>
        <v>203.49261839219474</v>
      </c>
      <c r="CB97" s="177">
        <f>(AV97/($O$12*MIN(2.5*(R97-BK97),(R97-BP97)/3,R97/2)-AV97))</f>
        <v>0.15000951099507476</v>
      </c>
      <c r="CC97" s="177">
        <f>3.4*($O$16+$AX$14)+0.425*0.8*0.5*(T97^2+W97^2+Z97^2+AC97^2+AF97^2+AI97^2)/(T97+W97+Z97+AC97+AF97+AI97)/CB97</f>
        <v>324.94014713399793</v>
      </c>
      <c r="CD97" s="177">
        <f>MAX(0.6*CA97/$AJ$17,(CA97-0.4*0.3*$AJ$14^(2/3)/CB97*(1+$AJ$17/$AJ$15*CB97))/$AJ$17)</f>
        <v>0.87921323701562704</v>
      </c>
      <c r="CE97" s="178">
        <f>CC97*CD97/1000</f>
        <v>0.28569167859801642</v>
      </c>
      <c r="CF97" s="23" t="str">
        <f>IF(AND(AV97&gt;=BD97,AV97&gt;=BO97,CE97&lt;=(+IF(CO97="External",0.25,0.3))),"O.K", "Not O.K")</f>
        <v>O.K</v>
      </c>
      <c r="CG97" s="28"/>
      <c r="CH97" s="179" t="str">
        <f>IF(O97&lt;0.2*$AJ$14*R97*$O$12/1000,"N &lt; 0.2fckAc - OK!","TBA")</f>
        <v>N &lt; 0.2fckAc - OK!</v>
      </c>
      <c r="CI97" s="24"/>
      <c r="CJ97" s="25"/>
      <c r="CK97" s="6">
        <f t="shared" si="80"/>
        <v>103</v>
      </c>
      <c r="CL97" s="8" t="s">
        <v>72</v>
      </c>
      <c r="CM97" s="6">
        <f t="shared" si="81"/>
        <v>203</v>
      </c>
      <c r="CN97" s="26" t="s">
        <v>145</v>
      </c>
      <c r="CO97" s="27" t="s">
        <v>106</v>
      </c>
      <c r="CP97" s="2">
        <v>4112</v>
      </c>
      <c r="CQ97" s="15">
        <v>9</v>
      </c>
      <c r="CR97" s="3">
        <v>2991</v>
      </c>
      <c r="CS97" s="15">
        <v>6</v>
      </c>
      <c r="CT97" s="20">
        <v>1000</v>
      </c>
      <c r="CU97" s="2">
        <v>103</v>
      </c>
      <c r="CV97" s="15">
        <v>203</v>
      </c>
      <c r="CW97" s="6"/>
      <c r="CX97" s="278"/>
      <c r="CY97" s="6"/>
      <c r="CZ97" s="6"/>
      <c r="DA97" s="6"/>
      <c r="DB97" s="6"/>
      <c r="DC97" s="6"/>
      <c r="DD97" s="6"/>
      <c r="DE97" s="6"/>
      <c r="DF97" s="6"/>
      <c r="DG97" s="6"/>
      <c r="DH97" s="6"/>
      <c r="DI97" s="6"/>
      <c r="DJ97" s="212"/>
      <c r="DK97" s="13"/>
      <c r="DL97" s="13"/>
      <c r="DM97" s="202"/>
      <c r="DN97" s="206">
        <f>IF(CO97="external",T97,0)</f>
        <v>0</v>
      </c>
      <c r="DO97" s="206">
        <f>IF(CO97="external",W97,0)</f>
        <v>0</v>
      </c>
      <c r="DP97" s="206">
        <f>IF(CO97="external",Z97,0)</f>
        <v>0</v>
      </c>
      <c r="DQ97" s="206">
        <f>IF(CO97="external",AC97,0)</f>
        <v>0</v>
      </c>
      <c r="DR97" s="206">
        <f>IF(CO97="external",AF97,0)</f>
        <v>0</v>
      </c>
      <c r="DS97" s="207">
        <f>IF(CO97="external",AI97,0)</f>
        <v>0</v>
      </c>
      <c r="DT97" s="208"/>
      <c r="DU97" s="207">
        <f>IF(CO97="internal",T97,0)</f>
        <v>40</v>
      </c>
      <c r="DV97" s="207">
        <f>IF(CO97="internal",W97,0)</f>
        <v>40</v>
      </c>
      <c r="DW97" s="207">
        <f>IF(CO97="internal",Z97,0)</f>
        <v>32</v>
      </c>
      <c r="DX97" s="207">
        <f>IF(CO97="internal",AC97,0)</f>
        <v>0</v>
      </c>
      <c r="DY97" s="207">
        <f>IF(CO97="internal",AF97,0)</f>
        <v>0</v>
      </c>
      <c r="DZ97" s="207">
        <f>IF(CO97="internal",AI97,0)</f>
        <v>0</v>
      </c>
    </row>
    <row r="98" spans="1:130" s="7" customFormat="1" x14ac:dyDescent="0.3">
      <c r="B98" s="19">
        <f>+CI98</f>
        <v>0</v>
      </c>
      <c r="C98" s="6">
        <f t="shared" si="82"/>
        <v>0</v>
      </c>
      <c r="D98" s="6">
        <f t="shared" si="82"/>
        <v>112</v>
      </c>
      <c r="E98" s="6" t="str">
        <f t="shared" si="82"/>
        <v>--</v>
      </c>
      <c r="F98" s="6">
        <f>+CM98</f>
        <v>212</v>
      </c>
      <c r="G98" s="174" t="str">
        <f t="shared" si="83"/>
        <v>Min Fx</v>
      </c>
      <c r="H98" s="6" t="str">
        <f t="shared" si="83"/>
        <v>Internal</v>
      </c>
      <c r="I98" s="156"/>
      <c r="J98" s="10">
        <f t="shared" si="84"/>
        <v>2129</v>
      </c>
      <c r="K98" s="10">
        <f t="shared" si="84"/>
        <v>0</v>
      </c>
      <c r="L98" s="10">
        <f t="shared" si="84"/>
        <v>1463</v>
      </c>
      <c r="M98" s="10">
        <f t="shared" si="84"/>
        <v>0</v>
      </c>
      <c r="N98" s="10">
        <f>IF(I98*J98&gt;=0,J98*$J$19+I98*$J$18,J98)</f>
        <v>2129</v>
      </c>
      <c r="O98" s="10">
        <f>(K98)*$J$19</f>
        <v>0</v>
      </c>
      <c r="P98" s="14">
        <f>IF(I98*L98&gt;=0,(L98)+I98,L98)</f>
        <v>1463</v>
      </c>
      <c r="Q98" s="3">
        <f>(M98)</f>
        <v>0</v>
      </c>
      <c r="R98" s="20">
        <f t="shared" si="79"/>
        <v>1000</v>
      </c>
      <c r="S98" s="23"/>
      <c r="T98" s="12">
        <v>40</v>
      </c>
      <c r="U98" s="28"/>
      <c r="V98" s="28"/>
      <c r="W98" s="12">
        <v>20</v>
      </c>
      <c r="X98" s="28"/>
      <c r="Y98" s="28"/>
      <c r="Z98" s="12"/>
      <c r="AA98" s="28"/>
      <c r="AB98" s="28"/>
      <c r="AC98" s="158"/>
      <c r="AD98" s="28"/>
      <c r="AE98" s="28"/>
      <c r="AF98" s="158"/>
      <c r="AG98" s="28"/>
      <c r="AH98" s="28"/>
      <c r="AI98" s="29"/>
      <c r="AJ98" s="6">
        <f>PI()/4*T98^2*$O$12/$AX$16</f>
        <v>8377.5804095727817</v>
      </c>
      <c r="AK98" s="28" t="str">
        <f>IF(W98=0,"","+")</f>
        <v>+</v>
      </c>
      <c r="AL98" s="6">
        <f>PI()/4*W98^2*$O$12/$AX$16</f>
        <v>2094.3951023931954</v>
      </c>
      <c r="AM98" s="28" t="str">
        <f>IF(Z98=0,"","+")</f>
        <v/>
      </c>
      <c r="AN98" s="6">
        <f>PI()/4*Z98^2*$O$12/$AX$16</f>
        <v>0</v>
      </c>
      <c r="AO98" s="28" t="str">
        <f>IF(AC98=0,"","+")</f>
        <v/>
      </c>
      <c r="AP98" s="6">
        <f>PI()/4*AC98^2*$O$12/$AX$16</f>
        <v>0</v>
      </c>
      <c r="AQ98" s="28" t="str">
        <f>IF(AF98=0,"","+")</f>
        <v/>
      </c>
      <c r="AR98" s="6">
        <f>PI()/4*AF98^2*$O$12/$AX$16</f>
        <v>0</v>
      </c>
      <c r="AS98" s="28" t="str">
        <f>IF(AI98=0,"","+")</f>
        <v/>
      </c>
      <c r="AT98" s="6">
        <f>PI()/4*AI98^2*$O$12/$AX$16</f>
        <v>0</v>
      </c>
      <c r="AU98" s="28" t="s">
        <v>24</v>
      </c>
      <c r="AV98" s="15">
        <f>VALUE(AJ98)+VALUE(AL98)+VALUE(AN98)+VALUE(AP98)+VALUE(AR98)+VALUE(AT98)</f>
        <v>10471.975511965977</v>
      </c>
      <c r="AW98" s="228">
        <f>MAX(0.3*$AJ$14^(2/3)/$AJ$16*0.26*100,0.13)</f>
        <v>0.15723814702688016</v>
      </c>
      <c r="AX98" s="6">
        <f>AW98/100*$O$12*BK98</f>
        <v>1385.2680753068144</v>
      </c>
      <c r="AY98" s="6"/>
      <c r="AZ98" s="6"/>
      <c r="BA98" s="24" t="str">
        <f>IF(BB98=0,"","+")</f>
        <v/>
      </c>
      <c r="BB98" s="24"/>
      <c r="BC98" s="28" t="s">
        <v>24</v>
      </c>
      <c r="BD98" s="15">
        <f>AX98+AZ98+BB98</f>
        <v>1385.2680753068144</v>
      </c>
      <c r="BE98" s="2">
        <f>(R98-($AX$14+$O$16+T98/2))</f>
        <v>897</v>
      </c>
      <c r="BF98" s="3">
        <f>IF(W98=0,0,(R98-($AX$14+T98/2+$O$16+$BI$16)))</f>
        <v>817</v>
      </c>
      <c r="BG98" s="3">
        <f>IF(Z98=0,0,(R98-($AX$14+T98/2+$BI$16+$O$16+$BI$17)))</f>
        <v>0</v>
      </c>
      <c r="BH98" s="3">
        <f>IF(AC98=0,0,(R98-($AX$14+T98/2+$O$16+$BI$16+$BI$17+$BI$18)))</f>
        <v>0</v>
      </c>
      <c r="BI98" s="3">
        <f>IF(AF98=0,0,(R98-($AX$14+T98/2+$O$16+$BI$16+$BI$17+$BI$18+$BL$16)))</f>
        <v>0</v>
      </c>
      <c r="BJ98" s="3">
        <f>IF(AI98=0,0,(R98-($AX$14+T98/2+$O$16+$BI$16+$BI$17+$BI$18+$BL$16+$BL$17)))</f>
        <v>0</v>
      </c>
      <c r="BK98" s="6">
        <f>(BE98*AJ98+BF98*AL98+BG98*AN98+BH98*AP98+BI98*AR98+BJ98*AT98)/AV98</f>
        <v>881</v>
      </c>
      <c r="BL98" s="175">
        <f>ABS(N98)*1000000/$O$12/BK98^2</f>
        <v>2.7429876017991113</v>
      </c>
      <c r="BM98" s="175">
        <f>BL98/$AJ$14</f>
        <v>8.5718362556222227E-2</v>
      </c>
      <c r="BN98" s="21">
        <f>IF(BM98&lt;0.167,0.5+SQRT(0.25-(BM98/1.134)),0.82)</f>
        <v>0.91762496935622329</v>
      </c>
      <c r="BO98" s="15">
        <f>ABS(N98)/(0.87*$AJ$16*BN98*BK98)*10^6</f>
        <v>6054.0398245361093</v>
      </c>
      <c r="BP98" s="22">
        <v>500</v>
      </c>
      <c r="BQ98" s="175">
        <f>IF(Q98=0,2*ABS(P98*10^6)/$O$12/BP98/(BK98-BP98/3),Q98*BP98*1000/($O$12/2*BP98^2-(BE98-BP98)*AJ98*$AJ$18-(BF98-BP98)*AL98*$AJ$18-(BG98-BP98)*AN98*$AJ$18-(BH98-BP98)*AP98*$AJ$18-(BI98-BP98)*AR98*$AJ$18-(BJ98-BP98)*AT98*$AJ$18))</f>
        <v>8.1922538497433504</v>
      </c>
      <c r="BR98" s="3">
        <f>0.5*$O$12*BP98*BQ98 /1000</f>
        <v>2048.0634624358377</v>
      </c>
      <c r="BS98" s="3">
        <f>($BQ98/$BP98)*(BE98-$BP98)*$AJ$18*AJ98/1000</f>
        <v>882.46114042456713</v>
      </c>
      <c r="BT98" s="3">
        <f>($BQ98/$BP98)*(BF98-$BP98)*$AJ$18*AL98/1000</f>
        <v>176.158804480219</v>
      </c>
      <c r="BU98" s="3">
        <f>($BQ98/$BP98)*(BG98-$BP98)*$AJ$18*AN98/1000</f>
        <v>0</v>
      </c>
      <c r="BV98" s="3">
        <f>($BQ98/$BP98)*(BH98-$BP98)*$AJ$18*AP98/1000</f>
        <v>0</v>
      </c>
      <c r="BW98" s="3">
        <f>($BQ98/$BP98)*(BI98-$BP98)*$AJ$18*AR98/1000</f>
        <v>0</v>
      </c>
      <c r="BX98" s="3">
        <f>($BQ98/$BP98)*(BJ98-$BP98)*$AJ$18*AT98/1000</f>
        <v>0</v>
      </c>
      <c r="BY98" s="175">
        <f>IF(Q98=0,0,(0.5*$O$12*BP98*BQ98/1000*(R98/2-$BP98/3)+BS98*(BE98-R98/2)+BT98*(BF98-R98/2)+BU98*(BG98-R98/2)+BV98*(BH98-R98/2)+BW98*(BI98-R98/2)+BX98*(BJ98-R98/2))/1000-ABS(P98))</f>
        <v>0</v>
      </c>
      <c r="BZ98" s="10"/>
      <c r="CA98" s="176">
        <f>ABS(P98)/(BK98-BP98/3)/AV98*10^6-Q98*(R98/2-BP98/3)/(BK98-BP98/3)/AV98*1000</f>
        <v>195.57565428753955</v>
      </c>
      <c r="CB98" s="177">
        <f>(AV98/($O$12*MIN(2.5*(R98-BK98),(R98-BP98)/3,R98/2)-AV98))</f>
        <v>6.7044375417306387E-2</v>
      </c>
      <c r="CC98" s="177">
        <f>3.4*($O$16+$AX$14)+0.425*0.8*0.5*(T98^2+W98^2+Z98^2+AC98^2+AF98^2+AI98^2)/(T98+W98+Z98+AC98+AF98+AI98)/CB98</f>
        <v>366.72113441874069</v>
      </c>
      <c r="CD98" s="177">
        <f>MAX(0.6*CA98/$AJ$17,(CA98-0.4*0.3*$AJ$14^(2/3)/CB98*(1+$AJ$17/$AJ$15*CB98))/$AJ$17)</f>
        <v>0.78974007665705548</v>
      </c>
      <c r="CE98" s="178">
        <f>CC98*CD98/1000</f>
        <v>0.28961437680761859</v>
      </c>
      <c r="CF98" s="23" t="str">
        <f>IF(AND(AV98&gt;=BD98,AV98&gt;=BO98,CE98&lt;=(+IF(CO98="External",0.25,0.3))),"O.K", "Not O.K")</f>
        <v>O.K</v>
      </c>
      <c r="CG98" s="28"/>
      <c r="CH98" s="179" t="str">
        <f>IF(O98&lt;0.2*$AJ$14*R98*$O$12/1000,"N &lt; 0.2fckAc - OK!","TBA")</f>
        <v>N &lt; 0.2fckAc - OK!</v>
      </c>
      <c r="CI98" s="24"/>
      <c r="CJ98" s="25"/>
      <c r="CK98" s="6">
        <f t="shared" si="80"/>
        <v>112</v>
      </c>
      <c r="CL98" s="8" t="s">
        <v>72</v>
      </c>
      <c r="CM98" s="6">
        <f t="shared" si="81"/>
        <v>212</v>
      </c>
      <c r="CN98" s="26" t="s">
        <v>146</v>
      </c>
      <c r="CO98" s="27" t="s">
        <v>106</v>
      </c>
      <c r="CP98" s="2">
        <v>2129</v>
      </c>
      <c r="CQ98" s="15">
        <v>0</v>
      </c>
      <c r="CR98" s="3">
        <v>1463</v>
      </c>
      <c r="CS98" s="15">
        <v>0</v>
      </c>
      <c r="CT98" s="20">
        <v>1000</v>
      </c>
      <c r="CU98" s="2">
        <v>112</v>
      </c>
      <c r="CV98" s="15">
        <v>212</v>
      </c>
      <c r="CW98" s="6"/>
      <c r="CX98" s="278"/>
      <c r="CY98" s="6"/>
      <c r="CZ98" s="6"/>
      <c r="DA98" s="6"/>
      <c r="DB98" s="6"/>
      <c r="DC98" s="6"/>
      <c r="DD98" s="6"/>
      <c r="DE98" s="6"/>
      <c r="DF98" s="6"/>
      <c r="DG98" s="6"/>
      <c r="DH98" s="6"/>
      <c r="DI98" s="6"/>
      <c r="DJ98" s="212"/>
      <c r="DK98" s="13"/>
      <c r="DL98" s="13"/>
      <c r="DM98" s="202"/>
      <c r="DN98" s="206">
        <f>IF(CO98="external",T98,0)</f>
        <v>0</v>
      </c>
      <c r="DO98" s="206">
        <f>IF(CO98="external",W98,0)</f>
        <v>0</v>
      </c>
      <c r="DP98" s="206">
        <f>IF(CO98="external",Z98,0)</f>
        <v>0</v>
      </c>
      <c r="DQ98" s="206">
        <f>IF(CO98="external",AC98,0)</f>
        <v>0</v>
      </c>
      <c r="DR98" s="206">
        <f>IF(CO98="external",AF98,0)</f>
        <v>0</v>
      </c>
      <c r="DS98" s="207">
        <f>IF(CO98="external",AI98,0)</f>
        <v>0</v>
      </c>
      <c r="DT98" s="208"/>
      <c r="DU98" s="207">
        <f>IF(CO98="internal",T98,0)</f>
        <v>40</v>
      </c>
      <c r="DV98" s="207">
        <f>IF(CO98="internal",W98,0)</f>
        <v>20</v>
      </c>
      <c r="DW98" s="207">
        <f>IF(CO98="internal",Z98,0)</f>
        <v>0</v>
      </c>
      <c r="DX98" s="207">
        <f>IF(CO98="internal",AC98,0)</f>
        <v>0</v>
      </c>
      <c r="DY98" s="207">
        <f>IF(CO98="internal",AF98,0)</f>
        <v>0</v>
      </c>
      <c r="DZ98" s="207">
        <f>IF(CO98="internal",AI98,0)</f>
        <v>0</v>
      </c>
    </row>
    <row r="99" spans="1:130" s="7" customFormat="1" x14ac:dyDescent="0.3">
      <c r="B99" s="19"/>
      <c r="C99" s="6"/>
      <c r="D99" s="6"/>
      <c r="E99" s="6"/>
      <c r="F99" s="6"/>
      <c r="G99" s="232"/>
      <c r="H99" s="6"/>
      <c r="I99" s="24"/>
      <c r="J99" s="6"/>
      <c r="K99" s="6"/>
      <c r="L99" s="6"/>
      <c r="M99" s="6"/>
      <c r="N99" s="6"/>
      <c r="O99" s="6"/>
      <c r="P99" s="24"/>
      <c r="Q99" s="6"/>
      <c r="R99" s="6">
        <f t="shared" si="79"/>
        <v>0</v>
      </c>
      <c r="S99" s="28"/>
      <c r="T99" s="12"/>
      <c r="U99" s="28"/>
      <c r="V99" s="28"/>
      <c r="W99" s="12"/>
      <c r="X99" s="28"/>
      <c r="Y99" s="28"/>
      <c r="Z99" s="12"/>
      <c r="AA99" s="28"/>
      <c r="AB99" s="28"/>
      <c r="AC99" s="158"/>
      <c r="AD99" s="28"/>
      <c r="AE99" s="28"/>
      <c r="AF99" s="158"/>
      <c r="AG99" s="28"/>
      <c r="AH99" s="28"/>
      <c r="AI99" s="12"/>
      <c r="AJ99" s="6"/>
      <c r="AK99" s="28"/>
      <c r="AL99" s="6"/>
      <c r="AM99" s="28"/>
      <c r="AN99" s="6"/>
      <c r="AO99" s="28"/>
      <c r="AP99" s="6"/>
      <c r="AQ99" s="28"/>
      <c r="AR99" s="6"/>
      <c r="AS99" s="28"/>
      <c r="AT99" s="6"/>
      <c r="AU99" s="28"/>
      <c r="AV99" s="6"/>
      <c r="AW99" s="233"/>
      <c r="AX99" s="6"/>
      <c r="AY99" s="6"/>
      <c r="AZ99" s="6"/>
      <c r="BA99" s="24"/>
      <c r="BB99" s="24"/>
      <c r="BC99" s="28"/>
      <c r="BD99" s="6"/>
      <c r="BE99" s="6"/>
      <c r="BF99" s="6"/>
      <c r="BG99" s="6"/>
      <c r="BH99" s="6"/>
      <c r="BI99" s="6"/>
      <c r="BJ99" s="6"/>
      <c r="BK99" s="6"/>
      <c r="BL99" s="231"/>
      <c r="BM99" s="231"/>
      <c r="BN99" s="231"/>
      <c r="BO99" s="6"/>
      <c r="BP99" s="234"/>
      <c r="BQ99" s="231"/>
      <c r="BR99" s="6"/>
      <c r="BS99" s="6"/>
      <c r="BT99" s="6"/>
      <c r="BU99" s="6"/>
      <c r="BV99" s="6"/>
      <c r="BW99" s="6"/>
      <c r="BX99" s="6"/>
      <c r="BY99" s="231"/>
      <c r="BZ99" s="6"/>
      <c r="CA99" s="234"/>
      <c r="CB99" s="235"/>
      <c r="CC99" s="235"/>
      <c r="CD99" s="235"/>
      <c r="CE99" s="235"/>
      <c r="CF99" s="28"/>
      <c r="CG99" s="28"/>
      <c r="CH99" s="173"/>
      <c r="CI99" s="24"/>
      <c r="CJ99" s="25"/>
      <c r="CK99" s="6">
        <f t="shared" si="80"/>
        <v>0</v>
      </c>
      <c r="CL99" s="8" t="s">
        <v>72</v>
      </c>
      <c r="CM99" s="6">
        <f t="shared" si="81"/>
        <v>0</v>
      </c>
      <c r="CN99" s="236"/>
      <c r="CO99" s="24"/>
      <c r="CP99" s="6"/>
      <c r="CQ99" s="6"/>
      <c r="CR99" s="6"/>
      <c r="CS99" s="6"/>
      <c r="CT99" s="6"/>
      <c r="CU99" s="6"/>
      <c r="CV99" s="6"/>
      <c r="CW99" s="6"/>
      <c r="CX99" s="278"/>
      <c r="CY99" s="6"/>
      <c r="CZ99" s="6"/>
      <c r="DA99" s="6"/>
      <c r="DB99" s="6"/>
      <c r="DC99" s="6"/>
      <c r="DD99" s="6"/>
      <c r="DE99" s="6"/>
      <c r="DF99" s="6"/>
      <c r="DG99" s="6"/>
      <c r="DH99" s="6"/>
      <c r="DI99" s="6"/>
      <c r="DJ99" s="212"/>
      <c r="DK99" s="13"/>
      <c r="DL99" s="13"/>
      <c r="DM99" s="202"/>
      <c r="DN99" s="206"/>
      <c r="DO99" s="206"/>
      <c r="DP99" s="206"/>
      <c r="DQ99" s="206"/>
      <c r="DR99" s="206"/>
      <c r="DS99" s="207"/>
      <c r="DT99" s="208"/>
      <c r="DU99" s="207"/>
      <c r="DV99" s="207"/>
      <c r="DW99" s="207"/>
      <c r="DX99" s="207"/>
      <c r="DY99" s="207"/>
      <c r="DZ99" s="207"/>
    </row>
    <row r="100" spans="1:130" s="7" customFormat="1" ht="13.8" x14ac:dyDescent="0.25">
      <c r="A100" s="7" t="s">
        <v>141</v>
      </c>
      <c r="B100" s="19">
        <f>+CI100</f>
        <v>63</v>
      </c>
      <c r="C100" s="6">
        <f t="shared" ref="C100:E103" si="87">CJ100</f>
        <v>0</v>
      </c>
      <c r="D100" s="6">
        <f t="shared" si="87"/>
        <v>103</v>
      </c>
      <c r="E100" s="6" t="str">
        <f t="shared" si="87"/>
        <v>--</v>
      </c>
      <c r="F100" s="6">
        <f>+CM100</f>
        <v>203</v>
      </c>
      <c r="G100" s="174" t="str">
        <f t="shared" ref="G100:H103" si="88">CN100</f>
        <v>Max Mz</v>
      </c>
      <c r="H100" s="6" t="str">
        <f t="shared" si="88"/>
        <v>Internal</v>
      </c>
      <c r="I100" s="156"/>
      <c r="J100" s="10">
        <f t="shared" ref="J100:M103" si="89">(CP100)</f>
        <v>848</v>
      </c>
      <c r="K100" s="10">
        <f t="shared" si="89"/>
        <v>9</v>
      </c>
      <c r="L100" s="10">
        <f t="shared" si="89"/>
        <v>618</v>
      </c>
      <c r="M100" s="10">
        <f t="shared" si="89"/>
        <v>6</v>
      </c>
      <c r="N100" s="10">
        <f>IF(I100*J100&gt;=0,J100*$J$19+I100*$J$18,J100)</f>
        <v>848</v>
      </c>
      <c r="O100" s="10">
        <f>(K100)*$J$19</f>
        <v>9</v>
      </c>
      <c r="P100" s="14">
        <f>IF(I100*L100&gt;=0,(L100)+I100,L100)</f>
        <v>618</v>
      </c>
      <c r="Q100" s="3">
        <f>(M100)</f>
        <v>6</v>
      </c>
      <c r="R100" s="20">
        <f t="shared" si="79"/>
        <v>1000</v>
      </c>
      <c r="S100" s="23"/>
      <c r="T100" s="12">
        <v>32</v>
      </c>
      <c r="U100" s="28"/>
      <c r="V100" s="28"/>
      <c r="W100" s="12"/>
      <c r="X100" s="28"/>
      <c r="Y100" s="28"/>
      <c r="Z100" s="12"/>
      <c r="AA100" s="28"/>
      <c r="AB100" s="28"/>
      <c r="AC100" s="158"/>
      <c r="AD100" s="28"/>
      <c r="AE100" s="28"/>
      <c r="AF100" s="158"/>
      <c r="AG100" s="28"/>
      <c r="AH100" s="28"/>
      <c r="AI100" s="29"/>
      <c r="AJ100" s="6">
        <f>PI()/4*T100^2*$O$12/$AX$16</f>
        <v>5361.6514621265796</v>
      </c>
      <c r="AK100" s="28" t="str">
        <f>IF(W100=0,"","+")</f>
        <v/>
      </c>
      <c r="AL100" s="6">
        <f>PI()/4*W100^2*$O$12/$AX$16</f>
        <v>0</v>
      </c>
      <c r="AM100" s="28" t="str">
        <f>IF(Z100=0,"","+")</f>
        <v/>
      </c>
      <c r="AN100" s="6">
        <f>PI()/4*Z100^2*$O$12/$AX$16</f>
        <v>0</v>
      </c>
      <c r="AO100" s="28" t="str">
        <f>IF(AC100=0,"","+")</f>
        <v/>
      </c>
      <c r="AP100" s="6">
        <f>PI()/4*AC100^2*$O$12/$AX$16</f>
        <v>0</v>
      </c>
      <c r="AQ100" s="28" t="str">
        <f>IF(AF100=0,"","+")</f>
        <v/>
      </c>
      <c r="AR100" s="6">
        <f>PI()/4*AF100^2*$O$12/$AX$16</f>
        <v>0</v>
      </c>
      <c r="AS100" s="28" t="str">
        <f>IF(AI100=0,"","+")</f>
        <v/>
      </c>
      <c r="AT100" s="6">
        <f>PI()/4*AI100^2*$O$12/$AX$16</f>
        <v>0</v>
      </c>
      <c r="AU100" s="28" t="s">
        <v>24</v>
      </c>
      <c r="AV100" s="15">
        <f>VALUE(AJ100)+VALUE(AL100)+VALUE(AN100)+VALUE(AP100)+VALUE(AR100)+VALUE(AT100)</f>
        <v>5361.6514621265796</v>
      </c>
      <c r="AW100" s="228">
        <f>MAX(0.3*$AJ$14^(2/3)/$AJ$16*0.26*100,0.13)</f>
        <v>0.15723814702688016</v>
      </c>
      <c r="AX100" s="6">
        <f>AW100/100*$O$12*BK100</f>
        <v>1416.7157047121905</v>
      </c>
      <c r="AY100" s="6"/>
      <c r="AZ100" s="6"/>
      <c r="BA100" s="24" t="str">
        <f>IF(BB100=0,"","+")</f>
        <v/>
      </c>
      <c r="BB100" s="24"/>
      <c r="BC100" s="28" t="s">
        <v>24</v>
      </c>
      <c r="BD100" s="15">
        <f>AX100+AZ100+BB100</f>
        <v>1416.7157047121905</v>
      </c>
      <c r="BE100" s="2">
        <f>(R100-($AX$14+$O$16+T100/2))</f>
        <v>901</v>
      </c>
      <c r="BF100" s="3">
        <f>IF(W100=0,0,(R100-($AX$14+T100/2+$O$16+$BI$16)))</f>
        <v>0</v>
      </c>
      <c r="BG100" s="3">
        <f>IF(Z100=0,0,(R100-($AX$14+T100/2+$BI$16+$O$16+$BI$17)))</f>
        <v>0</v>
      </c>
      <c r="BH100" s="3">
        <f>IF(AC100=0,0,(R100-($AX$14+T100/2+$O$16+$BI$16+$BI$17+$BI$18)))</f>
        <v>0</v>
      </c>
      <c r="BI100" s="3">
        <f>IF(AF100=0,0,(R100-($AX$14+T100/2+$O$16+$BI$16+$BI$17+$BI$18+$BL$16)))</f>
        <v>0</v>
      </c>
      <c r="BJ100" s="3">
        <f>IF(AI100=0,0,(R100-($AX$14+T100/2+$O$16+$BI$16+$BI$17+$BI$18+$BL$16+$BL$17)))</f>
        <v>0</v>
      </c>
      <c r="BK100" s="6">
        <f>(BE100*AJ100+BF100*AL100+BG100*AN100+BH100*AP100+BI100*AR100+BJ100*AT100)/AV100</f>
        <v>901.00000000000011</v>
      </c>
      <c r="BL100" s="175">
        <f>ABS(N100)*1000000/$O$12/BK100^2</f>
        <v>1.0445909773454329</v>
      </c>
      <c r="BM100" s="175">
        <f>BL100/$AJ$14</f>
        <v>3.2643468042044779E-2</v>
      </c>
      <c r="BN100" s="21">
        <f>IF(BM100&lt;0.167,0.5+SQRT(0.25-(BM100/1.134)),0.82)</f>
        <v>0.97033378889762589</v>
      </c>
      <c r="BO100" s="15">
        <f>ABS(N100)/(0.87*$AJ$16*BN100*BK100)*10^6</f>
        <v>2229.7729864440012</v>
      </c>
      <c r="BP100" s="22">
        <v>319.10773393006667</v>
      </c>
      <c r="BQ100" s="175">
        <f>IF(Q100=0,2*ABS(P100*10^6)/$O$12/BP100/(BK100-BP100/3),Q100*BP100*1000/($O$12/2*BP100^2-(BE100-BP100)*AJ100*$AJ$18-(BF100-BP100)*AL100*$AJ$18-(BG100-BP100)*AN100*$AJ$18-(BH100-BP100)*AP100*$AJ$18-(BI100-BP100)*AR100*$AJ$18-(BJ100-BP100)*AT100*$AJ$18))</f>
        <v>4.8933162680507065</v>
      </c>
      <c r="BR100" s="3">
        <f>0.5*$O$12*BP100*BQ100 /1000</f>
        <v>780.74753285039594</v>
      </c>
      <c r="BS100" s="3">
        <f>($BQ100/$BP100)*(BE100-$BP100)*$AJ$18*AJ100/1000</f>
        <v>774.74753285039583</v>
      </c>
      <c r="BT100" s="3">
        <f>($BQ100/$BP100)*(BF100-$BP100)*$AJ$18*AL100/1000</f>
        <v>0</v>
      </c>
      <c r="BU100" s="3">
        <f>($BQ100/$BP100)*(BG100-$BP100)*$AJ$18*AN100/1000</f>
        <v>0</v>
      </c>
      <c r="BV100" s="3">
        <f>($BQ100/$BP100)*(BH100-$BP100)*$AJ$18*AP100/1000</f>
        <v>0</v>
      </c>
      <c r="BW100" s="3">
        <f>($BQ100/$BP100)*(BI100-$BP100)*$AJ$18*AR100/1000</f>
        <v>0</v>
      </c>
      <c r="BX100" s="3">
        <f>($BQ100/$BP100)*(BJ100-$BP100)*$AJ$18*AT100/1000</f>
        <v>0</v>
      </c>
      <c r="BY100" s="175">
        <f>IF(Q100=0,0,(0.5*$O$12*BP100*BQ100/1000*(R100/2-$BP100/3)+BS100*(BE100-R100/2)+BT100*(BF100-R100/2)+BU100*(BG100-R100/2)+BV100*(BH100-R100/2)+BW100*(BI100-R100/2)+BX100*(BJ100-R100/2))/1000-ABS(P100))</f>
        <v>1.7717467244438012E-6</v>
      </c>
      <c r="BZ100" s="10"/>
      <c r="CA100" s="176">
        <f>ABS(P100)/(BK100-BP100/3)/AV100*10^6-Q100*(R100/2-BP100/3)/(BK100-BP100/3)/AV100*1000</f>
        <v>144.4979286873417</v>
      </c>
      <c r="CB100" s="177">
        <f>(AV100/($O$12*MIN(2.5*(R100-BK100),(R100-BP100)/3,R100/2)-AV100))</f>
        <v>2.4194911974789065E-2</v>
      </c>
      <c r="CC100" s="177">
        <f>3.4*($O$16+$AX$14)+0.425*0.8*0.5*(T100^2+W100^2+Z100^2+AC100^2+AF100^2+AI100^2)/(T100+W100+Z100+AC100+AF100+AI100)/CB100</f>
        <v>507.04066094840289</v>
      </c>
      <c r="CD100" s="177">
        <f>MAX(0.6*CA100/$AJ$17,(CA100-0.4*0.3*$AJ$14^(2/3)/CB100*(1+$AJ$17/$AJ$15*CB100))/$AJ$17)</f>
        <v>0.43349378606202504</v>
      </c>
      <c r="CE100" s="178">
        <f>CC100*CD100/1000</f>
        <v>0.21979897580191474</v>
      </c>
      <c r="CF100" s="23" t="str">
        <f>IF(AND(AV100&gt;=BD100,AV100&gt;=BO100,CE100&lt;=(+IF(CO100="External",0.25,0.3))),"O.K", "Not O.K")</f>
        <v>O.K</v>
      </c>
      <c r="CG100" s="28"/>
      <c r="CH100" s="179" t="str">
        <f>IF(O100&lt;0.2*$AJ$14*R100*$O$12/1000,"N &lt; 0.2fckAc - OK!","TBA")</f>
        <v>N &lt; 0.2fckAc - OK!</v>
      </c>
      <c r="CI100" s="24">
        <v>63</v>
      </c>
      <c r="CJ100" s="25"/>
      <c r="CK100" s="6">
        <f t="shared" si="80"/>
        <v>103</v>
      </c>
      <c r="CL100" s="8" t="s">
        <v>72</v>
      </c>
      <c r="CM100" s="6">
        <f t="shared" si="81"/>
        <v>203</v>
      </c>
      <c r="CN100" s="26" t="s">
        <v>147</v>
      </c>
      <c r="CO100" s="27" t="s">
        <v>106</v>
      </c>
      <c r="CP100" s="2">
        <v>848</v>
      </c>
      <c r="CQ100" s="15">
        <v>9</v>
      </c>
      <c r="CR100" s="3">
        <v>618</v>
      </c>
      <c r="CS100" s="15">
        <v>6</v>
      </c>
      <c r="CT100" s="20">
        <v>1000</v>
      </c>
      <c r="CU100" s="2">
        <v>103</v>
      </c>
      <c r="CV100" s="15">
        <v>203</v>
      </c>
      <c r="CW100" s="6"/>
      <c r="CX100" s="278">
        <f>CI100</f>
        <v>63</v>
      </c>
      <c r="CY100" s="6">
        <f t="shared" ref="CY100:DD100" si="90">MAX(DN100:DN103)</f>
        <v>40</v>
      </c>
      <c r="CZ100" s="6">
        <f t="shared" si="90"/>
        <v>13</v>
      </c>
      <c r="DA100" s="6">
        <f t="shared" si="90"/>
        <v>0</v>
      </c>
      <c r="DB100" s="6">
        <f t="shared" si="90"/>
        <v>0</v>
      </c>
      <c r="DC100" s="6">
        <f t="shared" si="90"/>
        <v>0</v>
      </c>
      <c r="DD100" s="6">
        <f t="shared" si="90"/>
        <v>0</v>
      </c>
      <c r="DE100" s="6"/>
      <c r="DF100" s="6">
        <f t="shared" ref="DF100:DK100" si="91">MAX(DU100:DU103)</f>
        <v>32</v>
      </c>
      <c r="DG100" s="6">
        <f t="shared" si="91"/>
        <v>0</v>
      </c>
      <c r="DH100" s="6">
        <f t="shared" si="91"/>
        <v>0</v>
      </c>
      <c r="DI100" s="6">
        <f t="shared" si="91"/>
        <v>0</v>
      </c>
      <c r="DJ100" s="6">
        <f t="shared" si="91"/>
        <v>0</v>
      </c>
      <c r="DK100" s="6">
        <f t="shared" si="91"/>
        <v>0</v>
      </c>
      <c r="DL100" s="13"/>
      <c r="DM100" s="202">
        <f>CI100</f>
        <v>63</v>
      </c>
      <c r="DN100" s="206">
        <f>IF(CO100="external",T100,0)</f>
        <v>0</v>
      </c>
      <c r="DO100" s="206">
        <f>IF(CO100="external",W100,0)</f>
        <v>0</v>
      </c>
      <c r="DP100" s="206">
        <f>IF(CO100="external",Z100,0)</f>
        <v>0</v>
      </c>
      <c r="DQ100" s="206">
        <f>IF(CO100="external",AC100,0)</f>
        <v>0</v>
      </c>
      <c r="DR100" s="206">
        <f>IF(CO100="external",AF100,0)</f>
        <v>0</v>
      </c>
      <c r="DS100" s="207">
        <f>IF(CO100="external",AI100,0)</f>
        <v>0</v>
      </c>
      <c r="DT100" s="208"/>
      <c r="DU100" s="207">
        <f>IF(CO100="internal",T100,0)</f>
        <v>32</v>
      </c>
      <c r="DV100" s="207">
        <f>IF(CO100="internal",W100,0)</f>
        <v>0</v>
      </c>
      <c r="DW100" s="207">
        <f>IF(CO100="internal",Z100,0)</f>
        <v>0</v>
      </c>
      <c r="DX100" s="207">
        <f>IF(CO100="internal",AC100,0)</f>
        <v>0</v>
      </c>
      <c r="DY100" s="207">
        <f>IF(CO100="internal",AF100,0)</f>
        <v>0</v>
      </c>
      <c r="DZ100" s="207">
        <f>IF(CO100="internal",AI100,0)</f>
        <v>0</v>
      </c>
    </row>
    <row r="101" spans="1:130" s="7" customFormat="1" x14ac:dyDescent="0.3">
      <c r="B101" s="19">
        <f>+CI101</f>
        <v>0</v>
      </c>
      <c r="C101" s="6">
        <f t="shared" si="87"/>
        <v>0</v>
      </c>
      <c r="D101" s="6">
        <f t="shared" si="87"/>
        <v>103</v>
      </c>
      <c r="E101" s="6" t="str">
        <f t="shared" si="87"/>
        <v>--</v>
      </c>
      <c r="F101" s="6">
        <f>+CM101</f>
        <v>203</v>
      </c>
      <c r="G101" s="174" t="str">
        <f t="shared" si="88"/>
        <v>Min Mz</v>
      </c>
      <c r="H101" s="6" t="str">
        <f t="shared" si="88"/>
        <v>External</v>
      </c>
      <c r="I101" s="156"/>
      <c r="J101" s="10">
        <f t="shared" si="89"/>
        <v>-1533</v>
      </c>
      <c r="K101" s="10">
        <f t="shared" si="89"/>
        <v>9</v>
      </c>
      <c r="L101" s="10">
        <f t="shared" si="89"/>
        <v>-1112</v>
      </c>
      <c r="M101" s="10">
        <f t="shared" si="89"/>
        <v>6</v>
      </c>
      <c r="N101" s="10">
        <f>IF(I101*J101&gt;=0,J101*$J$19+I101*$J$18,J101)</f>
        <v>-1533</v>
      </c>
      <c r="O101" s="10">
        <f>(K101)*$J$19</f>
        <v>9</v>
      </c>
      <c r="P101" s="14">
        <f>IF(I101*L101&gt;=0,(L101)+I101,L101)</f>
        <v>-1112</v>
      </c>
      <c r="Q101" s="3">
        <f>(M101)</f>
        <v>6</v>
      </c>
      <c r="R101" s="20">
        <f t="shared" si="79"/>
        <v>1000</v>
      </c>
      <c r="S101" s="23"/>
      <c r="T101" s="12">
        <v>40</v>
      </c>
      <c r="U101" s="28"/>
      <c r="V101" s="28"/>
      <c r="W101" s="12">
        <v>13</v>
      </c>
      <c r="X101" s="28"/>
      <c r="Y101" s="28"/>
      <c r="Z101" s="12"/>
      <c r="AA101" s="28"/>
      <c r="AB101" s="28"/>
      <c r="AC101" s="158"/>
      <c r="AD101" s="28"/>
      <c r="AE101" s="28"/>
      <c r="AF101" s="158"/>
      <c r="AG101" s="28"/>
      <c r="AH101" s="28"/>
      <c r="AI101" s="29"/>
      <c r="AJ101" s="6">
        <f>PI()/4*T101^2*$O$12/$AX$16</f>
        <v>8377.5804095727817</v>
      </c>
      <c r="AK101" s="28" t="str">
        <f>IF(W101=0,"","+")</f>
        <v>+</v>
      </c>
      <c r="AL101" s="6">
        <f>PI()/4*W101^2*$O$12/$AX$16</f>
        <v>884.88193076112498</v>
      </c>
      <c r="AM101" s="28" t="str">
        <f>IF(Z101=0,"","+")</f>
        <v/>
      </c>
      <c r="AN101" s="6">
        <f>PI()/4*Z101^2*$O$12/$AX$16</f>
        <v>0</v>
      </c>
      <c r="AO101" s="28" t="str">
        <f>IF(AC101=0,"","+")</f>
        <v/>
      </c>
      <c r="AP101" s="6">
        <f>PI()/4*AC101^2*$O$12/$AX$16</f>
        <v>0</v>
      </c>
      <c r="AQ101" s="28" t="str">
        <f>IF(AF101=0,"","+")</f>
        <v/>
      </c>
      <c r="AR101" s="6">
        <f>PI()/4*AF101^2*$O$12/$AX$16</f>
        <v>0</v>
      </c>
      <c r="AS101" s="28" t="str">
        <f>IF(AI101=0,"","+")</f>
        <v/>
      </c>
      <c r="AT101" s="6">
        <f>PI()/4*AI101^2*$O$12/$AX$16</f>
        <v>0</v>
      </c>
      <c r="AU101" s="28" t="s">
        <v>24</v>
      </c>
      <c r="AV101" s="15">
        <f>VALUE(AJ101)+VALUE(AL101)+VALUE(AN101)+VALUE(AP101)+VALUE(AR101)+VALUE(AT101)</f>
        <v>9262.4623403339065</v>
      </c>
      <c r="AW101" s="228">
        <f>MAX(0.3*$AJ$14^(2/3)/$AJ$16*0.26*100,0.13)</f>
        <v>0.15723814702688016</v>
      </c>
      <c r="AX101" s="6">
        <f>AW101/100*$O$12*BK101</f>
        <v>1398.4088823483371</v>
      </c>
      <c r="AY101" s="6"/>
      <c r="AZ101" s="6"/>
      <c r="BA101" s="24" t="str">
        <f>IF(BB101=0,"","+")</f>
        <v/>
      </c>
      <c r="BB101" s="24"/>
      <c r="BC101" s="28" t="s">
        <v>24</v>
      </c>
      <c r="BD101" s="15">
        <f>AX101+AZ101+BB101</f>
        <v>1398.4088823483371</v>
      </c>
      <c r="BE101" s="2">
        <f>(R101-($AX$14+$O$16+T101/2))</f>
        <v>897</v>
      </c>
      <c r="BF101" s="3">
        <f>IF(W101=0,0,(R101-($AX$14+T101/2+$O$16+$BI$16)))</f>
        <v>817</v>
      </c>
      <c r="BG101" s="3">
        <f>IF(Z101=0,0,(R101-($AX$14+T101/2+$BI$16+$O$16+$BI$17)))</f>
        <v>0</v>
      </c>
      <c r="BH101" s="3">
        <f>IF(AC101=0,0,(R101-($AX$14+T101/2+$O$16+$BI$16+$BI$17+$BI$18)))</f>
        <v>0</v>
      </c>
      <c r="BI101" s="3">
        <f>IF(AF101=0,0,(R101-($AX$14+T101/2+$O$16+$BI$16+$BI$17+$BI$18+$BL$16)))</f>
        <v>0</v>
      </c>
      <c r="BJ101" s="3">
        <f>IF(AI101=0,0,(R101-($AX$14+T101/2+$O$16+$BI$16+$BI$17+$BI$18+$BL$16+$BL$17)))</f>
        <v>0</v>
      </c>
      <c r="BK101" s="6">
        <f>(BE101*AJ101+BF101*AL101+BG101*AN101+BH101*AP101+BI101*AR101+BJ101*AT101)/AV101</f>
        <v>889.35726399095529</v>
      </c>
      <c r="BL101" s="175">
        <f>ABS(N101)*1000000/$O$12/BK101^2</f>
        <v>1.9381600685562463</v>
      </c>
      <c r="BM101" s="175">
        <f>BL101/$AJ$14</f>
        <v>6.0567502142382698E-2</v>
      </c>
      <c r="BN101" s="21">
        <f>IF(BM101&lt;0.167,0.5+SQRT(0.25-(BM101/1.134)),0.82)</f>
        <v>0.94338414978843477</v>
      </c>
      <c r="BO101" s="15">
        <f>ABS(N101)/(0.87*$AJ$16*BN101*BK101)*10^6</f>
        <v>4200.3750110748297</v>
      </c>
      <c r="BP101" s="22">
        <v>388.44346895481488</v>
      </c>
      <c r="BQ101" s="175">
        <f>IF(Q101=0,2*ABS(P101*10^6)/$O$12/BP101/(BK101-BP101/3),Q101*BP101*1000/($O$12/2*BP101^2-(BE101-BP101)*AJ101*$AJ$18-(BF101-BP101)*AL101*$AJ$18-(BG101-BP101)*AN101*$AJ$18-(BH101-BP101)*AP101*$AJ$18-(BI101-BP101)*AR101*$AJ$18-(BJ101-BP101)*AT101*$AJ$18))</f>
        <v>7.5395889298726901</v>
      </c>
      <c r="BR101" s="3">
        <f>0.5*$O$12*BP101*BQ101 /1000</f>
        <v>1464.3520392065341</v>
      </c>
      <c r="BS101" s="3">
        <f>($BQ101/$BP101)*(BE101-$BP101)*$AJ$18*AJ101/1000</f>
        <v>1339.1547522069561</v>
      </c>
      <c r="BT101" s="3">
        <f>($BQ101/$BP101)*(BF101-$BP101)*$AJ$18*AL101/1000</f>
        <v>119.19728699957801</v>
      </c>
      <c r="BU101" s="3">
        <f>($BQ101/$BP101)*(BG101-$BP101)*$AJ$18*AN101/1000</f>
        <v>0</v>
      </c>
      <c r="BV101" s="3">
        <f>($BQ101/$BP101)*(BH101-$BP101)*$AJ$18*AP101/1000</f>
        <v>0</v>
      </c>
      <c r="BW101" s="3">
        <f>($BQ101/$BP101)*(BI101-$BP101)*$AJ$18*AR101/1000</f>
        <v>0</v>
      </c>
      <c r="BX101" s="3">
        <f>($BQ101/$BP101)*(BJ101-$BP101)*$AJ$18*AT101/1000</f>
        <v>0</v>
      </c>
      <c r="BY101" s="175">
        <f>IF(Q101=0,0,(0.5*$O$12*BP101*BQ101/1000*(R101/2-$BP101/3)+BS101*(BE101-R101/2)+BT101*(BF101-R101/2)+BU101*(BG101-R101/2)+BV101*(BH101-R101/2)+BW101*(BI101-R101/2)+BX101*(BJ101-R101/2))/1000-ABS(P101))</f>
        <v>9.1481365416257177E-7</v>
      </c>
      <c r="BZ101" s="10"/>
      <c r="CA101" s="176">
        <f>ABS(P101)/(BK101-BP101/3)/AV101*10^6-Q101*(R101/2-BP101/3)/(BK101-BP101/3)/AV101*1000</f>
        <v>157.67630385334976</v>
      </c>
      <c r="CB101" s="177">
        <f>(AV101/($O$12*MIN(2.5*(R101-BK101),(R101-BP101)/3,R101/2)-AV101))</f>
        <v>4.7599958486073381E-2</v>
      </c>
      <c r="CC101" s="177">
        <f>3.4*($O$16+$AX$14)+0.425*0.8*0.5*(T101^2+W101^2+Z101^2+AC101^2+AF101^2+AI101^2)/(T101+W101+Z101+AC101+AF101+AI101)/CB101</f>
        <v>401.40495571558847</v>
      </c>
      <c r="CD101" s="177">
        <f>MAX(0.6*CA101/$AJ$17,(CA101-0.4*0.3*$AJ$14^(2/3)/CB101*(1+$AJ$17/$AJ$15*CB101))/$AJ$17)</f>
        <v>0.56339560870415928</v>
      </c>
      <c r="CE101" s="178">
        <f>CC101*CD101/1000</f>
        <v>0.22614978936225005</v>
      </c>
      <c r="CF101" s="23" t="str">
        <f>IF(AND(AV101&gt;=BD101,AV101&gt;=BO101,CE101&lt;=(+IF(CO101="External",0.25,0.3))),"O.K", "Not O.K")</f>
        <v>O.K</v>
      </c>
      <c r="CG101" s="28"/>
      <c r="CH101" s="179" t="str">
        <f>IF(O101&lt;0.2*$AJ$14*R101*$O$12/1000,"N &lt; 0.2fckAc - OK!","TBA")</f>
        <v>N &lt; 0.2fckAc - OK!</v>
      </c>
      <c r="CI101" s="24"/>
      <c r="CJ101" s="25"/>
      <c r="CK101" s="6">
        <f t="shared" si="80"/>
        <v>103</v>
      </c>
      <c r="CL101" s="8" t="s">
        <v>72</v>
      </c>
      <c r="CM101" s="6">
        <f t="shared" si="81"/>
        <v>203</v>
      </c>
      <c r="CN101" s="26" t="s">
        <v>148</v>
      </c>
      <c r="CO101" s="27" t="s">
        <v>105</v>
      </c>
      <c r="CP101" s="2">
        <v>-1533</v>
      </c>
      <c r="CQ101" s="15">
        <v>9</v>
      </c>
      <c r="CR101" s="3">
        <v>-1112</v>
      </c>
      <c r="CS101" s="15">
        <v>6</v>
      </c>
      <c r="CT101" s="20">
        <v>1000</v>
      </c>
      <c r="CU101" s="2">
        <v>103</v>
      </c>
      <c r="CV101" s="15">
        <v>203</v>
      </c>
      <c r="CW101" s="6"/>
      <c r="CX101" s="278"/>
      <c r="CY101" s="6"/>
      <c r="CZ101" s="6"/>
      <c r="DA101" s="6"/>
      <c r="DB101" s="6"/>
      <c r="DC101" s="6"/>
      <c r="DD101" s="6"/>
      <c r="DE101" s="6"/>
      <c r="DF101" s="6"/>
      <c r="DG101" s="6"/>
      <c r="DH101" s="6"/>
      <c r="DI101" s="6"/>
      <c r="DJ101" s="212"/>
      <c r="DK101" s="13"/>
      <c r="DL101" s="13"/>
      <c r="DM101" s="202"/>
      <c r="DN101" s="206">
        <f>IF(CO101="external",T101,0)</f>
        <v>40</v>
      </c>
      <c r="DO101" s="206">
        <f>IF(CO101="external",W101,0)</f>
        <v>13</v>
      </c>
      <c r="DP101" s="206">
        <f>IF(CO101="external",Z101,0)</f>
        <v>0</v>
      </c>
      <c r="DQ101" s="206">
        <f>IF(CO101="external",AC101,0)</f>
        <v>0</v>
      </c>
      <c r="DR101" s="206">
        <f>IF(CO101="external",AF101,0)</f>
        <v>0</v>
      </c>
      <c r="DS101" s="207">
        <f>IF(CO101="external",AI101,0)</f>
        <v>0</v>
      </c>
      <c r="DT101" s="208"/>
      <c r="DU101" s="207">
        <f>IF(CO101="internal",T101,0)</f>
        <v>0</v>
      </c>
      <c r="DV101" s="207">
        <f>IF(CO101="internal",W101,0)</f>
        <v>0</v>
      </c>
      <c r="DW101" s="207">
        <f>IF(CO101="internal",Z101,0)</f>
        <v>0</v>
      </c>
      <c r="DX101" s="207">
        <f>IF(CO101="internal",AC101,0)</f>
        <v>0</v>
      </c>
      <c r="DY101" s="207">
        <f>IF(CO101="internal",AF101,0)</f>
        <v>0</v>
      </c>
      <c r="DZ101" s="207">
        <f>IF(CO101="internal",AI101,0)</f>
        <v>0</v>
      </c>
    </row>
    <row r="102" spans="1:130" s="7" customFormat="1" x14ac:dyDescent="0.3">
      <c r="B102" s="19">
        <f>+CI102</f>
        <v>0</v>
      </c>
      <c r="C102" s="6">
        <f t="shared" si="87"/>
        <v>0</v>
      </c>
      <c r="D102" s="6">
        <f t="shared" si="87"/>
        <v>103</v>
      </c>
      <c r="E102" s="6" t="str">
        <f t="shared" si="87"/>
        <v>--</v>
      </c>
      <c r="F102" s="6">
        <f>+CM102</f>
        <v>203</v>
      </c>
      <c r="G102" s="174" t="str">
        <f t="shared" si="88"/>
        <v>Max Fx</v>
      </c>
      <c r="H102" s="6" t="str">
        <f t="shared" si="88"/>
        <v>External</v>
      </c>
      <c r="I102" s="156"/>
      <c r="J102" s="10">
        <f t="shared" si="89"/>
        <v>-1533</v>
      </c>
      <c r="K102" s="10">
        <f t="shared" si="89"/>
        <v>9</v>
      </c>
      <c r="L102" s="10">
        <f t="shared" si="89"/>
        <v>-1112</v>
      </c>
      <c r="M102" s="10">
        <f t="shared" si="89"/>
        <v>6</v>
      </c>
      <c r="N102" s="10">
        <f>IF(I102*J102&gt;=0,J102*$J$19+I102*$J$18,J102)</f>
        <v>-1533</v>
      </c>
      <c r="O102" s="10">
        <f>(K102)*$J$19</f>
        <v>9</v>
      </c>
      <c r="P102" s="14">
        <f>IF(I102*L102&gt;=0,(L102)+I102,L102)</f>
        <v>-1112</v>
      </c>
      <c r="Q102" s="3">
        <f>(M102)</f>
        <v>6</v>
      </c>
      <c r="R102" s="20">
        <f t="shared" si="79"/>
        <v>1000</v>
      </c>
      <c r="S102" s="23"/>
      <c r="T102" s="12">
        <v>40</v>
      </c>
      <c r="U102" s="28"/>
      <c r="V102" s="28"/>
      <c r="W102" s="12">
        <v>13</v>
      </c>
      <c r="X102" s="28"/>
      <c r="Y102" s="28"/>
      <c r="Z102" s="12"/>
      <c r="AA102" s="28"/>
      <c r="AB102" s="28"/>
      <c r="AC102" s="158"/>
      <c r="AD102" s="28"/>
      <c r="AE102" s="28"/>
      <c r="AF102" s="158"/>
      <c r="AG102" s="28"/>
      <c r="AH102" s="28"/>
      <c r="AI102" s="29"/>
      <c r="AJ102" s="6">
        <f>PI()/4*T102^2*$O$12/$AX$16</f>
        <v>8377.5804095727817</v>
      </c>
      <c r="AK102" s="28" t="str">
        <f>IF(W102=0,"","+")</f>
        <v>+</v>
      </c>
      <c r="AL102" s="6">
        <f>PI()/4*W102^2*$O$12/$AX$16</f>
        <v>884.88193076112498</v>
      </c>
      <c r="AM102" s="28" t="str">
        <f>IF(Z102=0,"","+")</f>
        <v/>
      </c>
      <c r="AN102" s="6">
        <f>PI()/4*Z102^2*$O$12/$AX$16</f>
        <v>0</v>
      </c>
      <c r="AO102" s="28" t="str">
        <f>IF(AC102=0,"","+")</f>
        <v/>
      </c>
      <c r="AP102" s="6">
        <f>PI()/4*AC102^2*$O$12/$AX$16</f>
        <v>0</v>
      </c>
      <c r="AQ102" s="28" t="str">
        <f>IF(AF102=0,"","+")</f>
        <v/>
      </c>
      <c r="AR102" s="6">
        <f>PI()/4*AF102^2*$O$12/$AX$16</f>
        <v>0</v>
      </c>
      <c r="AS102" s="28" t="str">
        <f>IF(AI102=0,"","+")</f>
        <v/>
      </c>
      <c r="AT102" s="6">
        <f>PI()/4*AI102^2*$O$12/$AX$16</f>
        <v>0</v>
      </c>
      <c r="AU102" s="28" t="s">
        <v>24</v>
      </c>
      <c r="AV102" s="15">
        <f>VALUE(AJ102)+VALUE(AL102)+VALUE(AN102)+VALUE(AP102)+VALUE(AR102)+VALUE(AT102)</f>
        <v>9262.4623403339065</v>
      </c>
      <c r="AW102" s="228">
        <f>MAX(0.3*$AJ$14^(2/3)/$AJ$16*0.26*100,0.13)</f>
        <v>0.15723814702688016</v>
      </c>
      <c r="AX102" s="6">
        <f>AW102/100*$O$12*BK102</f>
        <v>1398.4088823483371</v>
      </c>
      <c r="AY102" s="6"/>
      <c r="AZ102" s="6"/>
      <c r="BA102" s="24" t="str">
        <f>IF(BB102=0,"","+")</f>
        <v/>
      </c>
      <c r="BB102" s="24"/>
      <c r="BC102" s="28" t="s">
        <v>24</v>
      </c>
      <c r="BD102" s="15">
        <f>AX102+AZ102+BB102</f>
        <v>1398.4088823483371</v>
      </c>
      <c r="BE102" s="2">
        <f>(R102-($AX$14+$O$16+T102/2))</f>
        <v>897</v>
      </c>
      <c r="BF102" s="3">
        <f>IF(W102=0,0,(R102-($AX$14+T102/2+$O$16+$BI$16)))</f>
        <v>817</v>
      </c>
      <c r="BG102" s="3">
        <f>IF(Z102=0,0,(R102-($AX$14+T102/2+$BI$16+$O$16+$BI$17)))</f>
        <v>0</v>
      </c>
      <c r="BH102" s="3">
        <f>IF(AC102=0,0,(R102-($AX$14+T102/2+$O$16+$BI$16+$BI$17+$BI$18)))</f>
        <v>0</v>
      </c>
      <c r="BI102" s="3">
        <f>IF(AF102=0,0,(R102-($AX$14+T102/2+$O$16+$BI$16+$BI$17+$BI$18+$BL$16)))</f>
        <v>0</v>
      </c>
      <c r="BJ102" s="3">
        <f>IF(AI102=0,0,(R102-($AX$14+T102/2+$O$16+$BI$16+$BI$17+$BI$18+$BL$16+$BL$17)))</f>
        <v>0</v>
      </c>
      <c r="BK102" s="6">
        <f>(BE102*AJ102+BF102*AL102+BG102*AN102+BH102*AP102+BI102*AR102+BJ102*AT102)/AV102</f>
        <v>889.35726399095529</v>
      </c>
      <c r="BL102" s="175">
        <f>ABS(N102)*1000000/$O$12/BK102^2</f>
        <v>1.9381600685562463</v>
      </c>
      <c r="BM102" s="175">
        <f>BL102/$AJ$14</f>
        <v>6.0567502142382698E-2</v>
      </c>
      <c r="BN102" s="21">
        <f>IF(BM102&lt;0.167,0.5+SQRT(0.25-(BM102/1.134)),0.82)</f>
        <v>0.94338414978843477</v>
      </c>
      <c r="BO102" s="15">
        <f>ABS(N102)/(0.87*$AJ$16*BN102*BK102)*10^6</f>
        <v>4200.3750110748297</v>
      </c>
      <c r="BP102" s="22">
        <v>388.44346895481488</v>
      </c>
      <c r="BQ102" s="175">
        <f>IF(Q102=0,2*ABS(P102*10^6)/$O$12/BP102/(BK102-BP102/3),Q102*BP102*1000/($O$12/2*BP102^2-(BE102-BP102)*AJ102*$AJ$18-(BF102-BP102)*AL102*$AJ$18-(BG102-BP102)*AN102*$AJ$18-(BH102-BP102)*AP102*$AJ$18-(BI102-BP102)*AR102*$AJ$18-(BJ102-BP102)*AT102*$AJ$18))</f>
        <v>7.5395889298726901</v>
      </c>
      <c r="BR102" s="3">
        <f>0.5*$O$12*BP102*BQ102 /1000</f>
        <v>1464.3520392065341</v>
      </c>
      <c r="BS102" s="3">
        <f>($BQ102/$BP102)*(BE102-$BP102)*$AJ$18*AJ102/1000</f>
        <v>1339.1547522069561</v>
      </c>
      <c r="BT102" s="3">
        <f>($BQ102/$BP102)*(BF102-$BP102)*$AJ$18*AL102/1000</f>
        <v>119.19728699957801</v>
      </c>
      <c r="BU102" s="3">
        <f>($BQ102/$BP102)*(BG102-$BP102)*$AJ$18*AN102/1000</f>
        <v>0</v>
      </c>
      <c r="BV102" s="3">
        <f>($BQ102/$BP102)*(BH102-$BP102)*$AJ$18*AP102/1000</f>
        <v>0</v>
      </c>
      <c r="BW102" s="3">
        <f>($BQ102/$BP102)*(BI102-$BP102)*$AJ$18*AR102/1000</f>
        <v>0</v>
      </c>
      <c r="BX102" s="3">
        <f>($BQ102/$BP102)*(BJ102-$BP102)*$AJ$18*AT102/1000</f>
        <v>0</v>
      </c>
      <c r="BY102" s="175">
        <f>IF(Q102=0,0,(0.5*$O$12*BP102*BQ102/1000*(R102/2-$BP102/3)+BS102*(BE102-R102/2)+BT102*(BF102-R102/2)+BU102*(BG102-R102/2)+BV102*(BH102-R102/2)+BW102*(BI102-R102/2)+BX102*(BJ102-R102/2))/1000-ABS(P102))</f>
        <v>9.1481365416257177E-7</v>
      </c>
      <c r="BZ102" s="10"/>
      <c r="CA102" s="176">
        <f>ABS(P102)/(BK102-BP102/3)/AV102*10^6-Q102*(R102/2-BP102/3)/(BK102-BP102/3)/AV102*1000</f>
        <v>157.67630385334976</v>
      </c>
      <c r="CB102" s="177">
        <f>(AV102/($O$12*MIN(2.5*(R102-BK102),(R102-BP102)/3,R102/2)-AV102))</f>
        <v>4.7599958486073381E-2</v>
      </c>
      <c r="CC102" s="177">
        <f>3.4*($O$16+$AX$14)+0.425*0.8*0.5*(T102^2+W102^2+Z102^2+AC102^2+AF102^2+AI102^2)/(T102+W102+Z102+AC102+AF102+AI102)/CB102</f>
        <v>401.40495571558847</v>
      </c>
      <c r="CD102" s="177">
        <f>MAX(0.6*CA102/$AJ$17,(CA102-0.4*0.3*$AJ$14^(2/3)/CB102*(1+$AJ$17/$AJ$15*CB102))/$AJ$17)</f>
        <v>0.56339560870415928</v>
      </c>
      <c r="CE102" s="178">
        <f>CC102*CD102/1000</f>
        <v>0.22614978936225005</v>
      </c>
      <c r="CF102" s="23" t="str">
        <f>IF(AND(AV102&gt;=BD102,AV102&gt;=BO102,CE102&lt;=(+IF(CO102="External",0.25,0.3))),"O.K", "Not O.K")</f>
        <v>O.K</v>
      </c>
      <c r="CG102" s="28"/>
      <c r="CH102" s="179" t="str">
        <f>IF(O102&lt;0.2*$AJ$14*R102*$O$12/1000,"N &lt; 0.2fckAc - OK!","TBA")</f>
        <v>N &lt; 0.2fckAc - OK!</v>
      </c>
      <c r="CI102" s="24"/>
      <c r="CJ102" s="25"/>
      <c r="CK102" s="6">
        <f t="shared" si="80"/>
        <v>103</v>
      </c>
      <c r="CL102" s="8" t="s">
        <v>72</v>
      </c>
      <c r="CM102" s="6">
        <f t="shared" si="81"/>
        <v>203</v>
      </c>
      <c r="CN102" s="26" t="s">
        <v>145</v>
      </c>
      <c r="CO102" s="27" t="s">
        <v>105</v>
      </c>
      <c r="CP102" s="2">
        <v>-1533</v>
      </c>
      <c r="CQ102" s="15">
        <v>9</v>
      </c>
      <c r="CR102" s="3">
        <v>-1112</v>
      </c>
      <c r="CS102" s="15">
        <v>6</v>
      </c>
      <c r="CT102" s="20">
        <v>1000</v>
      </c>
      <c r="CU102" s="2">
        <v>103</v>
      </c>
      <c r="CV102" s="15">
        <v>203</v>
      </c>
      <c r="CW102" s="6"/>
      <c r="CX102" s="278"/>
      <c r="CY102" s="6"/>
      <c r="CZ102" s="6"/>
      <c r="DA102" s="6"/>
      <c r="DB102" s="6"/>
      <c r="DC102" s="6"/>
      <c r="DD102" s="6"/>
      <c r="DE102" s="6"/>
      <c r="DF102" s="6"/>
      <c r="DG102" s="6"/>
      <c r="DH102" s="6"/>
      <c r="DI102" s="6"/>
      <c r="DJ102" s="212"/>
      <c r="DK102" s="13"/>
      <c r="DL102" s="13"/>
      <c r="DM102" s="202"/>
      <c r="DN102" s="206">
        <f>IF(CO102="external",T102,0)</f>
        <v>40</v>
      </c>
      <c r="DO102" s="206">
        <f>IF(CO102="external",W102,0)</f>
        <v>13</v>
      </c>
      <c r="DP102" s="206">
        <f>IF(CO102="external",Z102,0)</f>
        <v>0</v>
      </c>
      <c r="DQ102" s="206">
        <f>IF(CO102="external",AC102,0)</f>
        <v>0</v>
      </c>
      <c r="DR102" s="206">
        <f>IF(CO102="external",AF102,0)</f>
        <v>0</v>
      </c>
      <c r="DS102" s="207">
        <f>IF(CO102="external",AI102,0)</f>
        <v>0</v>
      </c>
      <c r="DT102" s="208"/>
      <c r="DU102" s="207">
        <f>IF(CO102="internal",T102,0)</f>
        <v>0</v>
      </c>
      <c r="DV102" s="207">
        <f>IF(CO102="internal",W102,0)</f>
        <v>0</v>
      </c>
      <c r="DW102" s="207">
        <f>IF(CO102="internal",Z102,0)</f>
        <v>0</v>
      </c>
      <c r="DX102" s="207">
        <f>IF(CO102="internal",AC102,0)</f>
        <v>0</v>
      </c>
      <c r="DY102" s="207">
        <f>IF(CO102="internal",AF102,0)</f>
        <v>0</v>
      </c>
      <c r="DZ102" s="207">
        <f>IF(CO102="internal",AI102,0)</f>
        <v>0</v>
      </c>
    </row>
    <row r="103" spans="1:130" s="7" customFormat="1" x14ac:dyDescent="0.3">
      <c r="B103" s="19">
        <f>+CI103</f>
        <v>0</v>
      </c>
      <c r="C103" s="6">
        <f t="shared" si="87"/>
        <v>0</v>
      </c>
      <c r="D103" s="6">
        <f t="shared" si="87"/>
        <v>112</v>
      </c>
      <c r="E103" s="6" t="str">
        <f t="shared" si="87"/>
        <v>--</v>
      </c>
      <c r="F103" s="6">
        <f>+CM103</f>
        <v>212</v>
      </c>
      <c r="G103" s="174" t="str">
        <f t="shared" si="88"/>
        <v>Min Fx</v>
      </c>
      <c r="H103" s="6" t="str">
        <f t="shared" si="88"/>
        <v>External</v>
      </c>
      <c r="I103" s="156"/>
      <c r="J103" s="10">
        <f t="shared" si="89"/>
        <v>-1246</v>
      </c>
      <c r="K103" s="10">
        <f t="shared" si="89"/>
        <v>0</v>
      </c>
      <c r="L103" s="10">
        <f t="shared" si="89"/>
        <v>-906</v>
      </c>
      <c r="M103" s="10">
        <f t="shared" si="89"/>
        <v>0</v>
      </c>
      <c r="N103" s="10">
        <f>IF(I103*J103&gt;=0,J103*$J$19+I103*$J$18,J103)</f>
        <v>-1246</v>
      </c>
      <c r="O103" s="10">
        <f>(K103)*$J$19</f>
        <v>0</v>
      </c>
      <c r="P103" s="14">
        <f>IF(I103*L103&gt;=0,(L103)+I103,L103)</f>
        <v>-906</v>
      </c>
      <c r="Q103" s="3">
        <f>(M103)</f>
        <v>0</v>
      </c>
      <c r="R103" s="20">
        <f t="shared" si="79"/>
        <v>1000</v>
      </c>
      <c r="S103" s="23"/>
      <c r="T103" s="12">
        <v>40</v>
      </c>
      <c r="U103" s="28"/>
      <c r="V103" s="28"/>
      <c r="W103" s="12"/>
      <c r="X103" s="28"/>
      <c r="Y103" s="28"/>
      <c r="Z103" s="12"/>
      <c r="AA103" s="28"/>
      <c r="AB103" s="28"/>
      <c r="AC103" s="158"/>
      <c r="AD103" s="28"/>
      <c r="AE103" s="28"/>
      <c r="AF103" s="158"/>
      <c r="AG103" s="28"/>
      <c r="AH103" s="28"/>
      <c r="AI103" s="29"/>
      <c r="AJ103" s="6">
        <f>PI()/4*T103^2*$O$12/$AX$16</f>
        <v>8377.5804095727817</v>
      </c>
      <c r="AK103" s="28" t="str">
        <f>IF(W103=0,"","+")</f>
        <v/>
      </c>
      <c r="AL103" s="6">
        <f>PI()/4*W103^2*$O$12/$AX$16</f>
        <v>0</v>
      </c>
      <c r="AM103" s="28" t="str">
        <f>IF(Z103=0,"","+")</f>
        <v/>
      </c>
      <c r="AN103" s="6">
        <f>PI()/4*Z103^2*$O$12/$AX$16</f>
        <v>0</v>
      </c>
      <c r="AO103" s="28" t="str">
        <f>IF(AC103=0,"","+")</f>
        <v/>
      </c>
      <c r="AP103" s="6">
        <f>PI()/4*AC103^2*$O$12/$AX$16</f>
        <v>0</v>
      </c>
      <c r="AQ103" s="28" t="str">
        <f>IF(AF103=0,"","+")</f>
        <v/>
      </c>
      <c r="AR103" s="6">
        <f>PI()/4*AF103^2*$O$12/$AX$16</f>
        <v>0</v>
      </c>
      <c r="AS103" s="28" t="str">
        <f>IF(AI103=0,"","+")</f>
        <v/>
      </c>
      <c r="AT103" s="6">
        <f>PI()/4*AI103^2*$O$12/$AX$16</f>
        <v>0</v>
      </c>
      <c r="AU103" s="28" t="s">
        <v>24</v>
      </c>
      <c r="AV103" s="15">
        <f>VALUE(AJ103)+VALUE(AL103)+VALUE(AN103)+VALUE(AP103)+VALUE(AR103)+VALUE(AT103)</f>
        <v>8377.5804095727817</v>
      </c>
      <c r="AW103" s="228">
        <f>MAX(0.3*$AJ$14^(2/3)/$AJ$16*0.26*100,0.13)</f>
        <v>0.15723814702688016</v>
      </c>
      <c r="AX103" s="6">
        <f>AW103/100*$O$12*BK103</f>
        <v>1410.4261788311151</v>
      </c>
      <c r="AY103" s="6"/>
      <c r="AZ103" s="6"/>
      <c r="BA103" s="24" t="str">
        <f>IF(BB103=0,"","+")</f>
        <v/>
      </c>
      <c r="BB103" s="24"/>
      <c r="BC103" s="28" t="s">
        <v>24</v>
      </c>
      <c r="BD103" s="15">
        <f>AX103+AZ103+BB103</f>
        <v>1410.4261788311151</v>
      </c>
      <c r="BE103" s="2">
        <f>(R103-($AX$14+$O$16+T103/2))</f>
        <v>897</v>
      </c>
      <c r="BF103" s="3">
        <f>IF(W103=0,0,(R103-($AX$14+T103/2+$O$16+$BI$16)))</f>
        <v>0</v>
      </c>
      <c r="BG103" s="3">
        <f>IF(Z103=0,0,(R103-($AX$14+T103/2+$BI$16+$O$16+$BI$17)))</f>
        <v>0</v>
      </c>
      <c r="BH103" s="3">
        <f>IF(AC103=0,0,(R103-($AX$14+T103/2+$O$16+$BI$16+$BI$17+$BI$18)))</f>
        <v>0</v>
      </c>
      <c r="BI103" s="3">
        <f>IF(AF103=0,0,(R103-($AX$14+T103/2+$O$16+$BI$16+$BI$17+$BI$18+$BL$16)))</f>
        <v>0</v>
      </c>
      <c r="BJ103" s="3">
        <f>IF(AI103=0,0,(R103-($AX$14+T103/2+$O$16+$BI$16+$BI$17+$BI$18+$BL$16+$BL$17)))</f>
        <v>0</v>
      </c>
      <c r="BK103" s="6">
        <f>(BE103*AJ103+BF103*AL103+BG103*AN103+BH103*AP103+BI103*AR103+BJ103*AT103)/AV103</f>
        <v>897</v>
      </c>
      <c r="BL103" s="175">
        <f>ABS(N103)*1000000/$O$12/BK103^2</f>
        <v>1.5485782535368111</v>
      </c>
      <c r="BM103" s="175">
        <f>BL103/$AJ$14</f>
        <v>4.8393070423025347E-2</v>
      </c>
      <c r="BN103" s="21">
        <f>IF(BM103&lt;0.167,0.5+SQRT(0.25-(BM103/1.134)),0.82)</f>
        <v>0.9553299185469406</v>
      </c>
      <c r="BO103" s="15">
        <f>ABS(N103)/(0.87*$AJ$16*BN103*BK103)*10^6</f>
        <v>3342.5888745849479</v>
      </c>
      <c r="BP103" s="22">
        <v>500</v>
      </c>
      <c r="BQ103" s="175">
        <f>IF(Q103=0,2*ABS(P103*10^6)/$O$12/BP103/(BK103-BP103/3),Q103*BP103*1000/($O$12/2*BP103^2-(BE103-BP103)*AJ103*$AJ$18-(BF103-BP103)*AL103*$AJ$18-(BG103-BP103)*AN103*$AJ$18-(BH103-BP103)*AP103*$AJ$18-(BI103-BP103)*AR103*$AJ$18-(BJ103-BP103)*AT103*$AJ$18))</f>
        <v>4.9621177544500226</v>
      </c>
      <c r="BR103" s="3">
        <f>0.5*$O$12*BP103*BQ103 /1000</f>
        <v>1240.5294386125056</v>
      </c>
      <c r="BS103" s="3">
        <f>($BQ103/$BP103)*(BE103-$BP103)*$AJ$18*AJ103/1000</f>
        <v>534.51420974340806</v>
      </c>
      <c r="BT103" s="3">
        <f>($BQ103/$BP103)*(BF103-$BP103)*$AJ$18*AL103/1000</f>
        <v>0</v>
      </c>
      <c r="BU103" s="3">
        <f>($BQ103/$BP103)*(BG103-$BP103)*$AJ$18*AN103/1000</f>
        <v>0</v>
      </c>
      <c r="BV103" s="3">
        <f>($BQ103/$BP103)*(BH103-$BP103)*$AJ$18*AP103/1000</f>
        <v>0</v>
      </c>
      <c r="BW103" s="3">
        <f>($BQ103/$BP103)*(BI103-$BP103)*$AJ$18*AR103/1000</f>
        <v>0</v>
      </c>
      <c r="BX103" s="3">
        <f>($BQ103/$BP103)*(BJ103-$BP103)*$AJ$18*AT103/1000</f>
        <v>0</v>
      </c>
      <c r="BY103" s="175">
        <f>IF(Q103=0,0,(0.5*$O$12*BP103*BQ103/1000*(R103/2-$BP103/3)+BS103*(BE103-R103/2)+BT103*(BF103-R103/2)+BU103*(BG103-R103/2)+BV103*(BH103-R103/2)+BW103*(BI103-R103/2)+BX103*(BJ103-R103/2))/1000-ABS(P103))</f>
        <v>0</v>
      </c>
      <c r="BZ103" s="10"/>
      <c r="CA103" s="176">
        <f>ABS(P103)/(BK103-BP103/3)/AV103*10^6-Q103*(R103/2-BP103/3)/(BK103-BP103/3)/AV103*1000</f>
        <v>148.07729415464567</v>
      </c>
      <c r="CB103" s="177">
        <f>(AV103/($O$12*MIN(2.5*(R103-BK103),(R103-BP103)/3,R103/2)-AV103))</f>
        <v>5.2925824563582836E-2</v>
      </c>
      <c r="CC103" s="177">
        <f>3.4*($O$16+$AX$14)+0.425*0.8*0.5*(T103^2+W103^2+Z103^2+AC103^2+AF103^2+AI103^2)/(T103+W103+Z103+AC103+AF103+AI103)/CB103</f>
        <v>410.681701628111</v>
      </c>
      <c r="CD103" s="177">
        <f>MAX(0.6*CA103/$AJ$17,(CA103-0.4*0.3*$AJ$14^(2/3)/CB103*(1+$AJ$17/$AJ$15*CB103))/$AJ$17)</f>
        <v>0.52818555643303011</v>
      </c>
      <c r="CE103" s="178">
        <f>CC103*CD103/1000</f>
        <v>0.21691614309130744</v>
      </c>
      <c r="CF103" s="23" t="str">
        <f>IF(AND(AV103&gt;=BD103,AV103&gt;=BO103,CE103&lt;=(+IF(CO103="External",0.25,0.3))),"O.K", "Not O.K")</f>
        <v>O.K</v>
      </c>
      <c r="CG103" s="28"/>
      <c r="CH103" s="179" t="str">
        <f>IF(O103&lt;0.2*$AJ$14*R103*$O$12/1000,"N &lt; 0.2fckAc - OK!","TBA")</f>
        <v>N &lt; 0.2fckAc - OK!</v>
      </c>
      <c r="CI103" s="24"/>
      <c r="CJ103" s="25"/>
      <c r="CK103" s="6">
        <f t="shared" si="80"/>
        <v>112</v>
      </c>
      <c r="CL103" s="8" t="s">
        <v>72</v>
      </c>
      <c r="CM103" s="6">
        <f t="shared" si="81"/>
        <v>212</v>
      </c>
      <c r="CN103" s="26" t="s">
        <v>146</v>
      </c>
      <c r="CO103" s="27" t="s">
        <v>105</v>
      </c>
      <c r="CP103" s="2">
        <v>-1246</v>
      </c>
      <c r="CQ103" s="15">
        <v>0</v>
      </c>
      <c r="CR103" s="3">
        <v>-906</v>
      </c>
      <c r="CS103" s="15">
        <v>0</v>
      </c>
      <c r="CT103" s="20">
        <v>1000</v>
      </c>
      <c r="CU103" s="2">
        <v>112</v>
      </c>
      <c r="CV103" s="15">
        <v>212</v>
      </c>
      <c r="CW103" s="6"/>
      <c r="CX103" s="278"/>
      <c r="CY103" s="6"/>
      <c r="CZ103" s="6"/>
      <c r="DA103" s="6"/>
      <c r="DB103" s="6"/>
      <c r="DC103" s="6"/>
      <c r="DD103" s="6"/>
      <c r="DE103" s="6"/>
      <c r="DF103" s="6"/>
      <c r="DG103" s="6"/>
      <c r="DH103" s="6"/>
      <c r="DI103" s="6"/>
      <c r="DJ103" s="212"/>
      <c r="DK103" s="13"/>
      <c r="DL103" s="13"/>
      <c r="DM103" s="202"/>
      <c r="DN103" s="206">
        <f>IF(CO103="external",T103,0)</f>
        <v>40</v>
      </c>
      <c r="DO103" s="206">
        <f>IF(CO103="external",W103,0)</f>
        <v>0</v>
      </c>
      <c r="DP103" s="206">
        <f>IF(CO103="external",Z103,0)</f>
        <v>0</v>
      </c>
      <c r="DQ103" s="206">
        <f>IF(CO103="external",AC103,0)</f>
        <v>0</v>
      </c>
      <c r="DR103" s="206">
        <f>IF(CO103="external",AF103,0)</f>
        <v>0</v>
      </c>
      <c r="DS103" s="207">
        <f>IF(CO103="external",AI103,0)</f>
        <v>0</v>
      </c>
      <c r="DT103" s="208"/>
      <c r="DU103" s="207">
        <f>IF(CO103="internal",T103,0)</f>
        <v>0</v>
      </c>
      <c r="DV103" s="207">
        <f>IF(CO103="internal",W103,0)</f>
        <v>0</v>
      </c>
      <c r="DW103" s="207">
        <f>IF(CO103="internal",Z103,0)</f>
        <v>0</v>
      </c>
      <c r="DX103" s="207">
        <f>IF(CO103="internal",AC103,0)</f>
        <v>0</v>
      </c>
      <c r="DY103" s="207">
        <f>IF(CO103="internal",AF103,0)</f>
        <v>0</v>
      </c>
      <c r="DZ103" s="207">
        <f>IF(CO103="internal",AI103,0)</f>
        <v>0</v>
      </c>
    </row>
    <row r="104" spans="1:130" s="7" customFormat="1" x14ac:dyDescent="0.3">
      <c r="C104" s="6"/>
      <c r="D104" s="6"/>
      <c r="E104" s="6"/>
      <c r="F104" s="6"/>
      <c r="G104" s="232"/>
      <c r="H104" s="6"/>
      <c r="I104" s="24"/>
      <c r="J104" s="6"/>
      <c r="K104" s="6"/>
      <c r="L104" s="6"/>
      <c r="M104" s="6"/>
      <c r="N104" s="6"/>
      <c r="O104" s="6"/>
      <c r="P104" s="24"/>
      <c r="Q104" s="6"/>
      <c r="R104" s="6">
        <f t="shared" si="79"/>
        <v>0</v>
      </c>
      <c r="S104" s="28"/>
      <c r="T104" s="12"/>
      <c r="U104" s="28"/>
      <c r="V104" s="28"/>
      <c r="W104" s="12"/>
      <c r="X104" s="28"/>
      <c r="Y104" s="28"/>
      <c r="Z104" s="12"/>
      <c r="AA104" s="28"/>
      <c r="AB104" s="28"/>
      <c r="AC104" s="158"/>
      <c r="AD104" s="28"/>
      <c r="AE104" s="28"/>
      <c r="AF104" s="158"/>
      <c r="AG104" s="28"/>
      <c r="AH104" s="28"/>
      <c r="AI104" s="12"/>
      <c r="AJ104" s="6"/>
      <c r="AK104" s="28"/>
      <c r="AL104" s="6"/>
      <c r="AM104" s="28"/>
      <c r="AN104" s="6"/>
      <c r="AO104" s="28"/>
      <c r="AP104" s="6"/>
      <c r="AQ104" s="28"/>
      <c r="AR104" s="6"/>
      <c r="AS104" s="28"/>
      <c r="AT104" s="6"/>
      <c r="AU104" s="28"/>
      <c r="AV104" s="6"/>
      <c r="AW104" s="233"/>
      <c r="AX104" s="6"/>
      <c r="AY104" s="6"/>
      <c r="AZ104" s="6"/>
      <c r="BA104" s="24"/>
      <c r="BB104" s="24"/>
      <c r="BC104" s="28"/>
      <c r="BD104" s="6"/>
      <c r="BE104" s="6"/>
      <c r="BF104" s="6"/>
      <c r="BG104" s="6"/>
      <c r="BH104" s="6"/>
      <c r="BI104" s="6"/>
      <c r="BJ104" s="6"/>
      <c r="BK104" s="6"/>
      <c r="BL104" s="231"/>
      <c r="BM104" s="231"/>
      <c r="BN104" s="231"/>
      <c r="BO104" s="6"/>
      <c r="BP104" s="234"/>
      <c r="BQ104" s="231"/>
      <c r="BR104" s="6"/>
      <c r="BS104" s="6"/>
      <c r="BT104" s="6"/>
      <c r="BU104" s="6"/>
      <c r="BV104" s="6"/>
      <c r="BW104" s="6"/>
      <c r="BX104" s="6"/>
      <c r="BY104" s="231"/>
      <c r="BZ104" s="6"/>
      <c r="CA104" s="234"/>
      <c r="CB104" s="235"/>
      <c r="CC104" s="235"/>
      <c r="CD104" s="235"/>
      <c r="CE104" s="235"/>
      <c r="CF104" s="28"/>
      <c r="CG104" s="28"/>
      <c r="CH104" s="173"/>
      <c r="CI104" s="24"/>
      <c r="CJ104" s="25"/>
      <c r="CK104" s="6">
        <f t="shared" si="80"/>
        <v>0</v>
      </c>
      <c r="CL104" s="8" t="s">
        <v>72</v>
      </c>
      <c r="CM104" s="6">
        <f t="shared" si="81"/>
        <v>0</v>
      </c>
      <c r="CN104" s="236"/>
      <c r="CO104" s="24"/>
      <c r="CP104" s="6"/>
      <c r="CQ104" s="6"/>
      <c r="CR104" s="6"/>
      <c r="CS104" s="6"/>
      <c r="CT104" s="6"/>
      <c r="CU104" s="6"/>
      <c r="CV104" s="6"/>
      <c r="CW104" s="6"/>
      <c r="CX104" s="278"/>
      <c r="CY104" s="6"/>
      <c r="CZ104" s="6"/>
      <c r="DA104" s="6"/>
      <c r="DB104" s="6"/>
      <c r="DC104" s="6"/>
      <c r="DD104" s="6"/>
      <c r="DE104" s="6"/>
      <c r="DF104" s="6"/>
      <c r="DG104" s="6"/>
      <c r="DH104" s="6"/>
      <c r="DI104" s="6"/>
      <c r="DJ104" s="212"/>
      <c r="DK104" s="13"/>
      <c r="DL104" s="13"/>
      <c r="DM104" s="202"/>
      <c r="DN104" s="206"/>
      <c r="DO104" s="206"/>
      <c r="DP104" s="206"/>
      <c r="DQ104" s="206"/>
      <c r="DR104" s="206"/>
      <c r="DS104" s="207"/>
      <c r="DT104" s="208"/>
      <c r="DU104" s="207"/>
      <c r="DV104" s="207"/>
      <c r="DW104" s="207"/>
      <c r="DX104" s="207"/>
      <c r="DY104" s="207"/>
      <c r="DZ104" s="207"/>
    </row>
    <row r="105" spans="1:130" s="7" customFormat="1" ht="13.8" x14ac:dyDescent="0.25">
      <c r="A105" s="7" t="s">
        <v>141</v>
      </c>
      <c r="B105" s="19">
        <f>+CI105</f>
        <v>89</v>
      </c>
      <c r="C105" s="6">
        <f t="shared" ref="C105:E108" si="92">CJ105</f>
        <v>0</v>
      </c>
      <c r="D105" s="6">
        <f t="shared" si="92"/>
        <v>105</v>
      </c>
      <c r="E105" s="6" t="str">
        <f t="shared" si="92"/>
        <v>--</v>
      </c>
      <c r="F105" s="6">
        <f>+CM105</f>
        <v>205</v>
      </c>
      <c r="G105" s="174" t="str">
        <f t="shared" ref="G105:H108" si="93">CN105</f>
        <v>Max Mz</v>
      </c>
      <c r="H105" s="6" t="str">
        <f t="shared" si="93"/>
        <v>External</v>
      </c>
      <c r="I105" s="156">
        <v>0</v>
      </c>
      <c r="J105" s="10">
        <f t="shared" ref="J105:M108" si="94">(CP105)</f>
        <v>-198</v>
      </c>
      <c r="K105" s="10">
        <f t="shared" si="94"/>
        <v>2</v>
      </c>
      <c r="L105" s="10">
        <f t="shared" si="94"/>
        <v>-25</v>
      </c>
      <c r="M105" s="10">
        <f t="shared" si="94"/>
        <v>1</v>
      </c>
      <c r="N105" s="10">
        <f>IF(I105*J105&gt;=0,J105*$J$19+I105*$J$18,J105)</f>
        <v>-198</v>
      </c>
      <c r="O105" s="10">
        <f>(K105)*$J$19</f>
        <v>2</v>
      </c>
      <c r="P105" s="14">
        <f>IF(I105*L105&gt;=0,(L105)+I105,L105)</f>
        <v>-25</v>
      </c>
      <c r="Q105" s="3">
        <f>(M105)</f>
        <v>1</v>
      </c>
      <c r="R105" s="20">
        <f t="shared" si="79"/>
        <v>1000</v>
      </c>
      <c r="S105" s="23"/>
      <c r="T105" s="12">
        <v>20</v>
      </c>
      <c r="U105" s="28"/>
      <c r="V105" s="28"/>
      <c r="W105" s="12"/>
      <c r="X105" s="28"/>
      <c r="Y105" s="28"/>
      <c r="Z105" s="12"/>
      <c r="AA105" s="28"/>
      <c r="AB105" s="28"/>
      <c r="AC105" s="158"/>
      <c r="AD105" s="28"/>
      <c r="AE105" s="28"/>
      <c r="AF105" s="158"/>
      <c r="AG105" s="28"/>
      <c r="AH105" s="28"/>
      <c r="AI105" s="29"/>
      <c r="AJ105" s="6">
        <f>PI()/4*T105^2*$O$12/$AX$16</f>
        <v>2094.3951023931954</v>
      </c>
      <c r="AK105" s="28" t="str">
        <f>IF(W105=0,"","+")</f>
        <v/>
      </c>
      <c r="AL105" s="6">
        <f>PI()/4*W105^2*$O$12/$AX$16</f>
        <v>0</v>
      </c>
      <c r="AM105" s="28" t="str">
        <f>IF(Z105=0,"","+")</f>
        <v/>
      </c>
      <c r="AN105" s="6">
        <f>PI()/4*Z105^2*$O$12/$AX$16</f>
        <v>0</v>
      </c>
      <c r="AO105" s="28" t="str">
        <f>IF(AC105=0,"","+")</f>
        <v/>
      </c>
      <c r="AP105" s="6">
        <f>PI()/4*AC105^2*$O$12/$AX$16</f>
        <v>0</v>
      </c>
      <c r="AQ105" s="28" t="str">
        <f>IF(AF105=0,"","+")</f>
        <v/>
      </c>
      <c r="AR105" s="6">
        <f>PI()/4*AF105^2*$O$12/$AX$16</f>
        <v>0</v>
      </c>
      <c r="AS105" s="28" t="str">
        <f>IF(AI105=0,"","+")</f>
        <v/>
      </c>
      <c r="AT105" s="6">
        <f>PI()/4*AI105^2*$O$12/$AX$16</f>
        <v>0</v>
      </c>
      <c r="AU105" s="28" t="s">
        <v>24</v>
      </c>
      <c r="AV105" s="15">
        <f>VALUE(AJ105)+VALUE(AL105)+VALUE(AN105)+VALUE(AP105)+VALUE(AR105)+VALUE(AT105)</f>
        <v>2094.3951023931954</v>
      </c>
      <c r="AW105" s="228">
        <f>MAX(0.3*$AJ$14^(2/3)/$AJ$16*0.26*100,0.13)</f>
        <v>0.15723814702688016</v>
      </c>
      <c r="AX105" s="6">
        <f>AW105/100*$O$12*BK105</f>
        <v>1426.1499935338031</v>
      </c>
      <c r="AY105" s="6"/>
      <c r="AZ105" s="6"/>
      <c r="BA105" s="24" t="str">
        <f>IF(BB105=0,"","+")</f>
        <v/>
      </c>
      <c r="BB105" s="24"/>
      <c r="BC105" s="28" t="s">
        <v>24</v>
      </c>
      <c r="BD105" s="15">
        <f>AX105+AZ105+BB105</f>
        <v>1426.1499935338031</v>
      </c>
      <c r="BE105" s="2">
        <f>(R105-($AX$14+$O$16+T105/2))</f>
        <v>907</v>
      </c>
      <c r="BF105" s="3">
        <f>IF(W105=0,0,(R105-($AX$14+T105/2+$O$16+$BI$16)))</f>
        <v>0</v>
      </c>
      <c r="BG105" s="3">
        <f>IF(Z105=0,0,(R105-($AX$14+T105/2+$BI$16+$O$16+$BI$17)))</f>
        <v>0</v>
      </c>
      <c r="BH105" s="3">
        <f>IF(AC105=0,0,(R105-($AX$14+T105/2+$O$16+$BI$16+$BI$17+$BI$18)))</f>
        <v>0</v>
      </c>
      <c r="BI105" s="3">
        <f>IF(AF105=0,0,(R105-($AX$14+T105/2+$O$16+$BI$16+$BI$17+$BI$18+$BL$16)))</f>
        <v>0</v>
      </c>
      <c r="BJ105" s="3">
        <f>IF(AI105=0,0,(R105-($AX$14+T105/2+$O$16+$BI$16+$BI$17+$BI$18+$BL$16+$BL$17)))</f>
        <v>0</v>
      </c>
      <c r="BK105" s="6">
        <f>(BE105*AJ105+BF105*AL105+BG105*AN105+BH105*AP105+BI105*AR105+BJ105*AT105)/AV105</f>
        <v>907</v>
      </c>
      <c r="BL105" s="175">
        <f>ABS(N105)*1000000/$O$12/BK105^2</f>
        <v>0.24068588182809436</v>
      </c>
      <c r="BM105" s="175">
        <f>BL105/$AJ$14</f>
        <v>7.5214338071279488E-3</v>
      </c>
      <c r="BN105" s="21">
        <f>IF(BM105&lt;0.167,0.5+SQRT(0.25-(BM105/1.134)),0.82)</f>
        <v>0.9933227567442604</v>
      </c>
      <c r="BO105" s="15">
        <f>ABS(N105)/(0.87*$AJ$16*BN105*BK105)*10^6</f>
        <v>505.21735531196026</v>
      </c>
      <c r="BP105" s="22">
        <v>219.57348737565971</v>
      </c>
      <c r="BQ105" s="175">
        <f>IF(Q105=0,2*ABS(P105*10^6)/$O$12/BP105/(BK105-BP105/3),Q105*BP105*1000/($O$12/2*BP105^2-(BE105-BP105)*AJ105*$AJ$18-(BF105-BP105)*AL105*$AJ$18-(BG105-BP105)*AN105*$AJ$18-(BH105-BP105)*AP105*$AJ$18-(BI105-BP105)*AR105*$AJ$18-(BJ105-BP105)*AT105*$AJ$18))</f>
        <v>0.27754725240882855</v>
      </c>
      <c r="BR105" s="3">
        <f>0.5*$O$12*BP105*BQ105 /1000</f>
        <v>30.471009061469477</v>
      </c>
      <c r="BS105" s="3">
        <f>($BQ105/$BP105)*(BE105-$BP105)*$AJ$18*AJ105/1000</f>
        <v>29.471009061469477</v>
      </c>
      <c r="BT105" s="3">
        <f>($BQ105/$BP105)*(BF105-$BP105)*$AJ$18*AL105/1000</f>
        <v>0</v>
      </c>
      <c r="BU105" s="3">
        <f>($BQ105/$BP105)*(BG105-$BP105)*$AJ$18*AN105/1000</f>
        <v>0</v>
      </c>
      <c r="BV105" s="3">
        <f>($BQ105/$BP105)*(BH105-$BP105)*$AJ$18*AP105/1000</f>
        <v>0</v>
      </c>
      <c r="BW105" s="3">
        <f>($BQ105/$BP105)*(BI105-$BP105)*$AJ$18*AR105/1000</f>
        <v>0</v>
      </c>
      <c r="BX105" s="3">
        <f>($BQ105/$BP105)*(BJ105-$BP105)*$AJ$18*AT105/1000</f>
        <v>0</v>
      </c>
      <c r="BY105" s="175">
        <f>IF(Q105=0,0,(0.5*$O$12*BP105*BQ105/1000*(R105/2-$BP105/3)+BS105*(BE105-R105/2)+BT105*(BF105-R105/2)+BU105*(BG105-R105/2)+BV105*(BH105-R105/2)+BW105*(BI105-R105/2)+BX105*(BJ105-R105/2))/1000-ABS(P105))</f>
        <v>-3.3557412422169364E-6</v>
      </c>
      <c r="BZ105" s="10"/>
      <c r="CA105" s="176">
        <f>ABS(P105)/(BK105-BP105/3)/AV105*10^6-Q105*(R105/2-BP105/3)/(BK105-BP105/3)/AV105*1000</f>
        <v>14.071372231718346</v>
      </c>
      <c r="CB105" s="177">
        <f>(AV105/($O$12*MIN(2.5*(R105-BK105),(R105-BP105)/3,R105/2)-AV105))</f>
        <v>9.0900353892170004E-3</v>
      </c>
      <c r="CC105" s="177">
        <f>3.4*($O$16+$AX$14)+0.425*0.8*0.5*(T105^2+W105^2+Z105^2+AC105^2+AF105^2+AI105^2)/(T105+W105+Z105+AC105+AF105+AI105)/CB105</f>
        <v>656.23594754242981</v>
      </c>
      <c r="CD105" s="177">
        <f>MAX(0.6*CA105/$AJ$17,(CA105-0.4*0.3*$AJ$14^(2/3)/CB105*(1+$AJ$17/$AJ$15*CB105))/$AJ$17)</f>
        <v>4.2214116695155034E-2</v>
      </c>
      <c r="CE105" s="178">
        <f>CC105*CD105/1000</f>
        <v>2.7702420869111771E-2</v>
      </c>
      <c r="CF105" s="23" t="str">
        <f>IF(AND(AV105&gt;=BD105,AV105&gt;=BO105,CE105&lt;=(+IF(CO105="External",0.25,0.3))),"O.K", "Not O.K")</f>
        <v>O.K</v>
      </c>
      <c r="CG105" s="28"/>
      <c r="CH105" s="179" t="str">
        <f>IF(O105&lt;0.2*$AJ$14*R105*$O$12/1000,"N &lt; 0.2fckAc - OK!","TBA")</f>
        <v>N &lt; 0.2fckAc - OK!</v>
      </c>
      <c r="CI105" s="24">
        <v>89</v>
      </c>
      <c r="CJ105" s="25"/>
      <c r="CK105" s="6">
        <f t="shared" si="80"/>
        <v>105</v>
      </c>
      <c r="CL105" s="8" t="s">
        <v>72</v>
      </c>
      <c r="CM105" s="6">
        <f t="shared" si="81"/>
        <v>205</v>
      </c>
      <c r="CN105" s="26" t="s">
        <v>147</v>
      </c>
      <c r="CO105" s="27" t="s">
        <v>105</v>
      </c>
      <c r="CP105" s="2">
        <v>-198</v>
      </c>
      <c r="CQ105" s="15">
        <v>2</v>
      </c>
      <c r="CR105" s="3">
        <v>-25</v>
      </c>
      <c r="CS105" s="15">
        <v>1</v>
      </c>
      <c r="CT105" s="20">
        <v>1000</v>
      </c>
      <c r="CU105" s="2">
        <v>105</v>
      </c>
      <c r="CV105" s="15">
        <v>205</v>
      </c>
      <c r="CW105" s="6"/>
      <c r="CX105" s="278">
        <f>CI105</f>
        <v>89</v>
      </c>
      <c r="CY105" s="6">
        <f t="shared" ref="CY105:DD105" si="95">MAX(DN105:DN108)</f>
        <v>40</v>
      </c>
      <c r="CZ105" s="6">
        <f t="shared" si="95"/>
        <v>25</v>
      </c>
      <c r="DA105" s="6">
        <f t="shared" si="95"/>
        <v>0</v>
      </c>
      <c r="DB105" s="6">
        <f t="shared" si="95"/>
        <v>0</v>
      </c>
      <c r="DC105" s="6">
        <f t="shared" si="95"/>
        <v>0</v>
      </c>
      <c r="DD105" s="6">
        <f t="shared" si="95"/>
        <v>0</v>
      </c>
      <c r="DE105" s="6"/>
      <c r="DF105" s="6">
        <f t="shared" ref="DF105:DK105" si="96">MAX(DU105:DU108)</f>
        <v>0</v>
      </c>
      <c r="DG105" s="6">
        <f t="shared" si="96"/>
        <v>0</v>
      </c>
      <c r="DH105" s="6">
        <f t="shared" si="96"/>
        <v>0</v>
      </c>
      <c r="DI105" s="6">
        <f t="shared" si="96"/>
        <v>0</v>
      </c>
      <c r="DJ105" s="6">
        <f t="shared" si="96"/>
        <v>0</v>
      </c>
      <c r="DK105" s="6">
        <f t="shared" si="96"/>
        <v>0</v>
      </c>
      <c r="DL105" s="13"/>
      <c r="DM105" s="202">
        <f>CI105</f>
        <v>89</v>
      </c>
      <c r="DN105" s="206">
        <f>IF(CO105="external",T105,0)</f>
        <v>20</v>
      </c>
      <c r="DO105" s="206">
        <f>IF(CO105="external",W105,0)</f>
        <v>0</v>
      </c>
      <c r="DP105" s="206">
        <f>IF(CO105="external",Z105,0)</f>
        <v>0</v>
      </c>
      <c r="DQ105" s="206">
        <f>IF(CO105="external",AC105,0)</f>
        <v>0</v>
      </c>
      <c r="DR105" s="206">
        <f>IF(CO105="external",AF105,0)</f>
        <v>0</v>
      </c>
      <c r="DS105" s="207">
        <f>IF(CO105="external",AI105,0)</f>
        <v>0</v>
      </c>
      <c r="DT105" s="208"/>
      <c r="DU105" s="207">
        <f>IF(CO105="internal",T105,0)</f>
        <v>0</v>
      </c>
      <c r="DV105" s="207">
        <f>IF(CO105="internal",W105,0)</f>
        <v>0</v>
      </c>
      <c r="DW105" s="207">
        <f>IF(CO105="internal",Z105,0)</f>
        <v>0</v>
      </c>
      <c r="DX105" s="207">
        <f>IF(CO105="internal",AC105,0)</f>
        <v>0</v>
      </c>
      <c r="DY105" s="207">
        <f>IF(CO105="internal",AF105,0)</f>
        <v>0</v>
      </c>
      <c r="DZ105" s="207">
        <f>IF(CO105="internal",AI105,0)</f>
        <v>0</v>
      </c>
    </row>
    <row r="106" spans="1:130" s="7" customFormat="1" x14ac:dyDescent="0.3">
      <c r="B106" s="19">
        <f>+CI106</f>
        <v>0</v>
      </c>
      <c r="C106" s="6">
        <f t="shared" si="92"/>
        <v>0</v>
      </c>
      <c r="D106" s="6">
        <f t="shared" si="92"/>
        <v>103</v>
      </c>
      <c r="E106" s="6" t="str">
        <f t="shared" si="92"/>
        <v>--</v>
      </c>
      <c r="F106" s="6">
        <f>+CM106</f>
        <v>203</v>
      </c>
      <c r="G106" s="174" t="str">
        <f t="shared" si="93"/>
        <v>Min Mz</v>
      </c>
      <c r="H106" s="6" t="str">
        <f t="shared" si="93"/>
        <v>External</v>
      </c>
      <c r="I106" s="156">
        <v>0</v>
      </c>
      <c r="J106" s="10">
        <f t="shared" si="94"/>
        <v>-1892</v>
      </c>
      <c r="K106" s="10">
        <f t="shared" si="94"/>
        <v>8</v>
      </c>
      <c r="L106" s="10">
        <f t="shared" si="94"/>
        <v>-1376</v>
      </c>
      <c r="M106" s="10">
        <f t="shared" si="94"/>
        <v>6</v>
      </c>
      <c r="N106" s="10">
        <f>IF(I106*J106&gt;=0,J106*$J$19+I106*$J$18,J106)</f>
        <v>-1892</v>
      </c>
      <c r="O106" s="10">
        <f>(K106)*$J$19</f>
        <v>8</v>
      </c>
      <c r="P106" s="14">
        <f>IF(I106*L106&gt;=0,(L106)+I106,L106)</f>
        <v>-1376</v>
      </c>
      <c r="Q106" s="3">
        <f>(M106)</f>
        <v>6</v>
      </c>
      <c r="R106" s="20">
        <f t="shared" si="79"/>
        <v>1000</v>
      </c>
      <c r="S106" s="23"/>
      <c r="T106" s="12">
        <v>40</v>
      </c>
      <c r="U106" s="28"/>
      <c r="V106" s="28"/>
      <c r="W106" s="12">
        <v>25</v>
      </c>
      <c r="X106" s="28"/>
      <c r="Y106" s="28"/>
      <c r="Z106" s="12"/>
      <c r="AA106" s="28"/>
      <c r="AB106" s="28"/>
      <c r="AC106" s="158"/>
      <c r="AD106" s="28"/>
      <c r="AE106" s="28"/>
      <c r="AF106" s="158"/>
      <c r="AG106" s="28"/>
      <c r="AH106" s="28"/>
      <c r="AI106" s="29"/>
      <c r="AJ106" s="6">
        <f>PI()/4*T106^2*$O$12/$AX$16</f>
        <v>8377.5804095727817</v>
      </c>
      <c r="AK106" s="28" t="str">
        <f>IF(W106=0,"","+")</f>
        <v>+</v>
      </c>
      <c r="AL106" s="6">
        <f>PI()/4*W106^2*$O$12/$AX$16</f>
        <v>3272.4923474893681</v>
      </c>
      <c r="AM106" s="28" t="str">
        <f>IF(Z106=0,"","+")</f>
        <v/>
      </c>
      <c r="AN106" s="6">
        <f>PI()/4*Z106^2*$O$12/$AX$16</f>
        <v>0</v>
      </c>
      <c r="AO106" s="28" t="str">
        <f>IF(AC106=0,"","+")</f>
        <v/>
      </c>
      <c r="AP106" s="6">
        <f>PI()/4*AC106^2*$O$12/$AX$16</f>
        <v>0</v>
      </c>
      <c r="AQ106" s="28" t="str">
        <f>IF(AF106=0,"","+")</f>
        <v/>
      </c>
      <c r="AR106" s="6">
        <f>PI()/4*AF106^2*$O$12/$AX$16</f>
        <v>0</v>
      </c>
      <c r="AS106" s="28" t="str">
        <f>IF(AI106=0,"","+")</f>
        <v/>
      </c>
      <c r="AT106" s="6">
        <f>PI()/4*AI106^2*$O$12/$AX$16</f>
        <v>0</v>
      </c>
      <c r="AU106" s="28" t="s">
        <v>24</v>
      </c>
      <c r="AV106" s="15">
        <f>VALUE(AJ106)+VALUE(AL106)+VALUE(AN106)+VALUE(AP106)+VALUE(AR106)+VALUE(AT106)</f>
        <v>11650.072757062149</v>
      </c>
      <c r="AW106" s="228">
        <f>MAX(0.3*$AJ$14^(2/3)/$AJ$16*0.26*100,0.13)</f>
        <v>0.15723814702688016</v>
      </c>
      <c r="AX106" s="6">
        <f>AW106/100*$O$12*BK106</f>
        <v>1375.0917637688949</v>
      </c>
      <c r="AY106" s="6"/>
      <c r="AZ106" s="6"/>
      <c r="BA106" s="24" t="str">
        <f>IF(BB106=0,"","+")</f>
        <v/>
      </c>
      <c r="BB106" s="24"/>
      <c r="BC106" s="28" t="s">
        <v>24</v>
      </c>
      <c r="BD106" s="15">
        <f>AX106+AZ106+BB106</f>
        <v>1375.0917637688949</v>
      </c>
      <c r="BE106" s="2">
        <f>(R106-($AX$14+$O$16+T106/2))</f>
        <v>897</v>
      </c>
      <c r="BF106" s="3">
        <f>IF(W106=0,0,(R106-($AX$14+T106/2+$O$16+$BI$16)))</f>
        <v>817</v>
      </c>
      <c r="BG106" s="3">
        <f>IF(Z106=0,0,(R106-($AX$14+T106/2+$BI$16+$O$16+$BI$17)))</f>
        <v>0</v>
      </c>
      <c r="BH106" s="3">
        <f>IF(AC106=0,0,(R106-($AX$14+T106/2+$O$16+$BI$16+$BI$17+$BI$18)))</f>
        <v>0</v>
      </c>
      <c r="BI106" s="3">
        <f>IF(AF106=0,0,(R106-($AX$14+T106/2+$O$16+$BI$16+$BI$17+$BI$18+$BL$16)))</f>
        <v>0</v>
      </c>
      <c r="BJ106" s="3">
        <f>IF(AI106=0,0,(R106-($AX$14+T106/2+$O$16+$BI$16+$BI$17+$BI$18+$BL$16+$BL$17)))</f>
        <v>0</v>
      </c>
      <c r="BK106" s="6">
        <f>(BE106*AJ106+BF106*AL106+BG106*AN106+BH106*AP106+BI106*AR106+BJ106*AT106)/AV106</f>
        <v>874.52808988764048</v>
      </c>
      <c r="BL106" s="175">
        <f>ABS(N106)*1000000/$O$12/BK106^2</f>
        <v>2.4738513778525211</v>
      </c>
      <c r="BM106" s="175">
        <f>BL106/$AJ$14</f>
        <v>7.7307855557891283E-2</v>
      </c>
      <c r="BN106" s="21">
        <f>IF(BM106&lt;0.167,0.5+SQRT(0.25-(BM106/1.134)),0.82)</f>
        <v>0.9264121103672136</v>
      </c>
      <c r="BO106" s="15">
        <f>ABS(N106)/(0.87*$AJ$16*BN106*BK106)*10^6</f>
        <v>5368.5115011226408</v>
      </c>
      <c r="BP106" s="22">
        <v>416.4249653243898</v>
      </c>
      <c r="BQ106" s="175">
        <f>IF(Q106=0,2*ABS(P106*10^6)/$O$12/BP106/(BK106-BP106/3),Q106*BP106*1000/($O$12/2*BP106^2-(BE106-BP106)*AJ106*$AJ$18-(BF106-BP106)*AL106*$AJ$18-(BG106-BP106)*AN106*$AJ$18-(BH106-BP106)*AP106*$AJ$18-(BI106-BP106)*AR106*$AJ$18-(BJ106-BP106)*AT106*$AJ$18))</f>
        <v>8.9629426811751358</v>
      </c>
      <c r="BR106" s="3">
        <f>0.5*$O$12*BP106*BQ106 /1000</f>
        <v>1866.1965476064247</v>
      </c>
      <c r="BS106" s="3">
        <f>($BQ106/$BP106)*(BE106-$BP106)*$AJ$18*AJ106/1000</f>
        <v>1403.2878123555299</v>
      </c>
      <c r="BT106" s="3">
        <f>($BQ106/$BP106)*(BF106-$BP106)*$AJ$18*AL106/1000</f>
        <v>456.90873525089506</v>
      </c>
      <c r="BU106" s="3">
        <f>($BQ106/$BP106)*(BG106-$BP106)*$AJ$18*AN106/1000</f>
        <v>0</v>
      </c>
      <c r="BV106" s="3">
        <f>($BQ106/$BP106)*(BH106-$BP106)*$AJ$18*AP106/1000</f>
        <v>0</v>
      </c>
      <c r="BW106" s="3">
        <f>($BQ106/$BP106)*(BI106-$BP106)*$AJ$18*AR106/1000</f>
        <v>0</v>
      </c>
      <c r="BX106" s="3">
        <f>($BQ106/$BP106)*(BJ106-$BP106)*$AJ$18*AT106/1000</f>
        <v>0</v>
      </c>
      <c r="BY106" s="175">
        <f>IF(Q106=0,0,(0.5*$O$12*BP106*BQ106/1000*(R106/2-$BP106/3)+BS106*(BE106-R106/2)+BT106*(BF106-R106/2)+BU106*(BG106-R106/2)+BV106*(BH106-R106/2)+BW106*(BI106-R106/2)+BX106*(BJ106-R106/2))/1000-ABS(P106))</f>
        <v>-6.4922758156171767E-6</v>
      </c>
      <c r="BZ106" s="10"/>
      <c r="CA106" s="176">
        <f>ABS(P106)/(BK106-BP106/3)/AV106*10^6-Q106*(R106/2-BP106/3)/(BK106-BP106/3)/AV106*1000</f>
        <v>160.28498235286779</v>
      </c>
      <c r="CB106" s="177">
        <f>(AV106/($O$12*MIN(2.5*(R106-BK106),(R106-BP106)/3,R106/2)-AV106))</f>
        <v>6.3705135506343158E-2</v>
      </c>
      <c r="CC106" s="177">
        <f>3.4*($O$16+$AX$14)+0.425*0.8*0.5*(T106^2+W106^2+Z106^2+AC106^2+AF106^2+AI106^2)/(T106+W106+Z106+AC106+AF106+AI106)/CB106</f>
        <v>373.5463368844313</v>
      </c>
      <c r="CD106" s="177">
        <f>MAX(0.6*CA106/$AJ$17,(CA106-0.4*0.3*$AJ$14^(2/3)/CB106*(1+$AJ$17/$AJ$15*CB106))/$AJ$17)</f>
        <v>0.60855852177395742</v>
      </c>
      <c r="CE106" s="178">
        <f>CC106*CD106/1000</f>
        <v>0.22732480658846621</v>
      </c>
      <c r="CF106" s="23" t="str">
        <f>IF(AND(AV106&gt;=BD106,AV106&gt;=BO106,CE106&lt;=(+IF(CO106="External",0.25,0.3))),"O.K", "Not O.K")</f>
        <v>O.K</v>
      </c>
      <c r="CG106" s="28"/>
      <c r="CH106" s="179" t="str">
        <f>IF(O106&lt;0.2*$AJ$14*R106*$O$12/1000,"N &lt; 0.2fckAc - OK!","TBA")</f>
        <v>N &lt; 0.2fckAc - OK!</v>
      </c>
      <c r="CI106" s="24"/>
      <c r="CJ106" s="25"/>
      <c r="CK106" s="6">
        <f t="shared" si="80"/>
        <v>103</v>
      </c>
      <c r="CL106" s="8" t="s">
        <v>72</v>
      </c>
      <c r="CM106" s="6">
        <f t="shared" si="81"/>
        <v>203</v>
      </c>
      <c r="CN106" s="26" t="s">
        <v>148</v>
      </c>
      <c r="CO106" s="27" t="s">
        <v>105</v>
      </c>
      <c r="CP106" s="2">
        <v>-1892</v>
      </c>
      <c r="CQ106" s="15">
        <v>8</v>
      </c>
      <c r="CR106" s="3">
        <v>-1376</v>
      </c>
      <c r="CS106" s="15">
        <v>6</v>
      </c>
      <c r="CT106" s="20">
        <v>1000</v>
      </c>
      <c r="CU106" s="2">
        <v>103</v>
      </c>
      <c r="CV106" s="15">
        <v>203</v>
      </c>
      <c r="CW106" s="6"/>
      <c r="CX106" s="278"/>
      <c r="CY106" s="6"/>
      <c r="CZ106" s="6"/>
      <c r="DA106" s="6"/>
      <c r="DB106" s="6"/>
      <c r="DC106" s="6"/>
      <c r="DD106" s="6"/>
      <c r="DE106" s="6"/>
      <c r="DF106" s="6"/>
      <c r="DG106" s="6"/>
      <c r="DH106" s="6"/>
      <c r="DI106" s="6"/>
      <c r="DJ106" s="212"/>
      <c r="DK106" s="13"/>
      <c r="DL106" s="13"/>
      <c r="DM106" s="202"/>
      <c r="DN106" s="206">
        <f>IF(CO106="external",T106,0)</f>
        <v>40</v>
      </c>
      <c r="DO106" s="206">
        <f>IF(CO106="external",W106,0)</f>
        <v>25</v>
      </c>
      <c r="DP106" s="206">
        <f>IF(CO106="external",Z106,0)</f>
        <v>0</v>
      </c>
      <c r="DQ106" s="206">
        <f>IF(CO106="external",AC106,0)</f>
        <v>0</v>
      </c>
      <c r="DR106" s="206">
        <f>IF(CO106="external",AF106,0)</f>
        <v>0</v>
      </c>
      <c r="DS106" s="207">
        <f>IF(CO106="external",AI106,0)</f>
        <v>0</v>
      </c>
      <c r="DT106" s="208"/>
      <c r="DU106" s="207">
        <f>IF(CO106="internal",T106,0)</f>
        <v>0</v>
      </c>
      <c r="DV106" s="207">
        <f>IF(CO106="internal",W106,0)</f>
        <v>0</v>
      </c>
      <c r="DW106" s="207">
        <f>IF(CO106="internal",Z106,0)</f>
        <v>0</v>
      </c>
      <c r="DX106" s="207">
        <f>IF(CO106="internal",AC106,0)</f>
        <v>0</v>
      </c>
      <c r="DY106" s="207">
        <f>IF(CO106="internal",AF106,0)</f>
        <v>0</v>
      </c>
      <c r="DZ106" s="207">
        <f>IF(CO106="internal",AI106,0)</f>
        <v>0</v>
      </c>
    </row>
    <row r="107" spans="1:130" s="7" customFormat="1" x14ac:dyDescent="0.3">
      <c r="B107" s="19">
        <f>+CI107</f>
        <v>0</v>
      </c>
      <c r="C107" s="6">
        <f t="shared" si="92"/>
        <v>0</v>
      </c>
      <c r="D107" s="6">
        <f t="shared" si="92"/>
        <v>113</v>
      </c>
      <c r="E107" s="6" t="str">
        <f t="shared" si="92"/>
        <v>--</v>
      </c>
      <c r="F107" s="6">
        <f>+CM107</f>
        <v>214</v>
      </c>
      <c r="G107" s="174" t="str">
        <f t="shared" si="93"/>
        <v>Max Fx</v>
      </c>
      <c r="H107" s="6" t="str">
        <f t="shared" si="93"/>
        <v>External</v>
      </c>
      <c r="I107" s="156">
        <v>0</v>
      </c>
      <c r="J107" s="10">
        <f t="shared" si="94"/>
        <v>-695</v>
      </c>
      <c r="K107" s="10">
        <f t="shared" si="94"/>
        <v>45</v>
      </c>
      <c r="L107" s="10">
        <f t="shared" si="94"/>
        <v>-605</v>
      </c>
      <c r="M107" s="10">
        <f t="shared" si="94"/>
        <v>37</v>
      </c>
      <c r="N107" s="10">
        <f>IF(I107*J107&gt;=0,J107*$J$19+I107*$J$18,J107)</f>
        <v>-695</v>
      </c>
      <c r="O107" s="10">
        <f>(K107)*$J$19</f>
        <v>45</v>
      </c>
      <c r="P107" s="14">
        <f>IF(I107*L107&gt;=0,(L107)+I107,L107)</f>
        <v>-605</v>
      </c>
      <c r="Q107" s="3">
        <f>(M107)</f>
        <v>37</v>
      </c>
      <c r="R107" s="20">
        <f t="shared" si="79"/>
        <v>1000</v>
      </c>
      <c r="S107" s="23"/>
      <c r="T107" s="12">
        <v>32</v>
      </c>
      <c r="U107" s="28"/>
      <c r="V107" s="28"/>
      <c r="W107" s="12"/>
      <c r="X107" s="28"/>
      <c r="Y107" s="28"/>
      <c r="Z107" s="12"/>
      <c r="AA107" s="28"/>
      <c r="AB107" s="28"/>
      <c r="AC107" s="158"/>
      <c r="AD107" s="28"/>
      <c r="AE107" s="28"/>
      <c r="AF107" s="158"/>
      <c r="AG107" s="28"/>
      <c r="AH107" s="28"/>
      <c r="AI107" s="29"/>
      <c r="AJ107" s="6">
        <f>PI()/4*T107^2*$O$12/$AX$16</f>
        <v>5361.6514621265796</v>
      </c>
      <c r="AK107" s="28" t="str">
        <f>IF(W107=0,"","+")</f>
        <v/>
      </c>
      <c r="AL107" s="6">
        <f>PI()/4*W107^2*$O$12/$AX$16</f>
        <v>0</v>
      </c>
      <c r="AM107" s="28" t="str">
        <f>IF(Z107=0,"","+")</f>
        <v/>
      </c>
      <c r="AN107" s="6">
        <f>PI()/4*Z107^2*$O$12/$AX$16</f>
        <v>0</v>
      </c>
      <c r="AO107" s="28" t="str">
        <f>IF(AC107=0,"","+")</f>
        <v/>
      </c>
      <c r="AP107" s="6">
        <f>PI()/4*AC107^2*$O$12/$AX$16</f>
        <v>0</v>
      </c>
      <c r="AQ107" s="28" t="str">
        <f>IF(AF107=0,"","+")</f>
        <v/>
      </c>
      <c r="AR107" s="6">
        <f>PI()/4*AF107^2*$O$12/$AX$16</f>
        <v>0</v>
      </c>
      <c r="AS107" s="28" t="str">
        <f>IF(AI107=0,"","+")</f>
        <v/>
      </c>
      <c r="AT107" s="6">
        <f>PI()/4*AI107^2*$O$12/$AX$16</f>
        <v>0</v>
      </c>
      <c r="AU107" s="28" t="s">
        <v>24</v>
      </c>
      <c r="AV107" s="15">
        <f>VALUE(AJ107)+VALUE(AL107)+VALUE(AN107)+VALUE(AP107)+VALUE(AR107)+VALUE(AT107)</f>
        <v>5361.6514621265796</v>
      </c>
      <c r="AW107" s="228">
        <f>MAX(0.3*$AJ$14^(2/3)/$AJ$16*0.26*100,0.13)</f>
        <v>0.15723814702688016</v>
      </c>
      <c r="AX107" s="6">
        <f>AW107/100*$O$12*BK107</f>
        <v>1416.7157047121905</v>
      </c>
      <c r="AY107" s="6"/>
      <c r="AZ107" s="6"/>
      <c r="BA107" s="24" t="str">
        <f>IF(BB107=0,"","+")</f>
        <v/>
      </c>
      <c r="BB107" s="24"/>
      <c r="BC107" s="28" t="s">
        <v>24</v>
      </c>
      <c r="BD107" s="15">
        <f>AX107+AZ107+BB107</f>
        <v>1416.7157047121905</v>
      </c>
      <c r="BE107" s="2">
        <f>(R107-($AX$14+$O$16+T107/2))</f>
        <v>901</v>
      </c>
      <c r="BF107" s="3">
        <f>IF(W107=0,0,(R107-($AX$14+T107/2+$O$16+$BI$16)))</f>
        <v>0</v>
      </c>
      <c r="BG107" s="3">
        <f>IF(Z107=0,0,(R107-($AX$14+T107/2+$BI$16+$O$16+$BI$17)))</f>
        <v>0</v>
      </c>
      <c r="BH107" s="3">
        <f>IF(AC107=0,0,(R107-($AX$14+T107/2+$O$16+$BI$16+$BI$17+$BI$18)))</f>
        <v>0</v>
      </c>
      <c r="BI107" s="3">
        <f>IF(AF107=0,0,(R107-($AX$14+T107/2+$O$16+$BI$16+$BI$17+$BI$18+$BL$16)))</f>
        <v>0</v>
      </c>
      <c r="BJ107" s="3">
        <f>IF(AI107=0,0,(R107-($AX$14+T107/2+$O$16+$BI$16+$BI$17+$BI$18+$BL$16+$BL$17)))</f>
        <v>0</v>
      </c>
      <c r="BK107" s="6">
        <f>(BE107*AJ107+BF107*AL107+BG107*AN107+BH107*AP107+BI107*AR107+BJ107*AT107)/AV107</f>
        <v>901.00000000000011</v>
      </c>
      <c r="BL107" s="175">
        <f>ABS(N107)*1000000/$O$12/BK107^2</f>
        <v>0.85612114298947628</v>
      </c>
      <c r="BM107" s="175">
        <f>BL107/$AJ$14</f>
        <v>2.6753785718421134E-2</v>
      </c>
      <c r="BN107" s="21">
        <f>IF(BM107&lt;0.167,0.5+SQRT(0.25-(BM107/1.134)),0.82)</f>
        <v>0.97582307254717615</v>
      </c>
      <c r="BO107" s="15">
        <f>ABS(N107)/(0.87*$AJ$16*BN107*BK107)*10^6</f>
        <v>1817.1872216337249</v>
      </c>
      <c r="BP107" s="22">
        <v>324.2405722776312</v>
      </c>
      <c r="BQ107" s="175">
        <f>IF(Q107=0,2*ABS(P107*10^6)/$O$12/BP107/(BK107-BP107/3),Q107*BP107*1000/($O$12/2*BP107^2-(BE107-BP107)*AJ107*$AJ$18-(BF107-BP107)*AL107*$AJ$18-(BG107-BP107)*AN107*$AJ$18-(BH107-BP107)*AP107*$AJ$18-(BI107-BP107)*AR107*$AJ$18-(BJ107-BP107)*AT107*$AJ$18))</f>
        <v>4.8218183202211442</v>
      </c>
      <c r="BR107" s="3">
        <f>0.5*$O$12*BP107*BQ107 /1000</f>
        <v>781.71456578363518</v>
      </c>
      <c r="BS107" s="3">
        <f>($BQ107/$BP107)*(BE107-$BP107)*$AJ$18*AJ107/1000</f>
        <v>744.71456578363518</v>
      </c>
      <c r="BT107" s="3">
        <f>($BQ107/$BP107)*(BF107-$BP107)*$AJ$18*AL107/1000</f>
        <v>0</v>
      </c>
      <c r="BU107" s="3">
        <f>($BQ107/$BP107)*(BG107-$BP107)*$AJ$18*AN107/1000</f>
        <v>0</v>
      </c>
      <c r="BV107" s="3">
        <f>($BQ107/$BP107)*(BH107-$BP107)*$AJ$18*AP107/1000</f>
        <v>0</v>
      </c>
      <c r="BW107" s="3">
        <f>($BQ107/$BP107)*(BI107-$BP107)*$AJ$18*AR107/1000</f>
        <v>0</v>
      </c>
      <c r="BX107" s="3">
        <f>($BQ107/$BP107)*(BJ107-$BP107)*$AJ$18*AT107/1000</f>
        <v>0</v>
      </c>
      <c r="BY107" s="175">
        <f>IF(Q107=0,0,(0.5*$O$12*BP107*BQ107/1000*(R107/2-$BP107/3)+BS107*(BE107-R107/2)+BT107*(BF107-R107/2)+BU107*(BG107-R107/2)+BV107*(BH107-R107/2)+BW107*(BI107-R107/2)+BX107*(BJ107-R107/2))/1000-ABS(P107))</f>
        <v>-3.5618093306766241E-5</v>
      </c>
      <c r="BZ107" s="10"/>
      <c r="CA107" s="176">
        <f>ABS(P107)/(BK107-BP107/3)/AV107*10^6-Q107*(R107/2-BP107/3)/(BK107-BP107/3)/AV107*1000</f>
        <v>138.8964978354694</v>
      </c>
      <c r="CB107" s="177">
        <f>(AV107/($O$12*MIN(2.5*(R107-BK107),(R107-BP107)/3,R107/2)-AV107))</f>
        <v>2.4383169330530179E-2</v>
      </c>
      <c r="CC107" s="177">
        <f>3.4*($O$16+$AX$14)+0.425*0.8*0.5*(T107^2+W107^2+Z107^2+AC107^2+AF107^2+AI107^2)/(T107+W107+Z107+AC107+AF107+AI107)/CB107</f>
        <v>505.30471318380148</v>
      </c>
      <c r="CD107" s="177">
        <f>MAX(0.6*CA107/$AJ$17,(CA107-0.4*0.3*$AJ$14^(2/3)/CB107*(1+$AJ$17/$AJ$15*CB107))/$AJ$17)</f>
        <v>0.41668949350640822</v>
      </c>
      <c r="CE107" s="178">
        <f>CC107*CD107/1000</f>
        <v>0.21055516500295912</v>
      </c>
      <c r="CF107" s="23" t="str">
        <f>IF(AND(AV107&gt;=BD107,AV107&gt;=BO107,CE107&lt;=(+IF(CO107="External",0.25,0.3))),"O.K", "Not O.K")</f>
        <v>O.K</v>
      </c>
      <c r="CG107" s="28"/>
      <c r="CH107" s="179" t="str">
        <f>IF(O107&lt;0.2*$AJ$14*R107*$O$12/1000,"N &lt; 0.2fckAc - OK!","TBA")</f>
        <v>N &lt; 0.2fckAc - OK!</v>
      </c>
      <c r="CI107" s="24"/>
      <c r="CJ107" s="25"/>
      <c r="CK107" s="6">
        <f t="shared" si="80"/>
        <v>113</v>
      </c>
      <c r="CL107" s="8" t="s">
        <v>72</v>
      </c>
      <c r="CM107" s="6">
        <f t="shared" si="81"/>
        <v>214</v>
      </c>
      <c r="CN107" s="26" t="s">
        <v>145</v>
      </c>
      <c r="CO107" s="27" t="s">
        <v>105</v>
      </c>
      <c r="CP107" s="2">
        <v>-695</v>
      </c>
      <c r="CQ107" s="15">
        <v>45</v>
      </c>
      <c r="CR107" s="3">
        <v>-605</v>
      </c>
      <c r="CS107" s="15">
        <v>37</v>
      </c>
      <c r="CT107" s="20">
        <v>1000</v>
      </c>
      <c r="CU107" s="2">
        <v>113</v>
      </c>
      <c r="CV107" s="15">
        <v>214</v>
      </c>
      <c r="CW107" s="6"/>
      <c r="CX107" s="278"/>
      <c r="CY107" s="6"/>
      <c r="CZ107" s="6"/>
      <c r="DA107" s="6"/>
      <c r="DB107" s="6"/>
      <c r="DC107" s="6"/>
      <c r="DD107" s="6"/>
      <c r="DE107" s="6"/>
      <c r="DF107" s="6"/>
      <c r="DG107" s="6"/>
      <c r="DH107" s="6"/>
      <c r="DI107" s="6"/>
      <c r="DJ107" s="212"/>
      <c r="DK107" s="13"/>
      <c r="DL107" s="13"/>
      <c r="DM107" s="202"/>
      <c r="DN107" s="206">
        <f>IF(CO107="external",T107,0)</f>
        <v>32</v>
      </c>
      <c r="DO107" s="206">
        <f>IF(CO107="external",W107,0)</f>
        <v>0</v>
      </c>
      <c r="DP107" s="206">
        <f>IF(CO107="external",Z107,0)</f>
        <v>0</v>
      </c>
      <c r="DQ107" s="206">
        <f>IF(CO107="external",AC107,0)</f>
        <v>0</v>
      </c>
      <c r="DR107" s="206">
        <f>IF(CO107="external",AF107,0)</f>
        <v>0</v>
      </c>
      <c r="DS107" s="207">
        <f>IF(CO107="external",AI107,0)</f>
        <v>0</v>
      </c>
      <c r="DT107" s="208"/>
      <c r="DU107" s="207">
        <f>IF(CO107="internal",T107,0)</f>
        <v>0</v>
      </c>
      <c r="DV107" s="207">
        <f>IF(CO107="internal",W107,0)</f>
        <v>0</v>
      </c>
      <c r="DW107" s="207">
        <f>IF(CO107="internal",Z107,0)</f>
        <v>0</v>
      </c>
      <c r="DX107" s="207">
        <f>IF(CO107="internal",AC107,0)</f>
        <v>0</v>
      </c>
      <c r="DY107" s="207">
        <f>IF(CO107="internal",AF107,0)</f>
        <v>0</v>
      </c>
      <c r="DZ107" s="207">
        <f>IF(CO107="internal",AI107,0)</f>
        <v>0</v>
      </c>
    </row>
    <row r="108" spans="1:130" s="7" customFormat="1" x14ac:dyDescent="0.3">
      <c r="B108" s="19">
        <f>+CI108</f>
        <v>0</v>
      </c>
      <c r="C108" s="6">
        <f t="shared" si="92"/>
        <v>0</v>
      </c>
      <c r="D108" s="6">
        <f t="shared" si="92"/>
        <v>111</v>
      </c>
      <c r="E108" s="6" t="str">
        <f t="shared" si="92"/>
        <v>--</v>
      </c>
      <c r="F108" s="6">
        <f>+CM108</f>
        <v>205</v>
      </c>
      <c r="G108" s="174" t="str">
        <f t="shared" si="93"/>
        <v>Min Fx</v>
      </c>
      <c r="H108" s="6" t="str">
        <f t="shared" si="93"/>
        <v>External</v>
      </c>
      <c r="I108" s="156">
        <v>0</v>
      </c>
      <c r="J108" s="10">
        <f t="shared" si="94"/>
        <v>-798</v>
      </c>
      <c r="K108" s="10">
        <f t="shared" si="94"/>
        <v>0</v>
      </c>
      <c r="L108" s="10">
        <f t="shared" si="94"/>
        <v>-278</v>
      </c>
      <c r="M108" s="10">
        <f t="shared" si="94"/>
        <v>1</v>
      </c>
      <c r="N108" s="10">
        <f>IF(I108*J108&gt;=0,J108*$J$19+I108*$J$18,J108)</f>
        <v>-798</v>
      </c>
      <c r="O108" s="10">
        <f>(K108)*$J$19</f>
        <v>0</v>
      </c>
      <c r="P108" s="14">
        <f>IF(I108*L108&gt;=0,(L108)+I108,L108)</f>
        <v>-278</v>
      </c>
      <c r="Q108" s="3">
        <f>(M108)</f>
        <v>1</v>
      </c>
      <c r="R108" s="20">
        <f t="shared" si="79"/>
        <v>1000</v>
      </c>
      <c r="S108" s="23"/>
      <c r="T108" s="12">
        <v>25</v>
      </c>
      <c r="U108" s="28"/>
      <c r="V108" s="28"/>
      <c r="W108" s="12"/>
      <c r="X108" s="28"/>
      <c r="Y108" s="28"/>
      <c r="Z108" s="12"/>
      <c r="AA108" s="28"/>
      <c r="AB108" s="28"/>
      <c r="AC108" s="158"/>
      <c r="AD108" s="28"/>
      <c r="AE108" s="28"/>
      <c r="AF108" s="158"/>
      <c r="AG108" s="28"/>
      <c r="AH108" s="28"/>
      <c r="AI108" s="29"/>
      <c r="AJ108" s="6">
        <f>PI()/4*T108^2*$O$12/$AX$16</f>
        <v>3272.4923474893681</v>
      </c>
      <c r="AK108" s="28" t="str">
        <f>IF(W108=0,"","+")</f>
        <v/>
      </c>
      <c r="AL108" s="6">
        <f>PI()/4*W108^2*$O$12/$AX$16</f>
        <v>0</v>
      </c>
      <c r="AM108" s="28" t="str">
        <f>IF(Z108=0,"","+")</f>
        <v/>
      </c>
      <c r="AN108" s="6">
        <f>PI()/4*Z108^2*$O$12/$AX$16</f>
        <v>0</v>
      </c>
      <c r="AO108" s="28" t="str">
        <f>IF(AC108=0,"","+")</f>
        <v/>
      </c>
      <c r="AP108" s="6">
        <f>PI()/4*AC108^2*$O$12/$AX$16</f>
        <v>0</v>
      </c>
      <c r="AQ108" s="28" t="str">
        <f>IF(AF108=0,"","+")</f>
        <v/>
      </c>
      <c r="AR108" s="6">
        <f>PI()/4*AF108^2*$O$12/$AX$16</f>
        <v>0</v>
      </c>
      <c r="AS108" s="28" t="str">
        <f>IF(AI108=0,"","+")</f>
        <v/>
      </c>
      <c r="AT108" s="6">
        <f>PI()/4*AI108^2*$O$12/$AX$16</f>
        <v>0</v>
      </c>
      <c r="AU108" s="28" t="s">
        <v>24</v>
      </c>
      <c r="AV108" s="15">
        <f>VALUE(AJ108)+VALUE(AL108)+VALUE(AN108)+VALUE(AP108)+VALUE(AR108)+VALUE(AT108)</f>
        <v>3272.4923474893681</v>
      </c>
      <c r="AW108" s="228">
        <f>MAX(0.3*$AJ$14^(2/3)/$AJ$16*0.26*100,0.13)</f>
        <v>0.15723814702688016</v>
      </c>
      <c r="AX108" s="6">
        <f>AW108/100*$O$12*BK108</f>
        <v>1422.2190398581311</v>
      </c>
      <c r="AY108" s="6"/>
      <c r="AZ108" s="6"/>
      <c r="BA108" s="24" t="str">
        <f>IF(BB108=0,"","+")</f>
        <v/>
      </c>
      <c r="BB108" s="24"/>
      <c r="BC108" s="28" t="s">
        <v>24</v>
      </c>
      <c r="BD108" s="15">
        <f>AX108+AZ108+BB108</f>
        <v>1422.2190398581311</v>
      </c>
      <c r="BE108" s="2">
        <f>(R108-($AX$14+$O$16+T108/2))</f>
        <v>904.5</v>
      </c>
      <c r="BF108" s="3">
        <f>IF(W108=0,0,(R108-($AX$14+T108/2+$O$16+$BI$16)))</f>
        <v>0</v>
      </c>
      <c r="BG108" s="3">
        <f>IF(Z108=0,0,(R108-($AX$14+T108/2+$BI$16+$O$16+$BI$17)))</f>
        <v>0</v>
      </c>
      <c r="BH108" s="3">
        <f>IF(AC108=0,0,(R108-($AX$14+T108/2+$O$16+$BI$16+$BI$17+$BI$18)))</f>
        <v>0</v>
      </c>
      <c r="BI108" s="3">
        <f>IF(AF108=0,0,(R108-($AX$14+T108/2+$O$16+$BI$16+$BI$17+$BI$18+$BL$16)))</f>
        <v>0</v>
      </c>
      <c r="BJ108" s="3">
        <f>IF(AI108=0,0,(R108-($AX$14+T108/2+$O$16+$BI$16+$BI$17+$BI$18+$BL$16+$BL$17)))</f>
        <v>0</v>
      </c>
      <c r="BK108" s="6">
        <f>(BE108*AJ108+BF108*AL108+BG108*AN108+BH108*AP108+BI108*AR108+BJ108*AT108)/AV108</f>
        <v>904.5</v>
      </c>
      <c r="BL108" s="175">
        <f>ABS(N108)*1000000/$O$12/BK108^2</f>
        <v>0.97540673268996825</v>
      </c>
      <c r="BM108" s="175">
        <f>BL108/$AJ$14</f>
        <v>3.0481460396561508E-2</v>
      </c>
      <c r="BN108" s="21">
        <f>IF(BM108&lt;0.167,0.5+SQRT(0.25-(BM108/1.134)),0.82)</f>
        <v>0.97235622711470371</v>
      </c>
      <c r="BO108" s="15">
        <f>ABS(N108)/(0.87*$AJ$16*BN108*BK108)*10^6</f>
        <v>2085.8336205805717</v>
      </c>
      <c r="BP108" s="22">
        <v>261.45151569955755</v>
      </c>
      <c r="BQ108" s="175">
        <f>IF(Q108=0,2*ABS(P108*10^6)/$O$12/BP108/(BK108-BP108/3),Q108*BP108*1000/($O$12/2*BP108^2-(BE108-BP108)*AJ108*$AJ$18-(BF108-BP108)*AL108*$AJ$18-(BG108-BP108)*AN108*$AJ$18-(BH108-BP108)*AP108*$AJ$18-(BI108-BP108)*AR108*$AJ$18-(BJ108-BP108)*AT108*$AJ$18))</f>
        <v>2.6055972502287945</v>
      </c>
      <c r="BR108" s="3">
        <f>0.5*$O$12*BP108*BQ108 /1000</f>
        <v>340.61867518745879</v>
      </c>
      <c r="BS108" s="3">
        <f>($BQ108/$BP108)*(BE108-$BP108)*$AJ$18*AJ108/1000</f>
        <v>339.61867518745885</v>
      </c>
      <c r="BT108" s="3">
        <f>($BQ108/$BP108)*(BF108-$BP108)*$AJ$18*AL108/1000</f>
        <v>0</v>
      </c>
      <c r="BU108" s="3">
        <f>($BQ108/$BP108)*(BG108-$BP108)*$AJ$18*AN108/1000</f>
        <v>0</v>
      </c>
      <c r="BV108" s="3">
        <f>($BQ108/$BP108)*(BH108-$BP108)*$AJ$18*AP108/1000</f>
        <v>0</v>
      </c>
      <c r="BW108" s="3">
        <f>($BQ108/$BP108)*(BI108-$BP108)*$AJ$18*AR108/1000</f>
        <v>0</v>
      </c>
      <c r="BX108" s="3">
        <f>($BQ108/$BP108)*(BJ108-$BP108)*$AJ$18*AT108/1000</f>
        <v>0</v>
      </c>
      <c r="BY108" s="175">
        <f>IF(Q108=0,0,(0.5*$O$12*BP108*BQ108/1000*(R108/2-$BP108/3)+BS108*(BE108-R108/2)+BT108*(BF108-R108/2)+BU108*(BG108-R108/2)+BV108*(BH108-R108/2)+BW108*(BI108-R108/2)+BX108*(BJ108-R108/2))/1000-ABS(P108))</f>
        <v>2.0726109823954175E-6</v>
      </c>
      <c r="BZ108" s="10"/>
      <c r="CA108" s="176">
        <f>ABS(P108)/(BK108-BP108/3)/AV108*10^6-Q108*(R108/2-BP108/3)/(BK108-BP108/3)/AV108*1000</f>
        <v>103.7798217961429</v>
      </c>
      <c r="CB108" s="177">
        <f>(AV108/($O$12*MIN(2.5*(R108-BK108),(R108-BP108)/3,R108/2)-AV108))</f>
        <v>1.3897260847174069E-2</v>
      </c>
      <c r="CC108" s="177">
        <f>3.4*($O$16+$AX$14)+0.425*0.8*0.5*(T108^2+W108^2+Z108^2+AC108^2+AF108^2+AI108^2)/(T108+W108+Z108+AC108+AF108+AI108)/CB108</f>
        <v>588.01566013163051</v>
      </c>
      <c r="CD108" s="177">
        <f>MAX(0.6*CA108/$AJ$17,(CA108-0.4*0.3*$AJ$14^(2/3)/CB108*(1+$AJ$17/$AJ$15*CB108))/$AJ$17)</f>
        <v>0.31133946538842866</v>
      </c>
      <c r="CE108" s="178">
        <f>CC108*CD108/1000</f>
        <v>0.18307248126540579</v>
      </c>
      <c r="CF108" s="23" t="str">
        <f>IF(AND(AV108&gt;=BD108,AV108&gt;=BO108,CE108&lt;=(+IF(CO108="External",0.25,0.3))),"O.K", "Not O.K")</f>
        <v>O.K</v>
      </c>
      <c r="CG108" s="28"/>
      <c r="CH108" s="179" t="str">
        <f>IF(O108&lt;0.2*$AJ$14*R108*$O$12/1000,"N &lt; 0.2fckAc - OK!","TBA")</f>
        <v>N &lt; 0.2fckAc - OK!</v>
      </c>
      <c r="CI108" s="24"/>
      <c r="CJ108" s="25"/>
      <c r="CK108" s="6">
        <f t="shared" si="80"/>
        <v>111</v>
      </c>
      <c r="CL108" s="8" t="s">
        <v>72</v>
      </c>
      <c r="CM108" s="6">
        <f t="shared" si="81"/>
        <v>205</v>
      </c>
      <c r="CN108" s="26" t="s">
        <v>146</v>
      </c>
      <c r="CO108" s="27" t="s">
        <v>105</v>
      </c>
      <c r="CP108" s="2">
        <v>-798</v>
      </c>
      <c r="CQ108" s="15">
        <v>0</v>
      </c>
      <c r="CR108" s="3">
        <v>-278</v>
      </c>
      <c r="CS108" s="15">
        <v>1</v>
      </c>
      <c r="CT108" s="20">
        <v>1000</v>
      </c>
      <c r="CU108" s="2">
        <v>111</v>
      </c>
      <c r="CV108" s="15">
        <v>205</v>
      </c>
      <c r="CW108" s="6"/>
      <c r="CX108" s="278"/>
      <c r="CY108" s="6"/>
      <c r="CZ108" s="6"/>
      <c r="DA108" s="6"/>
      <c r="DB108" s="6"/>
      <c r="DC108" s="6"/>
      <c r="DD108" s="6"/>
      <c r="DE108" s="6"/>
      <c r="DF108" s="6"/>
      <c r="DG108" s="6"/>
      <c r="DH108" s="6"/>
      <c r="DI108" s="6"/>
      <c r="DJ108" s="212"/>
      <c r="DK108" s="13"/>
      <c r="DL108" s="13"/>
      <c r="DM108" s="202"/>
      <c r="DN108" s="206">
        <f>IF(CO108="external",T108,0)</f>
        <v>25</v>
      </c>
      <c r="DO108" s="206">
        <f>IF(CO108="external",W108,0)</f>
        <v>0</v>
      </c>
      <c r="DP108" s="206">
        <f>IF(CO108="external",Z108,0)</f>
        <v>0</v>
      </c>
      <c r="DQ108" s="206">
        <f>IF(CO108="external",AC108,0)</f>
        <v>0</v>
      </c>
      <c r="DR108" s="206">
        <f>IF(CO108="external",AF108,0)</f>
        <v>0</v>
      </c>
      <c r="DS108" s="207">
        <f>IF(CO108="external",AI108,0)</f>
        <v>0</v>
      </c>
      <c r="DT108" s="208"/>
      <c r="DU108" s="207">
        <f>IF(CO108="internal",T108,0)</f>
        <v>0</v>
      </c>
      <c r="DV108" s="207">
        <f>IF(CO108="internal",W108,0)</f>
        <v>0</v>
      </c>
      <c r="DW108" s="207">
        <f>IF(CO108="internal",Z108,0)</f>
        <v>0</v>
      </c>
      <c r="DX108" s="207">
        <f>IF(CO108="internal",AC108,0)</f>
        <v>0</v>
      </c>
      <c r="DY108" s="207">
        <f>IF(CO108="internal",AF108,0)</f>
        <v>0</v>
      </c>
      <c r="DZ108" s="207">
        <f>IF(CO108="internal",AI108,0)</f>
        <v>0</v>
      </c>
    </row>
    <row r="109" spans="1:130" s="7" customFormat="1" x14ac:dyDescent="0.3">
      <c r="B109" s="298"/>
      <c r="C109" s="6"/>
      <c r="D109" s="6"/>
      <c r="E109" s="6"/>
      <c r="F109" s="6"/>
      <c r="G109" s="232"/>
      <c r="H109" s="6"/>
      <c r="I109" s="24"/>
      <c r="J109" s="6"/>
      <c r="K109" s="6"/>
      <c r="L109" s="6"/>
      <c r="M109" s="6"/>
      <c r="N109" s="6"/>
      <c r="O109" s="6"/>
      <c r="P109" s="24"/>
      <c r="Q109" s="6"/>
      <c r="R109" s="6">
        <f t="shared" si="79"/>
        <v>0</v>
      </c>
      <c r="S109" s="28"/>
      <c r="T109" s="12"/>
      <c r="U109" s="28"/>
      <c r="V109" s="28"/>
      <c r="W109" s="12"/>
      <c r="X109" s="28"/>
      <c r="Y109" s="28"/>
      <c r="Z109" s="12"/>
      <c r="AA109" s="28"/>
      <c r="AB109" s="28"/>
      <c r="AC109" s="158"/>
      <c r="AD109" s="28"/>
      <c r="AE109" s="28"/>
      <c r="AF109" s="158"/>
      <c r="AG109" s="28"/>
      <c r="AH109" s="28"/>
      <c r="AI109" s="12"/>
      <c r="AJ109" s="6"/>
      <c r="AK109" s="28"/>
      <c r="AL109" s="6"/>
      <c r="AM109" s="28"/>
      <c r="AN109" s="6"/>
      <c r="AO109" s="28"/>
      <c r="AP109" s="6"/>
      <c r="AQ109" s="28"/>
      <c r="AR109" s="6"/>
      <c r="AS109" s="28"/>
      <c r="AT109" s="6"/>
      <c r="AU109" s="28"/>
      <c r="AV109" s="6"/>
      <c r="AW109" s="233"/>
      <c r="AX109" s="6"/>
      <c r="AY109" s="6"/>
      <c r="AZ109" s="6"/>
      <c r="BA109" s="24"/>
      <c r="BB109" s="24"/>
      <c r="BC109" s="28"/>
      <c r="BD109" s="6"/>
      <c r="BE109" s="6"/>
      <c r="BF109" s="6"/>
      <c r="BG109" s="6"/>
      <c r="BH109" s="6"/>
      <c r="BI109" s="6"/>
      <c r="BJ109" s="6"/>
      <c r="BK109" s="6"/>
      <c r="BL109" s="231"/>
      <c r="BM109" s="231"/>
      <c r="BN109" s="231"/>
      <c r="BO109" s="6"/>
      <c r="BP109" s="234"/>
      <c r="BQ109" s="231"/>
      <c r="BR109" s="6"/>
      <c r="BS109" s="6"/>
      <c r="BT109" s="6"/>
      <c r="BU109" s="6"/>
      <c r="BV109" s="6"/>
      <c r="BW109" s="6"/>
      <c r="BX109" s="6"/>
      <c r="BY109" s="231"/>
      <c r="BZ109" s="6"/>
      <c r="CA109" s="234"/>
      <c r="CB109" s="235"/>
      <c r="CC109" s="235"/>
      <c r="CD109" s="235"/>
      <c r="CE109" s="235"/>
      <c r="CF109" s="28"/>
      <c r="CG109" s="28"/>
      <c r="CH109" s="173"/>
      <c r="CI109" s="24"/>
      <c r="CJ109" s="25"/>
      <c r="CK109" s="6">
        <f>CU109</f>
        <v>0</v>
      </c>
      <c r="CL109" s="8" t="s">
        <v>72</v>
      </c>
      <c r="CM109" s="6">
        <f>CV109</f>
        <v>0</v>
      </c>
      <c r="CN109" s="236"/>
      <c r="CO109" s="24"/>
      <c r="CP109" s="6"/>
      <c r="CQ109" s="6"/>
      <c r="CR109" s="6"/>
      <c r="CS109" s="6"/>
      <c r="CT109" s="6"/>
      <c r="CU109" s="6"/>
      <c r="CV109" s="6"/>
      <c r="CW109" s="6"/>
      <c r="CX109" s="278"/>
      <c r="CY109" s="6"/>
      <c r="CZ109" s="6"/>
      <c r="DA109" s="6"/>
      <c r="DB109" s="6"/>
      <c r="DC109" s="6"/>
      <c r="DD109" s="6"/>
      <c r="DE109" s="6"/>
      <c r="DF109" s="6"/>
      <c r="DG109" s="6"/>
      <c r="DH109" s="6"/>
      <c r="DI109" s="6"/>
      <c r="DJ109" s="212"/>
      <c r="DK109" s="13"/>
      <c r="DL109" s="13"/>
      <c r="DM109" s="202"/>
      <c r="DN109" s="206"/>
      <c r="DO109" s="206"/>
      <c r="DP109" s="206"/>
      <c r="DQ109" s="206"/>
      <c r="DR109" s="206"/>
      <c r="DS109" s="207"/>
      <c r="DT109" s="208"/>
      <c r="DU109" s="207"/>
      <c r="DV109" s="207"/>
      <c r="DW109" s="207"/>
      <c r="DX109" s="207"/>
      <c r="DY109" s="207"/>
      <c r="DZ109" s="207"/>
    </row>
    <row r="110" spans="1:130" s="7" customFormat="1" ht="13.8" x14ac:dyDescent="0.25">
      <c r="A110" s="7" t="s">
        <v>141</v>
      </c>
      <c r="B110" s="19">
        <f>+CI110</f>
        <v>95</v>
      </c>
      <c r="C110" s="6">
        <f t="shared" ref="C110:E113" si="97">CJ110</f>
        <v>0</v>
      </c>
      <c r="D110" s="6">
        <f t="shared" si="97"/>
        <v>104</v>
      </c>
      <c r="E110" s="6" t="str">
        <f t="shared" si="97"/>
        <v>--</v>
      </c>
      <c r="F110" s="6">
        <f>+CM110</f>
        <v>203</v>
      </c>
      <c r="G110" s="174" t="str">
        <f t="shared" ref="G110:H113" si="98">CN110</f>
        <v>Max Mz</v>
      </c>
      <c r="H110" s="6" t="str">
        <f t="shared" si="98"/>
        <v>Internal</v>
      </c>
      <c r="I110" s="156">
        <v>0</v>
      </c>
      <c r="J110" s="10">
        <f t="shared" ref="J110:M113" si="99">(CP110)</f>
        <v>151</v>
      </c>
      <c r="K110" s="10">
        <f t="shared" si="99"/>
        <v>5</v>
      </c>
      <c r="L110" s="10">
        <f t="shared" si="99"/>
        <v>77</v>
      </c>
      <c r="M110" s="10">
        <f t="shared" si="99"/>
        <v>6</v>
      </c>
      <c r="N110" s="10">
        <f>IF(I110*J110&gt;=0,J110*$J$19+I110*$J$18,J110)</f>
        <v>151</v>
      </c>
      <c r="O110" s="10">
        <f>(K110)*$J$19</f>
        <v>5</v>
      </c>
      <c r="P110" s="14">
        <f>IF(I110*L110&gt;=0,(L110)+I110,L110)</f>
        <v>77</v>
      </c>
      <c r="Q110" s="3">
        <f>(M110)</f>
        <v>6</v>
      </c>
      <c r="R110" s="20">
        <f t="shared" si="79"/>
        <v>1000</v>
      </c>
      <c r="S110" s="23"/>
      <c r="T110" s="12">
        <v>20</v>
      </c>
      <c r="U110" s="28"/>
      <c r="V110" s="28"/>
      <c r="W110" s="12"/>
      <c r="X110" s="28"/>
      <c r="Y110" s="28"/>
      <c r="Z110" s="12"/>
      <c r="AA110" s="28"/>
      <c r="AB110" s="28"/>
      <c r="AC110" s="158"/>
      <c r="AD110" s="28"/>
      <c r="AE110" s="28"/>
      <c r="AF110" s="158"/>
      <c r="AG110" s="28"/>
      <c r="AH110" s="28"/>
      <c r="AI110" s="29"/>
      <c r="AJ110" s="6">
        <f>PI()/4*T110^2*$O$12/$AX$16</f>
        <v>2094.3951023931954</v>
      </c>
      <c r="AK110" s="28" t="str">
        <f>IF(W110=0,"","+")</f>
        <v/>
      </c>
      <c r="AL110" s="6">
        <f>PI()/4*W110^2*$O$12/$AX$16</f>
        <v>0</v>
      </c>
      <c r="AM110" s="28" t="str">
        <f>IF(Z110=0,"","+")</f>
        <v/>
      </c>
      <c r="AN110" s="6">
        <f>PI()/4*Z110^2*$O$12/$AX$16</f>
        <v>0</v>
      </c>
      <c r="AO110" s="28" t="str">
        <f>IF(AC110=0,"","+")</f>
        <v/>
      </c>
      <c r="AP110" s="6">
        <f>PI()/4*AC110^2*$O$12/$AX$16</f>
        <v>0</v>
      </c>
      <c r="AQ110" s="28" t="str">
        <f>IF(AF110=0,"","+")</f>
        <v/>
      </c>
      <c r="AR110" s="6">
        <f>PI()/4*AF110^2*$O$12/$AX$16</f>
        <v>0</v>
      </c>
      <c r="AS110" s="28" t="str">
        <f>IF(AI110=0,"","+")</f>
        <v/>
      </c>
      <c r="AT110" s="6">
        <f>PI()/4*AI110^2*$O$12/$AX$16</f>
        <v>0</v>
      </c>
      <c r="AU110" s="28" t="s">
        <v>24</v>
      </c>
      <c r="AV110" s="15">
        <f>VALUE(AJ110)+VALUE(AL110)+VALUE(AN110)+VALUE(AP110)+VALUE(AR110)+VALUE(AT110)</f>
        <v>2094.3951023931954</v>
      </c>
      <c r="AW110" s="228">
        <f>MAX(0.3*$AJ$14^(2/3)/$AJ$16*0.26*100,0.13)</f>
        <v>0.15723814702688016</v>
      </c>
      <c r="AX110" s="6">
        <f>AW110/100*$O$12*BK110</f>
        <v>1426.1499935338031</v>
      </c>
      <c r="AY110" s="6"/>
      <c r="AZ110" s="6"/>
      <c r="BA110" s="24" t="str">
        <f>IF(BB110=0,"","+")</f>
        <v/>
      </c>
      <c r="BB110" s="24"/>
      <c r="BC110" s="28" t="s">
        <v>24</v>
      </c>
      <c r="BD110" s="15">
        <f>AX110+AZ110+BB110</f>
        <v>1426.1499935338031</v>
      </c>
      <c r="BE110" s="2">
        <f>(R110-($AX$14+$O$16+T110/2))</f>
        <v>907</v>
      </c>
      <c r="BF110" s="3">
        <f>IF(W110=0,0,(R110-($AX$14+T110/2+$O$16+$BI$16)))</f>
        <v>0</v>
      </c>
      <c r="BG110" s="3">
        <f>IF(Z110=0,0,(R110-($AX$14+T110/2+$BI$16+$O$16+$BI$17)))</f>
        <v>0</v>
      </c>
      <c r="BH110" s="3">
        <f>IF(AC110=0,0,(R110-($AX$14+T110/2+$O$16+$BI$16+$BI$17+$BI$18)))</f>
        <v>0</v>
      </c>
      <c r="BI110" s="3">
        <f>IF(AF110=0,0,(R110-($AX$14+T110/2+$O$16+$BI$16+$BI$17+$BI$18+$BL$16)))</f>
        <v>0</v>
      </c>
      <c r="BJ110" s="3">
        <f>IF(AI110=0,0,(R110-($AX$14+T110/2+$O$16+$BI$16+$BI$17+$BI$18+$BL$16+$BL$17)))</f>
        <v>0</v>
      </c>
      <c r="BK110" s="6">
        <f>(BE110*AJ110+BF110*AL110+BG110*AN110+BH110*AP110+BI110*AR110+BJ110*AT110)/AV110</f>
        <v>907</v>
      </c>
      <c r="BL110" s="175">
        <f>ABS(N110)*1000000/$O$12/BK110^2</f>
        <v>0.18355337452546591</v>
      </c>
      <c r="BM110" s="175">
        <f>BL110/$AJ$14</f>
        <v>5.7360429539208098E-3</v>
      </c>
      <c r="BN110" s="21">
        <f>IF(BM110&lt;0.167,0.5+SQRT(0.25-(BM110/1.134)),0.82)</f>
        <v>0.99491591312420113</v>
      </c>
      <c r="BO110" s="15">
        <f>ABS(N110)/(0.87*$AJ$16*BN110*BK110)*10^6</f>
        <v>384.67505633547171</v>
      </c>
      <c r="BP110" s="22">
        <v>222.58127744550742</v>
      </c>
      <c r="BQ110" s="175">
        <f>IF(Q110=0,2*ABS(P110*10^6)/$O$12/BP110/(BK110-BP110/3),Q110*BP110*1000/($O$12/2*BP110^2-(BE110-BP110)*AJ110*$AJ$18-(BF110-BP110)*AL110*$AJ$18-(BG110-BP110)*AN110*$AJ$18-(BH110-BP110)*AP110*$AJ$18-(BI110-BP110)*AR110*$AJ$18-(BJ110-BP110)*AT110*$AJ$18))</f>
        <v>0.85713164514352769</v>
      </c>
      <c r="BR110" s="3">
        <f>0.5*$O$12*BP110*BQ110 /1000</f>
        <v>95.390728257507874</v>
      </c>
      <c r="BS110" s="3">
        <f>($BQ110/$BP110)*(BE110-$BP110)*$AJ$18*AJ110/1000</f>
        <v>89.390728257507874</v>
      </c>
      <c r="BT110" s="3">
        <f>($BQ110/$BP110)*(BF110-$BP110)*$AJ$18*AL110/1000</f>
        <v>0</v>
      </c>
      <c r="BU110" s="3">
        <f>($BQ110/$BP110)*(BG110-$BP110)*$AJ$18*AN110/1000</f>
        <v>0</v>
      </c>
      <c r="BV110" s="3">
        <f>($BQ110/$BP110)*(BH110-$BP110)*$AJ$18*AP110/1000</f>
        <v>0</v>
      </c>
      <c r="BW110" s="3">
        <f>($BQ110/$BP110)*(BI110-$BP110)*$AJ$18*AR110/1000</f>
        <v>0</v>
      </c>
      <c r="BX110" s="3">
        <f>($BQ110/$BP110)*(BJ110-$BP110)*$AJ$18*AT110/1000</f>
        <v>0</v>
      </c>
      <c r="BY110" s="175">
        <f>IF(Q110=0,0,(0.5*$O$12*BP110*BQ110/1000*(R110/2-$BP110/3)+BS110*(BE110-R110/2)+BT110*(BF110-R110/2)+BU110*(BG110-R110/2)+BV110*(BH110-R110/2)+BW110*(BI110-R110/2)+BX110*(BJ110-R110/2))/1000-ABS(P110))</f>
        <v>-6.1877781405428323E-6</v>
      </c>
      <c r="BZ110" s="10"/>
      <c r="CA110" s="176">
        <f>ABS(P110)/(BK110-BP110/3)/AV110*10^6-Q110*(R110/2-BP110/3)/(BK110-BP110/3)/AV110*1000</f>
        <v>42.68093235387984</v>
      </c>
      <c r="CB110" s="177">
        <f>(AV110/($O$12*MIN(2.5*(R110-BK110),(R110-BP110)/3,R110/2)-AV110))</f>
        <v>9.0900353892170004E-3</v>
      </c>
      <c r="CC110" s="177">
        <f>3.4*($O$16+$AX$14)+0.425*0.8*0.5*(T110^2+W110^2+Z110^2+AC110^2+AF110^2+AI110^2)/(T110+W110+Z110+AC110+AF110+AI110)/CB110</f>
        <v>656.23594754242981</v>
      </c>
      <c r="CD110" s="177">
        <f>MAX(0.6*CA110/$AJ$17,(CA110-0.4*0.3*$AJ$14^(2/3)/CB110*(1+$AJ$17/$AJ$15*CB110))/$AJ$17)</f>
        <v>0.12804279706163951</v>
      </c>
      <c r="CE110" s="178">
        <f>CC110*CD110/1000</f>
        <v>8.4026286255728055E-2</v>
      </c>
      <c r="CF110" s="23" t="str">
        <f>IF(AND(AV110&gt;=BD110,AV110&gt;=BO110,CE110&lt;=(+IF(CO110="External",0.25,0.3))),"O.K", "Not O.K")</f>
        <v>O.K</v>
      </c>
      <c r="CG110" s="28"/>
      <c r="CH110" s="179" t="str">
        <f>IF(O110&lt;0.2*$AJ$14*R110*$O$12/1000,"N &lt; 0.2fckAc - OK!","TBA")</f>
        <v>N &lt; 0.2fckAc - OK!</v>
      </c>
      <c r="CI110" s="24">
        <v>95</v>
      </c>
      <c r="CJ110" s="25"/>
      <c r="CK110" s="6">
        <f>CU110</f>
        <v>104</v>
      </c>
      <c r="CL110" s="8" t="s">
        <v>72</v>
      </c>
      <c r="CM110" s="6">
        <f>CV110</f>
        <v>203</v>
      </c>
      <c r="CN110" s="26" t="s">
        <v>147</v>
      </c>
      <c r="CO110" s="27" t="s">
        <v>106</v>
      </c>
      <c r="CP110" s="2">
        <v>151</v>
      </c>
      <c r="CQ110" s="15">
        <v>5</v>
      </c>
      <c r="CR110" s="3">
        <v>77</v>
      </c>
      <c r="CS110" s="15">
        <v>6</v>
      </c>
      <c r="CT110" s="20">
        <v>1000</v>
      </c>
      <c r="CU110" s="2">
        <v>104</v>
      </c>
      <c r="CV110" s="15">
        <v>203</v>
      </c>
      <c r="CW110" s="6"/>
      <c r="CX110" s="278">
        <f>CI110</f>
        <v>95</v>
      </c>
      <c r="CY110" s="6">
        <f t="shared" ref="CY110:DD110" si="100">MAX(DN110:DN113)</f>
        <v>0</v>
      </c>
      <c r="CZ110" s="6">
        <f t="shared" si="100"/>
        <v>0</v>
      </c>
      <c r="DA110" s="6">
        <f t="shared" si="100"/>
        <v>0</v>
      </c>
      <c r="DB110" s="6">
        <f t="shared" si="100"/>
        <v>0</v>
      </c>
      <c r="DC110" s="6">
        <f t="shared" si="100"/>
        <v>0</v>
      </c>
      <c r="DD110" s="6">
        <f t="shared" si="100"/>
        <v>0</v>
      </c>
      <c r="DE110" s="6"/>
      <c r="DF110" s="6">
        <f t="shared" ref="DF110:DK110" si="101">MAX(DU110:DU113)</f>
        <v>40</v>
      </c>
      <c r="DG110" s="6">
        <f t="shared" si="101"/>
        <v>0</v>
      </c>
      <c r="DH110" s="6">
        <f t="shared" si="101"/>
        <v>0</v>
      </c>
      <c r="DI110" s="6">
        <f t="shared" si="101"/>
        <v>0</v>
      </c>
      <c r="DJ110" s="6">
        <f t="shared" si="101"/>
        <v>0</v>
      </c>
      <c r="DK110" s="6">
        <f t="shared" si="101"/>
        <v>0</v>
      </c>
      <c r="DL110" s="13"/>
      <c r="DM110" s="202">
        <f>CI110</f>
        <v>95</v>
      </c>
      <c r="DN110" s="206">
        <f>IF(CO110="external",T110,0)</f>
        <v>0</v>
      </c>
      <c r="DO110" s="206">
        <f>IF(CO110="external",W110,0)</f>
        <v>0</v>
      </c>
      <c r="DP110" s="206">
        <f>IF(CO110="external",Z110,0)</f>
        <v>0</v>
      </c>
      <c r="DQ110" s="206">
        <f>IF(CO110="external",AC110,0)</f>
        <v>0</v>
      </c>
      <c r="DR110" s="206">
        <f>IF(CO110="external",AF110,0)</f>
        <v>0</v>
      </c>
      <c r="DS110" s="207">
        <f>IF(CO110="external",AI110,0)</f>
        <v>0</v>
      </c>
      <c r="DT110" s="208"/>
      <c r="DU110" s="207">
        <f>IF(CO110="internal",T110,0)</f>
        <v>20</v>
      </c>
      <c r="DV110" s="207">
        <f>IF(CO110="internal",W110,0)</f>
        <v>0</v>
      </c>
      <c r="DW110" s="207">
        <f>IF(CO110="internal",Z110,0)</f>
        <v>0</v>
      </c>
      <c r="DX110" s="207">
        <f>IF(CO110="internal",AC110,0)</f>
        <v>0</v>
      </c>
      <c r="DY110" s="207">
        <f>IF(CO110="internal",AF110,0)</f>
        <v>0</v>
      </c>
      <c r="DZ110" s="207">
        <f>IF(CO110="internal",AI110,0)</f>
        <v>0</v>
      </c>
    </row>
    <row r="111" spans="1:130" s="7" customFormat="1" x14ac:dyDescent="0.3">
      <c r="B111" s="19">
        <f>+CI111</f>
        <v>0</v>
      </c>
      <c r="C111" s="6">
        <f t="shared" si="97"/>
        <v>0</v>
      </c>
      <c r="D111" s="6">
        <f t="shared" si="97"/>
        <v>105</v>
      </c>
      <c r="E111" s="6" t="str">
        <f t="shared" si="97"/>
        <v>--</v>
      </c>
      <c r="F111" s="6">
        <f>+CM111</f>
        <v>213</v>
      </c>
      <c r="G111" s="174" t="str">
        <f t="shared" si="98"/>
        <v>Min Mz</v>
      </c>
      <c r="H111" s="6" t="str">
        <f t="shared" si="98"/>
        <v>Internal</v>
      </c>
      <c r="I111" s="156">
        <v>0</v>
      </c>
      <c r="J111" s="10">
        <f t="shared" si="99"/>
        <v>-1281</v>
      </c>
      <c r="K111" s="10">
        <f t="shared" si="99"/>
        <v>2</v>
      </c>
      <c r="L111" s="10">
        <f t="shared" si="99"/>
        <v>-1007</v>
      </c>
      <c r="M111" s="10">
        <f t="shared" si="99"/>
        <v>37</v>
      </c>
      <c r="N111" s="10">
        <f>IF(I111*J111&gt;=0,J111*$J$19+I111*$J$18,J111)</f>
        <v>-1281</v>
      </c>
      <c r="O111" s="10">
        <f>(K111)*$J$19</f>
        <v>2</v>
      </c>
      <c r="P111" s="14">
        <f>IF(I111*L111&gt;=0,(L111)+I111,L111)</f>
        <v>-1007</v>
      </c>
      <c r="Q111" s="3">
        <f>(M111)</f>
        <v>37</v>
      </c>
      <c r="R111" s="20">
        <f t="shared" si="79"/>
        <v>1000</v>
      </c>
      <c r="S111" s="23"/>
      <c r="T111" s="12">
        <v>40</v>
      </c>
      <c r="U111" s="28"/>
      <c r="V111" s="28"/>
      <c r="W111" s="12"/>
      <c r="X111" s="28"/>
      <c r="Y111" s="28"/>
      <c r="Z111" s="12"/>
      <c r="AA111" s="28"/>
      <c r="AB111" s="28"/>
      <c r="AC111" s="158"/>
      <c r="AD111" s="28"/>
      <c r="AE111" s="28"/>
      <c r="AF111" s="158"/>
      <c r="AG111" s="28"/>
      <c r="AH111" s="28"/>
      <c r="AI111" s="29"/>
      <c r="AJ111" s="6">
        <f>PI()/4*T111^2*$O$12/$AX$16</f>
        <v>8377.5804095727817</v>
      </c>
      <c r="AK111" s="28" t="str">
        <f>IF(W111=0,"","+")</f>
        <v/>
      </c>
      <c r="AL111" s="6">
        <f>PI()/4*W111^2*$O$12/$AX$16</f>
        <v>0</v>
      </c>
      <c r="AM111" s="28" t="str">
        <f>IF(Z111=0,"","+")</f>
        <v/>
      </c>
      <c r="AN111" s="6">
        <f>PI()/4*Z111^2*$O$12/$AX$16</f>
        <v>0</v>
      </c>
      <c r="AO111" s="28" t="str">
        <f>IF(AC111=0,"","+")</f>
        <v/>
      </c>
      <c r="AP111" s="6">
        <f>PI()/4*AC111^2*$O$12/$AX$16</f>
        <v>0</v>
      </c>
      <c r="AQ111" s="28" t="str">
        <f>IF(AF111=0,"","+")</f>
        <v/>
      </c>
      <c r="AR111" s="6">
        <f>PI()/4*AF111^2*$O$12/$AX$16</f>
        <v>0</v>
      </c>
      <c r="AS111" s="28" t="str">
        <f>IF(AI111=0,"","+")</f>
        <v/>
      </c>
      <c r="AT111" s="6">
        <f>PI()/4*AI111^2*$O$12/$AX$16</f>
        <v>0</v>
      </c>
      <c r="AU111" s="28" t="s">
        <v>24</v>
      </c>
      <c r="AV111" s="15">
        <f>VALUE(AJ111)+VALUE(AL111)+VALUE(AN111)+VALUE(AP111)+VALUE(AR111)+VALUE(AT111)</f>
        <v>8377.5804095727817</v>
      </c>
      <c r="AW111" s="228">
        <f>MAX(0.3*$AJ$14^(2/3)/$AJ$16*0.26*100,0.13)</f>
        <v>0.15723814702688016</v>
      </c>
      <c r="AX111" s="6">
        <f>AW111/100*$O$12*BK111</f>
        <v>1410.4261788311151</v>
      </c>
      <c r="AY111" s="6"/>
      <c r="AZ111" s="6"/>
      <c r="BA111" s="24" t="str">
        <f>IF(BB111=0,"","+")</f>
        <v/>
      </c>
      <c r="BB111" s="24"/>
      <c r="BC111" s="28" t="s">
        <v>24</v>
      </c>
      <c r="BD111" s="15">
        <f>AX111+AZ111+BB111</f>
        <v>1410.4261788311151</v>
      </c>
      <c r="BE111" s="2">
        <f>(R111-($AX$14+$O$16+T111/2))</f>
        <v>897</v>
      </c>
      <c r="BF111" s="3">
        <f>IF(W111=0,0,(R111-($AX$14+T111/2+$O$16+$BI$16)))</f>
        <v>0</v>
      </c>
      <c r="BG111" s="3">
        <f>IF(Z111=0,0,(R111-($AX$14+T111/2+$BI$16+$O$16+$BI$17)))</f>
        <v>0</v>
      </c>
      <c r="BH111" s="3">
        <f>IF(AC111=0,0,(R111-($AX$14+T111/2+$O$16+$BI$16+$BI$17+$BI$18)))</f>
        <v>0</v>
      </c>
      <c r="BI111" s="3">
        <f>IF(AF111=0,0,(R111-($AX$14+T111/2+$O$16+$BI$16+$BI$17+$BI$18+$BL$16)))</f>
        <v>0</v>
      </c>
      <c r="BJ111" s="3">
        <f>IF(AI111=0,0,(R111-($AX$14+T111/2+$O$16+$BI$16+$BI$17+$BI$18+$BL$16+$BL$17)))</f>
        <v>0</v>
      </c>
      <c r="BK111" s="6">
        <f>(BE111*AJ111+BF111*AL111+BG111*AN111+BH111*AP111+BI111*AR111+BJ111*AT111)/AV111</f>
        <v>897</v>
      </c>
      <c r="BL111" s="175">
        <f>ABS(N111)*1000000/$O$12/BK111^2</f>
        <v>1.5920776426811034</v>
      </c>
      <c r="BM111" s="175">
        <f>BL111/$AJ$14</f>
        <v>4.9752426333784482E-2</v>
      </c>
      <c r="BN111" s="21">
        <f>IF(BM111&lt;0.167,0.5+SQRT(0.25-(BM111/1.134)),0.82)</f>
        <v>0.95401168285768367</v>
      </c>
      <c r="BO111" s="15">
        <f>ABS(N111)/(0.87*$AJ$16*BN111*BK111)*10^6</f>
        <v>3441.2302874872603</v>
      </c>
      <c r="BP111" s="22">
        <v>379.90830454509984</v>
      </c>
      <c r="BQ111" s="175">
        <f>IF(Q111=0,2*ABS(P111*10^6)/$O$12/BP111/(BK111-BP111/3),Q111*BP111*1000/($O$12/2*BP111^2-(BE111-BP111)*AJ111*$AJ$18-(BF111-BP111)*AL111*$AJ$18-(BG111-BP111)*AN111*$AJ$18-(BH111-BP111)*AP111*$AJ$18-(BI111-BP111)*AR111*$AJ$18-(BJ111-BP111)*AT111*$AJ$18))</f>
        <v>6.9819075841133964</v>
      </c>
      <c r="BR111" s="3">
        <f>0.5*$O$12*BP111*BQ111 /1000</f>
        <v>1326.2423363855471</v>
      </c>
      <c r="BS111" s="3">
        <f>($BQ111/$BP111)*(BE111-$BP111)*$AJ$18*AJ111/1000</f>
        <v>1289.2423363855473</v>
      </c>
      <c r="BT111" s="3">
        <f>($BQ111/$BP111)*(BF111-$BP111)*$AJ$18*AL111/1000</f>
        <v>0</v>
      </c>
      <c r="BU111" s="3">
        <f>($BQ111/$BP111)*(BG111-$BP111)*$AJ$18*AN111/1000</f>
        <v>0</v>
      </c>
      <c r="BV111" s="3">
        <f>($BQ111/$BP111)*(BH111-$BP111)*$AJ$18*AP111/1000</f>
        <v>0</v>
      </c>
      <c r="BW111" s="3">
        <f>($BQ111/$BP111)*(BI111-$BP111)*$AJ$18*AR111/1000</f>
        <v>0</v>
      </c>
      <c r="BX111" s="3">
        <f>($BQ111/$BP111)*(BJ111-$BP111)*$AJ$18*AT111/1000</f>
        <v>0</v>
      </c>
      <c r="BY111" s="175">
        <f>IF(Q111=0,0,(0.5*$O$12*BP111*BQ111/1000*(R111/2-$BP111/3)+BS111*(BE111-R111/2)+BT111*(BF111-R111/2)+BU111*(BG111-R111/2)+BV111*(BH111-R111/2)+BW111*(BI111-R111/2)+BX111*(BJ111-R111/2))/1000-ABS(P111))</f>
        <v>2.1659378080585157E-4</v>
      </c>
      <c r="BZ111" s="10"/>
      <c r="CA111" s="176">
        <f>ABS(P111)/(BK111-BP111/3)/AV111*10^6-Q111*(R111/2-BP111/3)/(BK111-BP111/3)/AV111*1000</f>
        <v>153.89193444859362</v>
      </c>
      <c r="CB111" s="177">
        <f>(AV111/($O$12*MIN(2.5*(R111-BK111),(R111-BP111)/3,R111/2)-AV111))</f>
        <v>4.2242815323969028E-2</v>
      </c>
      <c r="CC111" s="177">
        <f>3.4*($O$16+$AX$14)+0.425*0.8*0.5*(T111^2+W111^2+Z111^2+AC111^2+AF111^2+AI111^2)/(T111+W111+Z111+AC111+AF111+AI111)/CB111</f>
        <v>443.17411945319861</v>
      </c>
      <c r="CD111" s="177">
        <f>MAX(0.6*CA111/$AJ$17,(CA111-0.4*0.3*$AJ$14^(2/3)/CB111*(1+$AJ$17/$AJ$15*CB111))/$AJ$17)</f>
        <v>0.52836143001114122</v>
      </c>
      <c r="CE111" s="178">
        <f>CC111*CD111/1000</f>
        <v>0.23415611149822033</v>
      </c>
      <c r="CF111" s="23" t="str">
        <f>IF(AND(AV111&gt;=BD111,AV111&gt;=BO111,CE111&lt;=(+IF(CO111="External",0.25,0.3))),"O.K", "Not O.K")</f>
        <v>O.K</v>
      </c>
      <c r="CG111" s="28"/>
      <c r="CH111" s="179" t="str">
        <f>IF(O111&lt;0.2*$AJ$14*R111*$O$12/1000,"N &lt; 0.2fckAc - OK!","TBA")</f>
        <v>N &lt; 0.2fckAc - OK!</v>
      </c>
      <c r="CI111" s="24"/>
      <c r="CJ111" s="25"/>
      <c r="CK111" s="6">
        <f>CU111</f>
        <v>105</v>
      </c>
      <c r="CL111" s="8" t="s">
        <v>72</v>
      </c>
      <c r="CM111" s="6">
        <f>CV111</f>
        <v>213</v>
      </c>
      <c r="CN111" s="26" t="s">
        <v>148</v>
      </c>
      <c r="CO111" s="27" t="s">
        <v>106</v>
      </c>
      <c r="CP111" s="2">
        <v>-1281</v>
      </c>
      <c r="CQ111" s="15">
        <v>2</v>
      </c>
      <c r="CR111" s="3">
        <v>-1007</v>
      </c>
      <c r="CS111" s="15">
        <v>37</v>
      </c>
      <c r="CT111" s="20">
        <v>1000</v>
      </c>
      <c r="CU111" s="2">
        <v>105</v>
      </c>
      <c r="CV111" s="15">
        <v>213</v>
      </c>
      <c r="CW111" s="6"/>
      <c r="CX111" s="278"/>
      <c r="CY111" s="6"/>
      <c r="CZ111" s="6"/>
      <c r="DA111" s="6"/>
      <c r="DB111" s="6"/>
      <c r="DC111" s="6"/>
      <c r="DD111" s="6"/>
      <c r="DE111" s="6"/>
      <c r="DF111" s="6"/>
      <c r="DG111" s="6"/>
      <c r="DH111" s="6"/>
      <c r="DI111" s="6"/>
      <c r="DJ111" s="212"/>
      <c r="DK111" s="13"/>
      <c r="DL111" s="13"/>
      <c r="DM111" s="202"/>
      <c r="DN111" s="206">
        <f>IF(CO111="external",T111,0)</f>
        <v>0</v>
      </c>
      <c r="DO111" s="206">
        <f>IF(CO111="external",W111,0)</f>
        <v>0</v>
      </c>
      <c r="DP111" s="206">
        <f>IF(CO111="external",Z111,0)</f>
        <v>0</v>
      </c>
      <c r="DQ111" s="206">
        <f>IF(CO111="external",AC111,0)</f>
        <v>0</v>
      </c>
      <c r="DR111" s="206">
        <f>IF(CO111="external",AF111,0)</f>
        <v>0</v>
      </c>
      <c r="DS111" s="207">
        <f>IF(CO111="external",AI111,0)</f>
        <v>0</v>
      </c>
      <c r="DT111" s="208"/>
      <c r="DU111" s="207">
        <f>IF(CO111="internal",T111,0)</f>
        <v>40</v>
      </c>
      <c r="DV111" s="207">
        <f>IF(CO111="internal",W111,0)</f>
        <v>0</v>
      </c>
      <c r="DW111" s="207">
        <f>IF(CO111="internal",Z111,0)</f>
        <v>0</v>
      </c>
      <c r="DX111" s="207">
        <f>IF(CO111="internal",AC111,0)</f>
        <v>0</v>
      </c>
      <c r="DY111" s="207">
        <f>IF(CO111="internal",AF111,0)</f>
        <v>0</v>
      </c>
      <c r="DZ111" s="207">
        <f>IF(CO111="internal",AI111,0)</f>
        <v>0</v>
      </c>
    </row>
    <row r="112" spans="1:130" s="7" customFormat="1" x14ac:dyDescent="0.3">
      <c r="B112" s="19">
        <f>+CI112</f>
        <v>0</v>
      </c>
      <c r="C112" s="6">
        <f t="shared" si="97"/>
        <v>0</v>
      </c>
      <c r="D112" s="6">
        <f t="shared" si="97"/>
        <v>113</v>
      </c>
      <c r="E112" s="6" t="str">
        <f t="shared" si="97"/>
        <v>--</v>
      </c>
      <c r="F112" s="6">
        <f>+CM112</f>
        <v>214</v>
      </c>
      <c r="G112" s="174" t="str">
        <f t="shared" si="98"/>
        <v>Max Fx</v>
      </c>
      <c r="H112" s="6" t="str">
        <f t="shared" si="98"/>
        <v>Internal</v>
      </c>
      <c r="I112" s="156">
        <v>0</v>
      </c>
      <c r="J112" s="10">
        <f t="shared" si="99"/>
        <v>-1177</v>
      </c>
      <c r="K112" s="10">
        <f t="shared" si="99"/>
        <v>45</v>
      </c>
      <c r="L112" s="10">
        <f t="shared" si="99"/>
        <v>-915</v>
      </c>
      <c r="M112" s="10">
        <f t="shared" si="99"/>
        <v>37</v>
      </c>
      <c r="N112" s="10">
        <f>IF(I112*J112&gt;=0,J112*$J$19+I112*$J$18,J112)</f>
        <v>-1177</v>
      </c>
      <c r="O112" s="10">
        <f>(K112)*$J$19</f>
        <v>45</v>
      </c>
      <c r="P112" s="14">
        <f>IF(I112*L112&gt;=0,(L112)+I112,L112)</f>
        <v>-915</v>
      </c>
      <c r="Q112" s="3">
        <f>(M112)</f>
        <v>37</v>
      </c>
      <c r="R112" s="20">
        <f t="shared" si="79"/>
        <v>1000</v>
      </c>
      <c r="S112" s="23"/>
      <c r="T112" s="12">
        <v>40</v>
      </c>
      <c r="U112" s="28"/>
      <c r="V112" s="28"/>
      <c r="W112" s="12"/>
      <c r="X112" s="28"/>
      <c r="Y112" s="28"/>
      <c r="Z112" s="12"/>
      <c r="AA112" s="28"/>
      <c r="AB112" s="28"/>
      <c r="AC112" s="158"/>
      <c r="AD112" s="28"/>
      <c r="AE112" s="28"/>
      <c r="AF112" s="158"/>
      <c r="AG112" s="28"/>
      <c r="AH112" s="28"/>
      <c r="AI112" s="29"/>
      <c r="AJ112" s="6">
        <f>PI()/4*T112^2*$O$12/$AX$16</f>
        <v>8377.5804095727817</v>
      </c>
      <c r="AK112" s="28" t="str">
        <f>IF(W112=0,"","+")</f>
        <v/>
      </c>
      <c r="AL112" s="6">
        <f>PI()/4*W112^2*$O$12/$AX$16</f>
        <v>0</v>
      </c>
      <c r="AM112" s="28" t="str">
        <f>IF(Z112=0,"","+")</f>
        <v/>
      </c>
      <c r="AN112" s="6">
        <f>PI()/4*Z112^2*$O$12/$AX$16</f>
        <v>0</v>
      </c>
      <c r="AO112" s="28" t="str">
        <f>IF(AC112=0,"","+")</f>
        <v/>
      </c>
      <c r="AP112" s="6">
        <f>PI()/4*AC112^2*$O$12/$AX$16</f>
        <v>0</v>
      </c>
      <c r="AQ112" s="28" t="str">
        <f>IF(AF112=0,"","+")</f>
        <v/>
      </c>
      <c r="AR112" s="6">
        <f>PI()/4*AF112^2*$O$12/$AX$16</f>
        <v>0</v>
      </c>
      <c r="AS112" s="28" t="str">
        <f>IF(AI112=0,"","+")</f>
        <v/>
      </c>
      <c r="AT112" s="6">
        <f>PI()/4*AI112^2*$O$12/$AX$16</f>
        <v>0</v>
      </c>
      <c r="AU112" s="28" t="s">
        <v>24</v>
      </c>
      <c r="AV112" s="15">
        <f>VALUE(AJ112)+VALUE(AL112)+VALUE(AN112)+VALUE(AP112)+VALUE(AR112)+VALUE(AT112)</f>
        <v>8377.5804095727817</v>
      </c>
      <c r="AW112" s="228">
        <f>MAX(0.3*$AJ$14^(2/3)/$AJ$16*0.26*100,0.13)</f>
        <v>0.15723814702688016</v>
      </c>
      <c r="AX112" s="6">
        <f>AW112/100*$O$12*BK112</f>
        <v>1410.4261788311151</v>
      </c>
      <c r="AY112" s="6"/>
      <c r="AZ112" s="6"/>
      <c r="BA112" s="24" t="str">
        <f>IF(BB112=0,"","+")</f>
        <v/>
      </c>
      <c r="BB112" s="24"/>
      <c r="BC112" s="28" t="s">
        <v>24</v>
      </c>
      <c r="BD112" s="15">
        <f>AX112+AZ112+BB112</f>
        <v>1410.4261788311151</v>
      </c>
      <c r="BE112" s="2">
        <f>(R112-($AX$14+$O$16+T112/2))</f>
        <v>897</v>
      </c>
      <c r="BF112" s="3">
        <f>IF(W112=0,0,(R112-($AX$14+T112/2+$O$16+$BI$16)))</f>
        <v>0</v>
      </c>
      <c r="BG112" s="3">
        <f>IF(Z112=0,0,(R112-($AX$14+T112/2+$BI$16+$O$16+$BI$17)))</f>
        <v>0</v>
      </c>
      <c r="BH112" s="3">
        <f>IF(AC112=0,0,(R112-($AX$14+T112/2+$O$16+$BI$16+$BI$17+$BI$18)))</f>
        <v>0</v>
      </c>
      <c r="BI112" s="3">
        <f>IF(AF112=0,0,(R112-($AX$14+T112/2+$O$16+$BI$16+$BI$17+$BI$18+$BL$16)))</f>
        <v>0</v>
      </c>
      <c r="BJ112" s="3">
        <f>IF(AI112=0,0,(R112-($AX$14+T112/2+$O$16+$BI$16+$BI$17+$BI$18+$BL$16+$BL$17)))</f>
        <v>0</v>
      </c>
      <c r="BK112" s="6">
        <f>(BE112*AJ112+BF112*AL112+BG112*AN112+BH112*AP112+BI112*AR112+BJ112*AT112)/AV112</f>
        <v>897</v>
      </c>
      <c r="BL112" s="175">
        <f>ABS(N112)*1000000/$O$12/BK112^2</f>
        <v>1.462822314938063</v>
      </c>
      <c r="BM112" s="175">
        <f>BL112/$AJ$14</f>
        <v>4.571319734181447E-2</v>
      </c>
      <c r="BN112" s="21">
        <f>IF(BM112&lt;0.167,0.5+SQRT(0.25-(BM112/1.134)),0.82)</f>
        <v>0.95791761103858164</v>
      </c>
      <c r="BO112" s="15">
        <f>ABS(N112)/(0.87*$AJ$16*BN112*BK112)*10^6</f>
        <v>3148.9560928203628</v>
      </c>
      <c r="BP112" s="22">
        <v>380.30276154924064</v>
      </c>
      <c r="BQ112" s="175">
        <f>IF(Q112=0,2*ABS(P112*10^6)/$O$12/BP112/(BK112-BP112/3),Q112*BP112*1000/($O$12/2*BP112^2-(BE112-BP112)*AJ112*$AJ$18-(BF112-BP112)*AL112*$AJ$18-(BG112-BP112)*AN112*$AJ$18-(BH112-BP112)*AP112*$AJ$18-(BI112-BP112)*AR112*$AJ$18-(BJ112-BP112)*AT112*$AJ$18))</f>
        <v>6.3477003543762143</v>
      </c>
      <c r="BR112" s="3">
        <f>0.5*$O$12*BP112*BQ112 /1000</f>
        <v>1207.0239871281838</v>
      </c>
      <c r="BS112" s="3">
        <f>($BQ112/$BP112)*(BE112-$BP112)*$AJ$18*AJ112/1000</f>
        <v>1170.0239871281838</v>
      </c>
      <c r="BT112" s="3">
        <f>($BQ112/$BP112)*(BF112-$BP112)*$AJ$18*AL112/1000</f>
        <v>0</v>
      </c>
      <c r="BU112" s="3">
        <f>($BQ112/$BP112)*(BG112-$BP112)*$AJ$18*AN112/1000</f>
        <v>0</v>
      </c>
      <c r="BV112" s="3">
        <f>($BQ112/$BP112)*(BH112-$BP112)*$AJ$18*AP112/1000</f>
        <v>0</v>
      </c>
      <c r="BW112" s="3">
        <f>($BQ112/$BP112)*(BI112-$BP112)*$AJ$18*AR112/1000</f>
        <v>0</v>
      </c>
      <c r="BX112" s="3">
        <f>($BQ112/$BP112)*(BJ112-$BP112)*$AJ$18*AT112/1000</f>
        <v>0</v>
      </c>
      <c r="BY112" s="175">
        <f>IF(Q112=0,0,(0.5*$O$12*BP112*BQ112/1000*(R112/2-$BP112/3)+BS112*(BE112-R112/2)+BT112*(BF112-R112/2)+BU112*(BG112-R112/2)+BV112*(BH112-R112/2)+BW112*(BI112-R112/2)+BX112*(BJ112-R112/2))/1000-ABS(P112))</f>
        <v>-2.0663603663706454E-6</v>
      </c>
      <c r="BZ112" s="10"/>
      <c r="CA112" s="176">
        <f>ABS(P112)/(BK112-BP112/3)/AV112*10^6-Q112*(R112/2-BP112/3)/(BK112-BP112/3)/AV112*1000</f>
        <v>139.66132613588661</v>
      </c>
      <c r="CB112" s="177">
        <f>(AV112/($O$12*MIN(2.5*(R112-BK112),(R112-BP112)/3,R112/2)-AV112))</f>
        <v>4.2270840835847083E-2</v>
      </c>
      <c r="CC112" s="177">
        <f>3.4*($O$16+$AX$14)+0.425*0.8*0.5*(T112^2+W112^2+Z112^2+AC112^2+AF112^2+AI112^2)/(T112+W112+Z112+AC112+AF112+AI112)/CB112</f>
        <v>443.06739382372007</v>
      </c>
      <c r="CD112" s="177">
        <f>MAX(0.6*CA112/$AJ$17,(CA112-0.4*0.3*$AJ$14^(2/3)/CB112*(1+$AJ$17/$AJ$15*CB112))/$AJ$17)</f>
        <v>0.45730330553029558</v>
      </c>
      <c r="CE112" s="178">
        <f>CC112*CD112/1000</f>
        <v>0.20261618376828044</v>
      </c>
      <c r="CF112" s="23" t="str">
        <f>IF(AND(AV112&gt;=BD112,AV112&gt;=BO112,CE112&lt;=(+IF(CO112="External",0.25,0.3))),"O.K", "Not O.K")</f>
        <v>O.K</v>
      </c>
      <c r="CG112" s="28"/>
      <c r="CH112" s="179" t="str">
        <f>IF(O112&lt;0.2*$AJ$14*R112*$O$12/1000,"N &lt; 0.2fckAc - OK!","TBA")</f>
        <v>N &lt; 0.2fckAc - OK!</v>
      </c>
      <c r="CI112" s="24"/>
      <c r="CJ112" s="25"/>
      <c r="CK112" s="6">
        <f>CU112</f>
        <v>113</v>
      </c>
      <c r="CL112" s="8" t="s">
        <v>72</v>
      </c>
      <c r="CM112" s="6">
        <f>CV112</f>
        <v>214</v>
      </c>
      <c r="CN112" s="26" t="s">
        <v>145</v>
      </c>
      <c r="CO112" s="27" t="s">
        <v>106</v>
      </c>
      <c r="CP112" s="2">
        <v>-1177</v>
      </c>
      <c r="CQ112" s="15">
        <v>45</v>
      </c>
      <c r="CR112" s="3">
        <v>-915</v>
      </c>
      <c r="CS112" s="15">
        <v>37</v>
      </c>
      <c r="CT112" s="20">
        <v>1000</v>
      </c>
      <c r="CU112" s="2">
        <v>113</v>
      </c>
      <c r="CV112" s="15">
        <v>214</v>
      </c>
      <c r="CW112" s="6"/>
      <c r="CX112" s="278"/>
      <c r="CY112" s="6"/>
      <c r="CZ112" s="6"/>
      <c r="DA112" s="6"/>
      <c r="DB112" s="6"/>
      <c r="DC112" s="6"/>
      <c r="DD112" s="6"/>
      <c r="DE112" s="6"/>
      <c r="DF112" s="6"/>
      <c r="DG112" s="6"/>
      <c r="DH112" s="6"/>
      <c r="DI112" s="6"/>
      <c r="DJ112" s="212"/>
      <c r="DK112" s="13"/>
      <c r="DL112" s="13"/>
      <c r="DM112" s="202"/>
      <c r="DN112" s="206">
        <f>IF(CO112="external",T112,0)</f>
        <v>0</v>
      </c>
      <c r="DO112" s="206">
        <f>IF(CO112="external",W112,0)</f>
        <v>0</v>
      </c>
      <c r="DP112" s="206">
        <f>IF(CO112="external",Z112,0)</f>
        <v>0</v>
      </c>
      <c r="DQ112" s="206">
        <f>IF(CO112="external",AC112,0)</f>
        <v>0</v>
      </c>
      <c r="DR112" s="206">
        <f>IF(CO112="external",AF112,0)</f>
        <v>0</v>
      </c>
      <c r="DS112" s="207">
        <f>IF(CO112="external",AI112,0)</f>
        <v>0</v>
      </c>
      <c r="DT112" s="208"/>
      <c r="DU112" s="207">
        <f>IF(CO112="internal",T112,0)</f>
        <v>40</v>
      </c>
      <c r="DV112" s="207">
        <f>IF(CO112="internal",W112,0)</f>
        <v>0</v>
      </c>
      <c r="DW112" s="207">
        <f>IF(CO112="internal",Z112,0)</f>
        <v>0</v>
      </c>
      <c r="DX112" s="207">
        <f>IF(CO112="internal",AC112,0)</f>
        <v>0</v>
      </c>
      <c r="DY112" s="207">
        <f>IF(CO112="internal",AF112,0)</f>
        <v>0</v>
      </c>
      <c r="DZ112" s="207">
        <f>IF(CO112="internal",AI112,0)</f>
        <v>0</v>
      </c>
    </row>
    <row r="113" spans="2:130" s="7" customFormat="1" ht="15" thickBot="1" x14ac:dyDescent="0.35">
      <c r="B113" s="244">
        <f>+CI113</f>
        <v>0</v>
      </c>
      <c r="C113" s="245">
        <f t="shared" si="97"/>
        <v>0</v>
      </c>
      <c r="D113" s="245">
        <f t="shared" si="97"/>
        <v>111</v>
      </c>
      <c r="E113" s="245" t="str">
        <f t="shared" si="97"/>
        <v>--</v>
      </c>
      <c r="F113" s="245">
        <f>+CM113</f>
        <v>205</v>
      </c>
      <c r="G113" s="246" t="str">
        <f t="shared" si="98"/>
        <v>Min Fx</v>
      </c>
      <c r="H113" s="245" t="str">
        <f t="shared" si="98"/>
        <v>Internal</v>
      </c>
      <c r="I113" s="247">
        <v>0</v>
      </c>
      <c r="J113" s="248">
        <f t="shared" si="99"/>
        <v>-852</v>
      </c>
      <c r="K113" s="248">
        <f t="shared" si="99"/>
        <v>0</v>
      </c>
      <c r="L113" s="248">
        <f t="shared" si="99"/>
        <v>-1001</v>
      </c>
      <c r="M113" s="248">
        <f t="shared" si="99"/>
        <v>1</v>
      </c>
      <c r="N113" s="248">
        <f>IF(I113*J113&gt;=0,J113*$J$19+I113*$J$18,J113)</f>
        <v>-852</v>
      </c>
      <c r="O113" s="248">
        <f>(K113)*$J$19</f>
        <v>0</v>
      </c>
      <c r="P113" s="249">
        <f>IF(I113*L113&gt;=0,(L113)+I113,L113)</f>
        <v>-1001</v>
      </c>
      <c r="Q113" s="250">
        <f>(M113)</f>
        <v>1</v>
      </c>
      <c r="R113" s="251">
        <f t="shared" si="79"/>
        <v>1000</v>
      </c>
      <c r="S113" s="252"/>
      <c r="T113" s="253">
        <v>40</v>
      </c>
      <c r="U113" s="254"/>
      <c r="V113" s="254"/>
      <c r="W113" s="253"/>
      <c r="X113" s="254"/>
      <c r="Y113" s="254"/>
      <c r="Z113" s="253"/>
      <c r="AA113" s="254"/>
      <c r="AB113" s="254"/>
      <c r="AC113" s="255"/>
      <c r="AD113" s="254"/>
      <c r="AE113" s="254"/>
      <c r="AF113" s="255"/>
      <c r="AG113" s="254"/>
      <c r="AH113" s="254"/>
      <c r="AI113" s="256"/>
      <c r="AJ113" s="245">
        <f>PI()/4*T113^2*$O$12/$AX$16</f>
        <v>8377.5804095727817</v>
      </c>
      <c r="AK113" s="254" t="str">
        <f>IF(W113=0,"","+")</f>
        <v/>
      </c>
      <c r="AL113" s="245">
        <f>PI()/4*W113^2*$O$12/$AX$16</f>
        <v>0</v>
      </c>
      <c r="AM113" s="254" t="str">
        <f>IF(Z113=0,"","+")</f>
        <v/>
      </c>
      <c r="AN113" s="245">
        <f>PI()/4*Z113^2*$O$12/$AX$16</f>
        <v>0</v>
      </c>
      <c r="AO113" s="254" t="str">
        <f>IF(AC113=0,"","+")</f>
        <v/>
      </c>
      <c r="AP113" s="245">
        <f>PI()/4*AC113^2*$O$12/$AX$16</f>
        <v>0</v>
      </c>
      <c r="AQ113" s="254" t="str">
        <f>IF(AF113=0,"","+")</f>
        <v/>
      </c>
      <c r="AR113" s="245">
        <f>PI()/4*AF113^2*$O$12/$AX$16</f>
        <v>0</v>
      </c>
      <c r="AS113" s="254" t="str">
        <f>IF(AI113=0,"","+")</f>
        <v/>
      </c>
      <c r="AT113" s="245">
        <f>PI()/4*AI113^2*$O$12/$AX$16</f>
        <v>0</v>
      </c>
      <c r="AU113" s="254" t="s">
        <v>24</v>
      </c>
      <c r="AV113" s="257">
        <f>VALUE(AJ113)+VALUE(AL113)+VALUE(AN113)+VALUE(AP113)+VALUE(AR113)+VALUE(AT113)</f>
        <v>8377.5804095727817</v>
      </c>
      <c r="AW113" s="258">
        <f>MAX(0.3*$AJ$14^(2/3)/$AJ$16*0.26*100,0.13)</f>
        <v>0.15723814702688016</v>
      </c>
      <c r="AX113" s="245">
        <f>AW113/100*$O$12*BK113</f>
        <v>1410.4261788311151</v>
      </c>
      <c r="AY113" s="245"/>
      <c r="AZ113" s="245"/>
      <c r="BA113" s="259" t="str">
        <f>IF(BB113=0,"","+")</f>
        <v/>
      </c>
      <c r="BB113" s="259"/>
      <c r="BC113" s="254" t="s">
        <v>24</v>
      </c>
      <c r="BD113" s="257">
        <f>AX113+AZ113+BB113</f>
        <v>1410.4261788311151</v>
      </c>
      <c r="BE113" s="260">
        <f>(R113-($AX$14+$O$16+T113/2))</f>
        <v>897</v>
      </c>
      <c r="BF113" s="250">
        <f>IF(W113=0,0,(R113-($AX$14+T113/2+$O$16+$BI$16)))</f>
        <v>0</v>
      </c>
      <c r="BG113" s="250">
        <f>IF(Z113=0,0,(R113-($AX$14+T113/2+$BI$16+$O$16+$BI$17)))</f>
        <v>0</v>
      </c>
      <c r="BH113" s="250">
        <f>IF(AC113=0,0,(R113-($AX$14+T113/2+$O$16+$BI$16+$BI$17+$BI$18)))</f>
        <v>0</v>
      </c>
      <c r="BI113" s="250">
        <f>IF(AF113=0,0,(R113-($AX$14+T113/2+$O$16+$BI$16+$BI$17+$BI$18+$BL$16)))</f>
        <v>0</v>
      </c>
      <c r="BJ113" s="250">
        <f>IF(AI113=0,0,(R113-($AX$14+T113/2+$O$16+$BI$16+$BI$17+$BI$18+$BL$16+$BL$17)))</f>
        <v>0</v>
      </c>
      <c r="BK113" s="245">
        <f>(BE113*AJ113+BF113*AL113+BG113*AN113+BH113*AP113+BI113*AR113+BJ113*AT113)/AV113</f>
        <v>897</v>
      </c>
      <c r="BL113" s="261">
        <f>ABS(N113)*1000000/$O$12/BK113^2</f>
        <v>1.0588994157410618</v>
      </c>
      <c r="BM113" s="261">
        <f>BL113/$AJ$14</f>
        <v>3.3090606741908182E-2</v>
      </c>
      <c r="BN113" s="262">
        <f>IF(BM113&lt;0.167,0.5+SQRT(0.25-(BM113/1.134)),0.82)</f>
        <v>0.96991442920422366</v>
      </c>
      <c r="BO113" s="257">
        <f>ABS(N113)/(0.87*$AJ$16*BN113*BK113)*10^6</f>
        <v>2251.2538808144932</v>
      </c>
      <c r="BP113" s="263">
        <v>376.0949577532183</v>
      </c>
      <c r="BQ113" s="261">
        <f>IF(Q113=0,2*ABS(P113*10^6)/$O$12/BP113/(BK113-BP113/3),Q113*BP113*1000/($O$12/2*BP113^2-(BE113-BP113)*AJ113*$AJ$18-(BF113-BP113)*AL113*$AJ$18-(BG113-BP113)*AN113*$AJ$18-(BH113-BP113)*AP113*$AJ$18-(BI113-BP113)*AR113*$AJ$18-(BJ113-BP113)*AT113*$AJ$18))</f>
        <v>6.9012354360191521</v>
      </c>
      <c r="BR113" s="250">
        <f>0.5*$O$12*BP113*BQ113 /1000</f>
        <v>1297.7599248773181</v>
      </c>
      <c r="BS113" s="250">
        <f>($BQ113/$BP113)*(BE113-$BP113)*$AJ$18*AJ113/1000</f>
        <v>1296.7599248773183</v>
      </c>
      <c r="BT113" s="250">
        <f>($BQ113/$BP113)*(BF113-$BP113)*$AJ$18*AL113/1000</f>
        <v>0</v>
      </c>
      <c r="BU113" s="250">
        <f>($BQ113/$BP113)*(BG113-$BP113)*$AJ$18*AN113/1000</f>
        <v>0</v>
      </c>
      <c r="BV113" s="250">
        <f>($BQ113/$BP113)*(BH113-$BP113)*$AJ$18*AP113/1000</f>
        <v>0</v>
      </c>
      <c r="BW113" s="250">
        <f>($BQ113/$BP113)*(BI113-$BP113)*$AJ$18*AR113/1000</f>
        <v>0</v>
      </c>
      <c r="BX113" s="250">
        <f>($BQ113/$BP113)*(BJ113-$BP113)*$AJ$18*AT113/1000</f>
        <v>0</v>
      </c>
      <c r="BY113" s="261">
        <f>IF(Q113=0,0,(0.5*$O$12*BP113*BQ113/1000*(R113/2-$BP113/3)+BS113*(BE113-R113/2)+BT113*(BF113-R113/2)+BU113*(BG113-R113/2)+BV113*(BH113-R113/2)+BW113*(BI113-R113/2)+BX113*(BJ113-R113/2))/1000-ABS(P113))</f>
        <v>-2.0918971586070256E-6</v>
      </c>
      <c r="BZ113" s="248"/>
      <c r="CA113" s="264">
        <f>ABS(P113)/(BK113-BP113/3)/AV113*10^6-Q113*(R113/2-BP113/3)/(BK113-BP113/3)/AV113*1000</f>
        <v>154.78931435937602</v>
      </c>
      <c r="CB113" s="265">
        <f>(AV113/($O$12*MIN(2.5*(R113-BK113),(R113-BP113)/3,R113/2)-AV113))</f>
        <v>4.1973787341175212E-2</v>
      </c>
      <c r="CC113" s="265">
        <f>3.4*($O$16+$AX$14)+0.425*0.8*0.5*(T113^2+W113^2+Z113^2+AC113^2+AF113^2+AI113^2)/(T113+W113+Z113+AC113+AF113+AI113)/CB113</f>
        <v>444.20587153900624</v>
      </c>
      <c r="CD113" s="265">
        <f>MAX(0.6*CA113/$AJ$17,(CA113-0.4*0.3*$AJ$14^(2/3)/CB113*(1+$AJ$17/$AJ$15*CB113))/$AJ$17)</f>
        <v>0.5319307346206894</v>
      </c>
      <c r="CE113" s="266">
        <f>CC113*CD113/1000</f>
        <v>0.23628675557056719</v>
      </c>
      <c r="CF113" s="252" t="str">
        <f>IF(AND(AV113&gt;=BD113,AV113&gt;=BO113,CE113&lt;=(+IF(CO113="External",0.25,0.3))),"O.K", "Not O.K")</f>
        <v>O.K</v>
      </c>
      <c r="CG113" s="254"/>
      <c r="CH113" s="267" t="str">
        <f>IF(O113&lt;0.2*$AJ$14*R113*$O$12/1000,"N &lt; 0.2fckAc - OK!","TBA")</f>
        <v>N &lt; 0.2fckAc - OK!</v>
      </c>
      <c r="CI113" s="24"/>
      <c r="CJ113" s="25"/>
      <c r="CK113" s="6">
        <f>CU113</f>
        <v>111</v>
      </c>
      <c r="CL113" s="8" t="s">
        <v>72</v>
      </c>
      <c r="CM113" s="6">
        <f>CV113</f>
        <v>205</v>
      </c>
      <c r="CN113" s="26" t="s">
        <v>146</v>
      </c>
      <c r="CO113" s="27" t="s">
        <v>106</v>
      </c>
      <c r="CP113" s="2">
        <v>-852</v>
      </c>
      <c r="CQ113" s="15">
        <v>0</v>
      </c>
      <c r="CR113" s="3">
        <v>-1001</v>
      </c>
      <c r="CS113" s="15">
        <v>1</v>
      </c>
      <c r="CT113" s="20">
        <v>1000</v>
      </c>
      <c r="CU113" s="2">
        <v>111</v>
      </c>
      <c r="CV113" s="15">
        <v>205</v>
      </c>
      <c r="CW113" s="6"/>
      <c r="CX113" s="278"/>
      <c r="CY113" s="6"/>
      <c r="CZ113" s="6"/>
      <c r="DA113" s="6"/>
      <c r="DB113" s="6"/>
      <c r="DC113" s="6"/>
      <c r="DD113" s="6"/>
      <c r="DE113" s="6"/>
      <c r="DF113" s="6"/>
      <c r="DG113" s="6"/>
      <c r="DH113" s="6"/>
      <c r="DI113" s="6"/>
      <c r="DJ113" s="212"/>
      <c r="DK113" s="13"/>
      <c r="DL113" s="13"/>
      <c r="DM113" s="202"/>
      <c r="DN113" s="206">
        <f>IF(CO113="external",T113,0)</f>
        <v>0</v>
      </c>
      <c r="DO113" s="206">
        <f>IF(CO113="external",W113,0)</f>
        <v>0</v>
      </c>
      <c r="DP113" s="206">
        <f>IF(CO113="external",Z113,0)</f>
        <v>0</v>
      </c>
      <c r="DQ113" s="206">
        <f>IF(CO113="external",AC113,0)</f>
        <v>0</v>
      </c>
      <c r="DR113" s="206">
        <f>IF(CO113="external",AF113,0)</f>
        <v>0</v>
      </c>
      <c r="DS113" s="207">
        <f>IF(CO113="external",AI113,0)</f>
        <v>0</v>
      </c>
      <c r="DT113" s="208"/>
      <c r="DU113" s="207">
        <f>IF(CO113="internal",T113,0)</f>
        <v>40</v>
      </c>
      <c r="DV113" s="207">
        <f>IF(CO113="internal",W113,0)</f>
        <v>0</v>
      </c>
      <c r="DW113" s="207">
        <f>IF(CO113="internal",Z113,0)</f>
        <v>0</v>
      </c>
      <c r="DX113" s="207">
        <f>IF(CO113="internal",AC113,0)</f>
        <v>0</v>
      </c>
      <c r="DY113" s="207">
        <f>IF(CO113="internal",AF113,0)</f>
        <v>0</v>
      </c>
      <c r="DZ113" s="207">
        <f>IF(CO113="internal",AI113,0)</f>
        <v>0</v>
      </c>
    </row>
    <row r="122" spans="2:130" x14ac:dyDescent="0.3">
      <c r="CO122" s="45" t="s">
        <v>105</v>
      </c>
    </row>
    <row r="123" spans="2:130" x14ac:dyDescent="0.3">
      <c r="CO123" s="45" t="s">
        <v>105</v>
      </c>
    </row>
    <row r="124" spans="2:130" x14ac:dyDescent="0.3">
      <c r="CO124" s="45" t="s">
        <v>105</v>
      </c>
    </row>
    <row r="125" spans="2:130" x14ac:dyDescent="0.3">
      <c r="CO125" s="45" t="s">
        <v>105</v>
      </c>
    </row>
    <row r="219" spans="93:93" x14ac:dyDescent="0.3">
      <c r="CO219" s="45" t="s">
        <v>105</v>
      </c>
    </row>
    <row r="220" spans="93:93" x14ac:dyDescent="0.3">
      <c r="CO220" s="45" t="s">
        <v>105</v>
      </c>
    </row>
    <row r="221" spans="93:93" x14ac:dyDescent="0.3">
      <c r="CO221" s="45" t="s">
        <v>105</v>
      </c>
    </row>
    <row r="222" spans="93:93" x14ac:dyDescent="0.3">
      <c r="CO222" s="45" t="s">
        <v>105</v>
      </c>
    </row>
    <row r="316" spans="93:93" x14ac:dyDescent="0.3">
      <c r="CO316" s="45" t="s">
        <v>105</v>
      </c>
    </row>
    <row r="317" spans="93:93" x14ac:dyDescent="0.3">
      <c r="CO317" s="45" t="s">
        <v>105</v>
      </c>
    </row>
    <row r="318" spans="93:93" x14ac:dyDescent="0.3">
      <c r="CO318" s="45" t="s">
        <v>105</v>
      </c>
    </row>
    <row r="319" spans="93:93" x14ac:dyDescent="0.3">
      <c r="CO319" s="45" t="s">
        <v>105</v>
      </c>
    </row>
    <row r="413" spans="93:93" x14ac:dyDescent="0.3">
      <c r="CO413" s="45" t="s">
        <v>105</v>
      </c>
    </row>
    <row r="414" spans="93:93" x14ac:dyDescent="0.3">
      <c r="CO414" s="45" t="s">
        <v>105</v>
      </c>
    </row>
    <row r="415" spans="93:93" x14ac:dyDescent="0.3">
      <c r="CO415" s="45" t="s">
        <v>105</v>
      </c>
    </row>
    <row r="416" spans="93:93" x14ac:dyDescent="0.3">
      <c r="CO416" s="45" t="s">
        <v>105</v>
      </c>
    </row>
    <row r="510" spans="93:93" x14ac:dyDescent="0.3">
      <c r="CO510" s="45" t="s">
        <v>105</v>
      </c>
    </row>
    <row r="511" spans="93:93" x14ac:dyDescent="0.3">
      <c r="CO511" s="45" t="s">
        <v>105</v>
      </c>
    </row>
    <row r="512" spans="93:93" x14ac:dyDescent="0.3">
      <c r="CO512" s="45" t="s">
        <v>105</v>
      </c>
    </row>
    <row r="513" spans="93:93" x14ac:dyDescent="0.3">
      <c r="CO513" s="45" t="s">
        <v>105</v>
      </c>
    </row>
    <row r="607" spans="93:93" x14ac:dyDescent="0.3">
      <c r="CO607" s="45" t="s">
        <v>105</v>
      </c>
    </row>
    <row r="608" spans="93:93" x14ac:dyDescent="0.3">
      <c r="CO608" s="45" t="s">
        <v>105</v>
      </c>
    </row>
    <row r="609" spans="93:93" x14ac:dyDescent="0.3">
      <c r="CO609" s="45" t="s">
        <v>105</v>
      </c>
    </row>
    <row r="610" spans="93:93" x14ac:dyDescent="0.3">
      <c r="CO610" s="45" t="s">
        <v>105</v>
      </c>
    </row>
    <row r="704" spans="93:93" x14ac:dyDescent="0.3">
      <c r="CO704" s="45" t="s">
        <v>105</v>
      </c>
    </row>
    <row r="705" spans="93:93" x14ac:dyDescent="0.3">
      <c r="CO705" s="45" t="s">
        <v>105</v>
      </c>
    </row>
    <row r="706" spans="93:93" x14ac:dyDescent="0.3">
      <c r="CO706" s="45" t="s">
        <v>105</v>
      </c>
    </row>
    <row r="707" spans="93:93" x14ac:dyDescent="0.3">
      <c r="CO707" s="45" t="s">
        <v>105</v>
      </c>
    </row>
    <row r="801" spans="93:93" x14ac:dyDescent="0.3">
      <c r="CO801" s="45" t="s">
        <v>105</v>
      </c>
    </row>
    <row r="802" spans="93:93" x14ac:dyDescent="0.3">
      <c r="CO802" s="45" t="s">
        <v>105</v>
      </c>
    </row>
    <row r="803" spans="93:93" x14ac:dyDescent="0.3">
      <c r="CO803" s="45" t="s">
        <v>105</v>
      </c>
    </row>
    <row r="804" spans="93:93" x14ac:dyDescent="0.3">
      <c r="CO804" s="45" t="s">
        <v>105</v>
      </c>
    </row>
    <row r="898" spans="93:93" x14ac:dyDescent="0.3">
      <c r="CO898" s="45" t="s">
        <v>105</v>
      </c>
    </row>
    <row r="899" spans="93:93" x14ac:dyDescent="0.3">
      <c r="CO899" s="45" t="s">
        <v>105</v>
      </c>
    </row>
    <row r="900" spans="93:93" x14ac:dyDescent="0.3">
      <c r="CO900" s="45" t="s">
        <v>105</v>
      </c>
    </row>
    <row r="901" spans="93:93" x14ac:dyDescent="0.3">
      <c r="CO901" s="45" t="s">
        <v>105</v>
      </c>
    </row>
    <row r="995" spans="93:93" x14ac:dyDescent="0.3">
      <c r="CO995" s="45" t="s">
        <v>105</v>
      </c>
    </row>
    <row r="996" spans="93:93" x14ac:dyDescent="0.3">
      <c r="CO996" s="45" t="s">
        <v>105</v>
      </c>
    </row>
    <row r="997" spans="93:93" x14ac:dyDescent="0.3">
      <c r="CO997" s="45" t="s">
        <v>105</v>
      </c>
    </row>
    <row r="998" spans="93:93" x14ac:dyDescent="0.3">
      <c r="CO998" s="45" t="s">
        <v>105</v>
      </c>
    </row>
    <row r="1092" spans="93:93" x14ac:dyDescent="0.3">
      <c r="CO1092" s="45" t="s">
        <v>105</v>
      </c>
    </row>
    <row r="1093" spans="93:93" x14ac:dyDescent="0.3">
      <c r="CO1093" s="45" t="s">
        <v>105</v>
      </c>
    </row>
    <row r="1094" spans="93:93" x14ac:dyDescent="0.3">
      <c r="CO1094" s="45" t="s">
        <v>105</v>
      </c>
    </row>
    <row r="1095" spans="93:93" x14ac:dyDescent="0.3">
      <c r="CO1095" s="45" t="s">
        <v>105</v>
      </c>
    </row>
    <row r="1189" spans="93:93" x14ac:dyDescent="0.3">
      <c r="CO1189" s="45" t="s">
        <v>105</v>
      </c>
    </row>
    <row r="1190" spans="93:93" x14ac:dyDescent="0.3">
      <c r="CO1190" s="45" t="s">
        <v>105</v>
      </c>
    </row>
    <row r="1191" spans="93:93" x14ac:dyDescent="0.3">
      <c r="CO1191" s="45" t="s">
        <v>105</v>
      </c>
    </row>
    <row r="1192" spans="93:93" x14ac:dyDescent="0.3">
      <c r="CO1192" s="45" t="s">
        <v>105</v>
      </c>
    </row>
    <row r="1286" spans="93:93" x14ac:dyDescent="0.3">
      <c r="CO1286" s="45" t="s">
        <v>105</v>
      </c>
    </row>
    <row r="1287" spans="93:93" x14ac:dyDescent="0.3">
      <c r="CO1287" s="45" t="s">
        <v>105</v>
      </c>
    </row>
    <row r="1288" spans="93:93" x14ac:dyDescent="0.3">
      <c r="CO1288" s="45" t="s">
        <v>105</v>
      </c>
    </row>
    <row r="1289" spans="93:93" x14ac:dyDescent="0.3">
      <c r="CO1289" s="45" t="s">
        <v>105</v>
      </c>
    </row>
    <row r="1383" spans="93:93" x14ac:dyDescent="0.3">
      <c r="CO1383" s="45" t="s">
        <v>105</v>
      </c>
    </row>
    <row r="1384" spans="93:93" x14ac:dyDescent="0.3">
      <c r="CO1384" s="45" t="s">
        <v>105</v>
      </c>
    </row>
    <row r="1385" spans="93:93" x14ac:dyDescent="0.3">
      <c r="CO1385" s="45" t="s">
        <v>105</v>
      </c>
    </row>
    <row r="1386" spans="93:93" x14ac:dyDescent="0.3">
      <c r="CO1386" s="45" t="s">
        <v>105</v>
      </c>
    </row>
    <row r="1480" spans="93:93" x14ac:dyDescent="0.3">
      <c r="CO1480" s="45" t="s">
        <v>105</v>
      </c>
    </row>
    <row r="1481" spans="93:93" x14ac:dyDescent="0.3">
      <c r="CO1481" s="45" t="s">
        <v>105</v>
      </c>
    </row>
    <row r="1482" spans="93:93" x14ac:dyDescent="0.3">
      <c r="CO1482" s="45" t="s">
        <v>105</v>
      </c>
    </row>
    <row r="1483" spans="93:93" x14ac:dyDescent="0.3">
      <c r="CO1483" s="45" t="s">
        <v>105</v>
      </c>
    </row>
    <row r="1577" spans="93:93" x14ac:dyDescent="0.3">
      <c r="CO1577" s="45" t="s">
        <v>105</v>
      </c>
    </row>
    <row r="1578" spans="93:93" x14ac:dyDescent="0.3">
      <c r="CO1578" s="45" t="s">
        <v>105</v>
      </c>
    </row>
    <row r="1579" spans="93:93" x14ac:dyDescent="0.3">
      <c r="CO1579" s="45" t="s">
        <v>105</v>
      </c>
    </row>
    <row r="1580" spans="93:93" x14ac:dyDescent="0.3">
      <c r="CO1580" s="45" t="s">
        <v>105</v>
      </c>
    </row>
    <row r="1674" spans="93:93" x14ac:dyDescent="0.3">
      <c r="CO1674" s="45" t="s">
        <v>105</v>
      </c>
    </row>
    <row r="1675" spans="93:93" x14ac:dyDescent="0.3">
      <c r="CO1675" s="45" t="s">
        <v>105</v>
      </c>
    </row>
    <row r="1676" spans="93:93" x14ac:dyDescent="0.3">
      <c r="CO1676" s="45" t="s">
        <v>105</v>
      </c>
    </row>
    <row r="1677" spans="93:93" x14ac:dyDescent="0.3">
      <c r="CO1677" s="45" t="s">
        <v>105</v>
      </c>
    </row>
  </sheetData>
  <mergeCells count="37">
    <mergeCell ref="CD22:CD23"/>
    <mergeCell ref="CY23:DD23"/>
    <mergeCell ref="DF23:DK23"/>
    <mergeCell ref="CJ21:CJ22"/>
    <mergeCell ref="CL21:CL22"/>
    <mergeCell ref="CP21:CQ21"/>
    <mergeCell ref="CR21:CS21"/>
    <mergeCell ref="CU21:CV21"/>
    <mergeCell ref="CX21:DK21"/>
    <mergeCell ref="CF21:CH21"/>
    <mergeCell ref="BE20:BO20"/>
    <mergeCell ref="BP20:CE20"/>
    <mergeCell ref="CP20:CS20"/>
    <mergeCell ref="CU20:CV20"/>
    <mergeCell ref="C21:C22"/>
    <mergeCell ref="E21:E22"/>
    <mergeCell ref="J21:K21"/>
    <mergeCell ref="L21:M21"/>
    <mergeCell ref="N21:O21"/>
    <mergeCell ref="P21:Q21"/>
    <mergeCell ref="AW20:BD20"/>
    <mergeCell ref="S21:AI21"/>
    <mergeCell ref="AJ21:AV21"/>
    <mergeCell ref="AX21:BD21"/>
    <mergeCell ref="BE21:BK21"/>
    <mergeCell ref="BR21:BX21"/>
    <mergeCell ref="L15:N15"/>
    <mergeCell ref="L16:N16"/>
    <mergeCell ref="L17:P17"/>
    <mergeCell ref="I20:Q20"/>
    <mergeCell ref="S20:AV20"/>
    <mergeCell ref="L14:N14"/>
    <mergeCell ref="CX1:CX2"/>
    <mergeCell ref="CY1:CY2"/>
    <mergeCell ref="BM4:BN4"/>
    <mergeCell ref="BM6:BN6"/>
    <mergeCell ref="BM7:BN7"/>
  </mergeCells>
  <printOptions horizontalCentered="1"/>
  <pageMargins left="0.23622047244094491" right="0.23622047244094491" top="0.74803149606299213" bottom="0.74803149606299213" header="0.31496062992125984" footer="0.31496062992125984"/>
  <pageSetup paperSize="8" scale="41" fitToHeight="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69" r:id="rId4" name="Button 1">
              <controlPr defaultSize="0" print="0" autoFill="0" autoPict="0" macro="[0]!solve">
                <anchor moveWithCells="1" sizeWithCells="1">
                  <from>
                    <xdr:col>73</xdr:col>
                    <xdr:colOff>129540</xdr:colOff>
                    <xdr:row>15</xdr:row>
                    <xdr:rowOff>38100</xdr:rowOff>
                  </from>
                  <to>
                    <xdr:col>74</xdr:col>
                    <xdr:colOff>327660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0" r:id="rId5" name="Button 2">
              <controlPr defaultSize="0" print="0" autoFill="0" autoPict="0" macro="[0]!GET_FORCES">
                <anchor moveWithCells="1" sizeWithCells="1">
                  <from>
                    <xdr:col>98</xdr:col>
                    <xdr:colOff>304800</xdr:colOff>
                    <xdr:row>0</xdr:row>
                    <xdr:rowOff>114300</xdr:rowOff>
                  </from>
                  <to>
                    <xdr:col>99</xdr:col>
                    <xdr:colOff>480060</xdr:colOff>
                    <xdr:row>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1" r:id="rId6" name="Button 3">
              <controlPr defaultSize="0" print="0" autoFill="0" autoPict="0" macro="[0]!modifyLCs">
                <anchor moveWithCells="1" sizeWithCells="1">
                  <from>
                    <xdr:col>70</xdr:col>
                    <xdr:colOff>289560</xdr:colOff>
                    <xdr:row>15</xdr:row>
                    <xdr:rowOff>30480</xdr:rowOff>
                  </from>
                  <to>
                    <xdr:col>71</xdr:col>
                    <xdr:colOff>403860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2" r:id="rId7" name="Button 4">
              <controlPr defaultSize="0" print="0" autoFill="0" autoPict="0" macro="[0]!design">
                <anchor moveWithCells="1" sizeWithCells="1">
                  <from>
                    <xdr:col>68</xdr:col>
                    <xdr:colOff>365760</xdr:colOff>
                    <xdr:row>15</xdr:row>
                    <xdr:rowOff>60960</xdr:rowOff>
                  </from>
                  <to>
                    <xdr:col>70</xdr:col>
                    <xdr:colOff>129540</xdr:colOff>
                    <xdr:row>16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Summary-input</vt:lpstr>
      <vt:lpstr>Summary-output-SLS</vt:lpstr>
      <vt:lpstr>Summary-output-ULS</vt:lpstr>
      <vt:lpstr>Wall</vt:lpstr>
      <vt:lpstr>BASE SLAB</vt:lpstr>
      <vt:lpstr>'BASE SLAB'!Print_Area</vt:lpstr>
      <vt:lpstr>Wall!Print_Area</vt:lpstr>
      <vt:lpstr>'BASE SLAB'!Print_Titles</vt:lpstr>
      <vt:lpstr>Wall!Print_Titles</vt:lpstr>
    </vt:vector>
  </TitlesOfParts>
  <Company>Maunsell Consultants (Singapore) Pte. Ltd.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 Ni</dc:creator>
  <cp:lastModifiedBy>Kevin LOW Yi Liang</cp:lastModifiedBy>
  <cp:lastPrinted>2020-06-03T02:59:27Z</cp:lastPrinted>
  <dcterms:created xsi:type="dcterms:W3CDTF">1998-06-16T06:53:55Z</dcterms:created>
  <dcterms:modified xsi:type="dcterms:W3CDTF">2023-09-14T03:48:58Z</dcterms:modified>
</cp:coreProperties>
</file>