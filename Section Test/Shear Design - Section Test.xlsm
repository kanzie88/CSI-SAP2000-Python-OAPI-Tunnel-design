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rbanajurong-my.sharepoint.com/personal/johanna_enriquez_ktpworld_com/Documents/C-SG-003399_CAG Intra Tunnel/Calculations/CST/Section Test/"/>
    </mc:Choice>
  </mc:AlternateContent>
  <xr:revisionPtr revIDLastSave="8" documentId="13_ncr:1_{A7BEC3B6-F4B9-4833-879E-83281704419F}" xr6:coauthVersionLast="47" xr6:coauthVersionMax="47" xr10:uidLastSave="{301BAE99-B275-4E1D-8DC8-7BC131A6AD8D}"/>
  <bookViews>
    <workbookView xWindow="2808" yWindow="2256" windowWidth="17280" windowHeight="9960" tabRatio="504" activeTab="3" xr2:uid="{00000000-000D-0000-FFFF-FFFF00000000}"/>
  </bookViews>
  <sheets>
    <sheet name="Summary-input" sheetId="10" r:id="rId1"/>
    <sheet name="Summary-output-SLS" sheetId="11" r:id="rId2"/>
    <sheet name="Summary-output-ULS" sheetId="12" r:id="rId3"/>
    <sheet name="Section-All" sheetId="6" r:id="rId4"/>
  </sheets>
  <definedNames>
    <definedName name="_xlnm.Print_Area" localSheetId="3">'Section-All'!$A$1:$AS$90</definedName>
    <definedName name="_xlnm.Print_Titles" localSheetId="3">'Section-All'!$A:$I,'Section-All'!$1:$12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6" l="1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Z56" i="6" s="1"/>
  <c r="I57" i="6"/>
  <c r="I58" i="6"/>
  <c r="I59" i="6"/>
  <c r="I60" i="6"/>
  <c r="I61" i="6"/>
  <c r="I62" i="6"/>
  <c r="I63" i="6"/>
  <c r="I64" i="6"/>
  <c r="Z64" i="6" s="1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Z87" i="6" s="1"/>
  <c r="I88" i="6"/>
  <c r="I89" i="6"/>
  <c r="I90" i="6"/>
  <c r="I26" i="6"/>
  <c r="BK27" i="6"/>
  <c r="G27" i="6" s="1"/>
  <c r="BK28" i="6"/>
  <c r="G28" i="6" s="1"/>
  <c r="BK29" i="6"/>
  <c r="G29" i="6" s="1"/>
  <c r="BK30" i="6"/>
  <c r="G30" i="6" s="1"/>
  <c r="BK31" i="6"/>
  <c r="G31" i="6" s="1"/>
  <c r="BK32" i="6"/>
  <c r="G32" i="6" s="1"/>
  <c r="BK33" i="6"/>
  <c r="G33" i="6" s="1"/>
  <c r="BK34" i="6"/>
  <c r="G34" i="6" s="1"/>
  <c r="BK35" i="6"/>
  <c r="G35" i="6" s="1"/>
  <c r="BK36" i="6"/>
  <c r="G36" i="6" s="1"/>
  <c r="BK37" i="6"/>
  <c r="G37" i="6" s="1"/>
  <c r="BK38" i="6"/>
  <c r="G38" i="6" s="1"/>
  <c r="BK39" i="6"/>
  <c r="G39" i="6" s="1"/>
  <c r="BK40" i="6"/>
  <c r="G40" i="6" s="1"/>
  <c r="BK41" i="6"/>
  <c r="G41" i="6" s="1"/>
  <c r="BK42" i="6"/>
  <c r="G42" i="6" s="1"/>
  <c r="BK43" i="6"/>
  <c r="G43" i="6" s="1"/>
  <c r="BK44" i="6"/>
  <c r="G44" i="6" s="1"/>
  <c r="BK45" i="6"/>
  <c r="G45" i="6" s="1"/>
  <c r="BK46" i="6"/>
  <c r="G46" i="6" s="1"/>
  <c r="BK47" i="6"/>
  <c r="G47" i="6" s="1"/>
  <c r="BK48" i="6"/>
  <c r="G48" i="6" s="1"/>
  <c r="BK49" i="6"/>
  <c r="G49" i="6" s="1"/>
  <c r="BK50" i="6"/>
  <c r="G50" i="6" s="1"/>
  <c r="BK51" i="6"/>
  <c r="G51" i="6" s="1"/>
  <c r="BK52" i="6"/>
  <c r="G52" i="6" s="1"/>
  <c r="BK53" i="6"/>
  <c r="G53" i="6" s="1"/>
  <c r="BK54" i="6"/>
  <c r="G54" i="6" s="1"/>
  <c r="BK55" i="6"/>
  <c r="G55" i="6" s="1"/>
  <c r="BK56" i="6"/>
  <c r="G56" i="6" s="1"/>
  <c r="BK57" i="6"/>
  <c r="G57" i="6" s="1"/>
  <c r="BK58" i="6"/>
  <c r="G58" i="6" s="1"/>
  <c r="BK59" i="6"/>
  <c r="G59" i="6" s="1"/>
  <c r="BK60" i="6"/>
  <c r="G60" i="6" s="1"/>
  <c r="BK61" i="6"/>
  <c r="G61" i="6" s="1"/>
  <c r="BK62" i="6"/>
  <c r="G62" i="6" s="1"/>
  <c r="BK63" i="6"/>
  <c r="G63" i="6" s="1"/>
  <c r="BK64" i="6"/>
  <c r="G64" i="6" s="1"/>
  <c r="BK65" i="6"/>
  <c r="G65" i="6" s="1"/>
  <c r="BK66" i="6"/>
  <c r="G66" i="6" s="1"/>
  <c r="BK67" i="6"/>
  <c r="G67" i="6" s="1"/>
  <c r="BK68" i="6"/>
  <c r="G68" i="6" s="1"/>
  <c r="BK69" i="6"/>
  <c r="G69" i="6" s="1"/>
  <c r="BK70" i="6"/>
  <c r="G70" i="6" s="1"/>
  <c r="BK71" i="6"/>
  <c r="G71" i="6" s="1"/>
  <c r="BK72" i="6"/>
  <c r="G72" i="6" s="1"/>
  <c r="BK73" i="6"/>
  <c r="G73" i="6" s="1"/>
  <c r="BK74" i="6"/>
  <c r="G74" i="6" s="1"/>
  <c r="BK75" i="6"/>
  <c r="G75" i="6" s="1"/>
  <c r="BK76" i="6"/>
  <c r="G76" i="6" s="1"/>
  <c r="BK77" i="6"/>
  <c r="G77" i="6" s="1"/>
  <c r="BK78" i="6"/>
  <c r="G78" i="6" s="1"/>
  <c r="BK79" i="6"/>
  <c r="G79" i="6" s="1"/>
  <c r="BK80" i="6"/>
  <c r="G80" i="6" s="1"/>
  <c r="BK81" i="6"/>
  <c r="G81" i="6" s="1"/>
  <c r="BK82" i="6"/>
  <c r="G82" i="6" s="1"/>
  <c r="BK83" i="6"/>
  <c r="G83" i="6" s="1"/>
  <c r="BK84" i="6"/>
  <c r="G84" i="6" s="1"/>
  <c r="BK85" i="6"/>
  <c r="G85" i="6" s="1"/>
  <c r="BK86" i="6"/>
  <c r="G86" i="6" s="1"/>
  <c r="BK87" i="6"/>
  <c r="G87" i="6" s="1"/>
  <c r="BK88" i="6"/>
  <c r="G88" i="6" s="1"/>
  <c r="BK89" i="6"/>
  <c r="G89" i="6" s="1"/>
  <c r="BK90" i="6"/>
  <c r="G90" i="6" s="1"/>
  <c r="BK26" i="6"/>
  <c r="G26" i="6" s="1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65" i="6"/>
  <c r="AU66" i="6"/>
  <c r="AU67" i="6"/>
  <c r="AU68" i="6"/>
  <c r="AU69" i="6"/>
  <c r="AU70" i="6"/>
  <c r="AU71" i="6"/>
  <c r="AU72" i="6"/>
  <c r="AU73" i="6"/>
  <c r="AU74" i="6"/>
  <c r="AU75" i="6"/>
  <c r="AU76" i="6"/>
  <c r="AU77" i="6"/>
  <c r="AU78" i="6"/>
  <c r="AU79" i="6"/>
  <c r="AU80" i="6"/>
  <c r="AU81" i="6"/>
  <c r="AU82" i="6"/>
  <c r="AU83" i="6"/>
  <c r="AU84" i="6"/>
  <c r="AU85" i="6"/>
  <c r="AU86" i="6"/>
  <c r="AU87" i="6"/>
  <c r="AU88" i="6"/>
  <c r="AU89" i="6"/>
  <c r="AU90" i="6"/>
  <c r="AU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P63" i="6"/>
  <c r="BP64" i="6"/>
  <c r="BP65" i="6"/>
  <c r="BP66" i="6"/>
  <c r="BP67" i="6"/>
  <c r="BP68" i="6"/>
  <c r="BP69" i="6"/>
  <c r="BP70" i="6"/>
  <c r="BP71" i="6"/>
  <c r="BP72" i="6"/>
  <c r="BP73" i="6"/>
  <c r="BP74" i="6"/>
  <c r="BP75" i="6"/>
  <c r="BP76" i="6"/>
  <c r="BP77" i="6"/>
  <c r="BP78" i="6"/>
  <c r="BP79" i="6"/>
  <c r="BP80" i="6"/>
  <c r="BP81" i="6"/>
  <c r="BP82" i="6"/>
  <c r="BP83" i="6"/>
  <c r="BP84" i="6"/>
  <c r="BP85" i="6"/>
  <c r="BP86" i="6"/>
  <c r="BP87" i="6"/>
  <c r="BP88" i="6"/>
  <c r="BP89" i="6"/>
  <c r="BP90" i="6"/>
  <c r="BP26" i="6"/>
  <c r="BN26" i="6"/>
  <c r="BM26" i="6"/>
  <c r="H26" i="6" s="1"/>
  <c r="BL26" i="6"/>
  <c r="BJ27" i="6"/>
  <c r="F27" i="6" s="1"/>
  <c r="BL27" i="6"/>
  <c r="BM27" i="6"/>
  <c r="H27" i="6" s="1"/>
  <c r="BN27" i="6"/>
  <c r="BJ28" i="6"/>
  <c r="F28" i="6" s="1"/>
  <c r="BL28" i="6"/>
  <c r="BM28" i="6"/>
  <c r="H28" i="6" s="1"/>
  <c r="BN28" i="6"/>
  <c r="BJ29" i="6"/>
  <c r="F29" i="6" s="1"/>
  <c r="BL29" i="6"/>
  <c r="BM29" i="6"/>
  <c r="H29" i="6" s="1"/>
  <c r="BN29" i="6"/>
  <c r="BJ30" i="6"/>
  <c r="F30" i="6" s="1"/>
  <c r="BL30" i="6"/>
  <c r="BM30" i="6"/>
  <c r="H30" i="6" s="1"/>
  <c r="BN30" i="6"/>
  <c r="BJ31" i="6"/>
  <c r="F31" i="6" s="1"/>
  <c r="BL31" i="6"/>
  <c r="BM31" i="6"/>
  <c r="H31" i="6" s="1"/>
  <c r="BN31" i="6"/>
  <c r="BJ32" i="6"/>
  <c r="F32" i="6" s="1"/>
  <c r="BL32" i="6"/>
  <c r="BM32" i="6"/>
  <c r="H32" i="6" s="1"/>
  <c r="BN32" i="6"/>
  <c r="BJ33" i="6"/>
  <c r="F33" i="6" s="1"/>
  <c r="BL33" i="6"/>
  <c r="BM33" i="6"/>
  <c r="H33" i="6" s="1"/>
  <c r="BN33" i="6"/>
  <c r="BJ34" i="6"/>
  <c r="F34" i="6" s="1"/>
  <c r="BL34" i="6"/>
  <c r="BM34" i="6"/>
  <c r="H34" i="6" s="1"/>
  <c r="BN34" i="6"/>
  <c r="BJ35" i="6"/>
  <c r="F35" i="6" s="1"/>
  <c r="BL35" i="6"/>
  <c r="BM35" i="6"/>
  <c r="H35" i="6" s="1"/>
  <c r="BN35" i="6"/>
  <c r="BJ36" i="6"/>
  <c r="F36" i="6" s="1"/>
  <c r="BL36" i="6"/>
  <c r="BM36" i="6"/>
  <c r="H36" i="6" s="1"/>
  <c r="BN36" i="6"/>
  <c r="BJ37" i="6"/>
  <c r="F37" i="6" s="1"/>
  <c r="BL37" i="6"/>
  <c r="BM37" i="6"/>
  <c r="H37" i="6" s="1"/>
  <c r="BN37" i="6"/>
  <c r="BJ38" i="6"/>
  <c r="F38" i="6" s="1"/>
  <c r="BL38" i="6"/>
  <c r="BM38" i="6"/>
  <c r="H38" i="6" s="1"/>
  <c r="BN38" i="6"/>
  <c r="BJ39" i="6"/>
  <c r="F39" i="6" s="1"/>
  <c r="BL39" i="6"/>
  <c r="BM39" i="6"/>
  <c r="H39" i="6" s="1"/>
  <c r="BN39" i="6"/>
  <c r="BJ40" i="6"/>
  <c r="F40" i="6" s="1"/>
  <c r="BL40" i="6"/>
  <c r="BM40" i="6"/>
  <c r="H40" i="6" s="1"/>
  <c r="BN40" i="6"/>
  <c r="BJ41" i="6"/>
  <c r="F41" i="6" s="1"/>
  <c r="BL41" i="6"/>
  <c r="BM41" i="6"/>
  <c r="H41" i="6" s="1"/>
  <c r="BN41" i="6"/>
  <c r="BJ42" i="6"/>
  <c r="F42" i="6" s="1"/>
  <c r="BL42" i="6"/>
  <c r="BM42" i="6"/>
  <c r="H42" i="6" s="1"/>
  <c r="BN42" i="6"/>
  <c r="BJ43" i="6"/>
  <c r="F43" i="6" s="1"/>
  <c r="BL43" i="6"/>
  <c r="BM43" i="6"/>
  <c r="H43" i="6" s="1"/>
  <c r="BN43" i="6"/>
  <c r="BJ44" i="6"/>
  <c r="F44" i="6" s="1"/>
  <c r="BL44" i="6"/>
  <c r="BM44" i="6"/>
  <c r="H44" i="6" s="1"/>
  <c r="BN44" i="6"/>
  <c r="BJ45" i="6"/>
  <c r="F45" i="6" s="1"/>
  <c r="BL45" i="6"/>
  <c r="BM45" i="6"/>
  <c r="H45" i="6" s="1"/>
  <c r="BN45" i="6"/>
  <c r="BJ46" i="6"/>
  <c r="F46" i="6" s="1"/>
  <c r="BL46" i="6"/>
  <c r="BM46" i="6"/>
  <c r="H46" i="6" s="1"/>
  <c r="BN46" i="6"/>
  <c r="BJ47" i="6"/>
  <c r="F47" i="6" s="1"/>
  <c r="BL47" i="6"/>
  <c r="BM47" i="6"/>
  <c r="H47" i="6" s="1"/>
  <c r="BN47" i="6"/>
  <c r="BJ48" i="6"/>
  <c r="F48" i="6" s="1"/>
  <c r="BL48" i="6"/>
  <c r="BM48" i="6"/>
  <c r="H48" i="6" s="1"/>
  <c r="BN48" i="6"/>
  <c r="BJ49" i="6"/>
  <c r="F49" i="6" s="1"/>
  <c r="BL49" i="6"/>
  <c r="BM49" i="6"/>
  <c r="H49" i="6" s="1"/>
  <c r="BN49" i="6"/>
  <c r="BJ50" i="6"/>
  <c r="F50" i="6" s="1"/>
  <c r="BL50" i="6"/>
  <c r="BM50" i="6"/>
  <c r="H50" i="6" s="1"/>
  <c r="BN50" i="6"/>
  <c r="BJ51" i="6"/>
  <c r="F51" i="6" s="1"/>
  <c r="BL51" i="6"/>
  <c r="BM51" i="6"/>
  <c r="H51" i="6" s="1"/>
  <c r="BN51" i="6"/>
  <c r="BJ52" i="6"/>
  <c r="F52" i="6" s="1"/>
  <c r="BL52" i="6"/>
  <c r="BM52" i="6"/>
  <c r="H52" i="6" s="1"/>
  <c r="BN52" i="6"/>
  <c r="BJ53" i="6"/>
  <c r="F53" i="6" s="1"/>
  <c r="BL53" i="6"/>
  <c r="BM53" i="6"/>
  <c r="H53" i="6" s="1"/>
  <c r="BN53" i="6"/>
  <c r="BJ54" i="6"/>
  <c r="F54" i="6" s="1"/>
  <c r="BL54" i="6"/>
  <c r="BM54" i="6"/>
  <c r="H54" i="6" s="1"/>
  <c r="BN54" i="6"/>
  <c r="BJ55" i="6"/>
  <c r="F55" i="6" s="1"/>
  <c r="BL55" i="6"/>
  <c r="BM55" i="6"/>
  <c r="H55" i="6" s="1"/>
  <c r="BN55" i="6"/>
  <c r="BJ56" i="6"/>
  <c r="F56" i="6" s="1"/>
  <c r="BL56" i="6"/>
  <c r="BM56" i="6"/>
  <c r="H56" i="6" s="1"/>
  <c r="BN56" i="6"/>
  <c r="BJ57" i="6"/>
  <c r="F57" i="6" s="1"/>
  <c r="BL57" i="6"/>
  <c r="BM57" i="6"/>
  <c r="H57" i="6" s="1"/>
  <c r="BN57" i="6"/>
  <c r="BJ58" i="6"/>
  <c r="F58" i="6" s="1"/>
  <c r="BL58" i="6"/>
  <c r="BM58" i="6"/>
  <c r="H58" i="6" s="1"/>
  <c r="BN58" i="6"/>
  <c r="BJ59" i="6"/>
  <c r="F59" i="6" s="1"/>
  <c r="BL59" i="6"/>
  <c r="BM59" i="6"/>
  <c r="H59" i="6" s="1"/>
  <c r="BN59" i="6"/>
  <c r="BJ60" i="6"/>
  <c r="F60" i="6" s="1"/>
  <c r="BL60" i="6"/>
  <c r="BM60" i="6"/>
  <c r="H60" i="6" s="1"/>
  <c r="BN60" i="6"/>
  <c r="BJ61" i="6"/>
  <c r="F61" i="6" s="1"/>
  <c r="BL61" i="6"/>
  <c r="BM61" i="6"/>
  <c r="H61" i="6" s="1"/>
  <c r="BN61" i="6"/>
  <c r="BJ62" i="6"/>
  <c r="F62" i="6" s="1"/>
  <c r="BL62" i="6"/>
  <c r="BM62" i="6"/>
  <c r="H62" i="6" s="1"/>
  <c r="BN62" i="6"/>
  <c r="BJ63" i="6"/>
  <c r="F63" i="6" s="1"/>
  <c r="BL63" i="6"/>
  <c r="BM63" i="6"/>
  <c r="H63" i="6" s="1"/>
  <c r="BN63" i="6"/>
  <c r="BJ64" i="6"/>
  <c r="F64" i="6" s="1"/>
  <c r="BL64" i="6"/>
  <c r="BM64" i="6"/>
  <c r="H64" i="6" s="1"/>
  <c r="BN64" i="6"/>
  <c r="BJ65" i="6"/>
  <c r="F65" i="6" s="1"/>
  <c r="BL65" i="6"/>
  <c r="BM65" i="6"/>
  <c r="H65" i="6" s="1"/>
  <c r="BN65" i="6"/>
  <c r="BJ66" i="6"/>
  <c r="F66" i="6" s="1"/>
  <c r="BL66" i="6"/>
  <c r="BM66" i="6"/>
  <c r="H66" i="6" s="1"/>
  <c r="BN66" i="6"/>
  <c r="BJ67" i="6"/>
  <c r="F67" i="6" s="1"/>
  <c r="BL67" i="6"/>
  <c r="BM67" i="6"/>
  <c r="H67" i="6" s="1"/>
  <c r="BN67" i="6"/>
  <c r="BJ68" i="6"/>
  <c r="F68" i="6" s="1"/>
  <c r="BL68" i="6"/>
  <c r="BM68" i="6"/>
  <c r="H68" i="6" s="1"/>
  <c r="BN68" i="6"/>
  <c r="BJ69" i="6"/>
  <c r="F69" i="6" s="1"/>
  <c r="BL69" i="6"/>
  <c r="BM69" i="6"/>
  <c r="H69" i="6" s="1"/>
  <c r="BN69" i="6"/>
  <c r="BJ70" i="6"/>
  <c r="F70" i="6" s="1"/>
  <c r="BL70" i="6"/>
  <c r="BM70" i="6"/>
  <c r="H70" i="6" s="1"/>
  <c r="BN70" i="6"/>
  <c r="BJ71" i="6"/>
  <c r="F71" i="6" s="1"/>
  <c r="BL71" i="6"/>
  <c r="BM71" i="6"/>
  <c r="H71" i="6" s="1"/>
  <c r="BN71" i="6"/>
  <c r="BJ72" i="6"/>
  <c r="F72" i="6" s="1"/>
  <c r="BL72" i="6"/>
  <c r="BM72" i="6"/>
  <c r="H72" i="6" s="1"/>
  <c r="BN72" i="6"/>
  <c r="BJ73" i="6"/>
  <c r="F73" i="6" s="1"/>
  <c r="BL73" i="6"/>
  <c r="BM73" i="6"/>
  <c r="H73" i="6" s="1"/>
  <c r="BN73" i="6"/>
  <c r="BJ74" i="6"/>
  <c r="F74" i="6" s="1"/>
  <c r="BL74" i="6"/>
  <c r="BM74" i="6"/>
  <c r="H74" i="6" s="1"/>
  <c r="BN74" i="6"/>
  <c r="BJ75" i="6"/>
  <c r="F75" i="6" s="1"/>
  <c r="BL75" i="6"/>
  <c r="BM75" i="6"/>
  <c r="H75" i="6" s="1"/>
  <c r="BN75" i="6"/>
  <c r="BJ76" i="6"/>
  <c r="F76" i="6" s="1"/>
  <c r="BL76" i="6"/>
  <c r="BM76" i="6"/>
  <c r="H76" i="6" s="1"/>
  <c r="BN76" i="6"/>
  <c r="BJ77" i="6"/>
  <c r="F77" i="6" s="1"/>
  <c r="BL77" i="6"/>
  <c r="BM77" i="6"/>
  <c r="H77" i="6" s="1"/>
  <c r="BN77" i="6"/>
  <c r="BJ78" i="6"/>
  <c r="F78" i="6" s="1"/>
  <c r="BL78" i="6"/>
  <c r="BM78" i="6"/>
  <c r="H78" i="6" s="1"/>
  <c r="BN78" i="6"/>
  <c r="BJ79" i="6"/>
  <c r="F79" i="6" s="1"/>
  <c r="BL79" i="6"/>
  <c r="BM79" i="6"/>
  <c r="H79" i="6" s="1"/>
  <c r="BN79" i="6"/>
  <c r="BJ80" i="6"/>
  <c r="F80" i="6" s="1"/>
  <c r="BL80" i="6"/>
  <c r="BM80" i="6"/>
  <c r="H80" i="6" s="1"/>
  <c r="BN80" i="6"/>
  <c r="BJ81" i="6"/>
  <c r="F81" i="6" s="1"/>
  <c r="BL81" i="6"/>
  <c r="BM81" i="6"/>
  <c r="H81" i="6" s="1"/>
  <c r="BN81" i="6"/>
  <c r="BJ82" i="6"/>
  <c r="F82" i="6" s="1"/>
  <c r="BL82" i="6"/>
  <c r="BM82" i="6"/>
  <c r="H82" i="6" s="1"/>
  <c r="BN82" i="6"/>
  <c r="BJ83" i="6"/>
  <c r="F83" i="6" s="1"/>
  <c r="BL83" i="6"/>
  <c r="BM83" i="6"/>
  <c r="H83" i="6" s="1"/>
  <c r="BN83" i="6"/>
  <c r="BJ84" i="6"/>
  <c r="F84" i="6" s="1"/>
  <c r="BL84" i="6"/>
  <c r="BM84" i="6"/>
  <c r="H84" i="6" s="1"/>
  <c r="BN84" i="6"/>
  <c r="BJ85" i="6"/>
  <c r="F85" i="6" s="1"/>
  <c r="BL85" i="6"/>
  <c r="BM85" i="6"/>
  <c r="H85" i="6" s="1"/>
  <c r="BN85" i="6"/>
  <c r="BJ86" i="6"/>
  <c r="F86" i="6" s="1"/>
  <c r="BL86" i="6"/>
  <c r="BM86" i="6"/>
  <c r="H86" i="6" s="1"/>
  <c r="BN86" i="6"/>
  <c r="BJ87" i="6"/>
  <c r="F87" i="6" s="1"/>
  <c r="BL87" i="6"/>
  <c r="BM87" i="6"/>
  <c r="H87" i="6" s="1"/>
  <c r="BN87" i="6"/>
  <c r="BJ88" i="6"/>
  <c r="F88" i="6" s="1"/>
  <c r="BL88" i="6"/>
  <c r="BM88" i="6"/>
  <c r="H88" i="6" s="1"/>
  <c r="BN88" i="6"/>
  <c r="BJ89" i="6"/>
  <c r="F89" i="6" s="1"/>
  <c r="BL89" i="6"/>
  <c r="BM89" i="6"/>
  <c r="H89" i="6" s="1"/>
  <c r="BN89" i="6"/>
  <c r="BJ90" i="6"/>
  <c r="F90" i="6" s="1"/>
  <c r="BL90" i="6"/>
  <c r="BM90" i="6"/>
  <c r="H90" i="6" s="1"/>
  <c r="BN90" i="6"/>
  <c r="BJ26" i="6"/>
  <c r="F26" i="6" s="1"/>
  <c r="AB90" i="6"/>
  <c r="AA90" i="6"/>
  <c r="Z90" i="6"/>
  <c r="W90" i="6"/>
  <c r="V90" i="6"/>
  <c r="U90" i="6"/>
  <c r="T90" i="6"/>
  <c r="S90" i="6"/>
  <c r="Y90" i="6" s="1"/>
  <c r="Q90" i="6"/>
  <c r="O90" i="6"/>
  <c r="M90" i="6"/>
  <c r="L90" i="6"/>
  <c r="J90" i="6"/>
  <c r="A90" i="6"/>
  <c r="B90" i="6" s="1"/>
  <c r="AB89" i="6"/>
  <c r="AA89" i="6"/>
  <c r="Z89" i="6"/>
  <c r="W89" i="6"/>
  <c r="V89" i="6"/>
  <c r="U89" i="6"/>
  <c r="T89" i="6"/>
  <c r="S89" i="6"/>
  <c r="Y89" i="6" s="1"/>
  <c r="Q89" i="6"/>
  <c r="O89" i="6"/>
  <c r="M89" i="6"/>
  <c r="L89" i="6"/>
  <c r="J89" i="6"/>
  <c r="A89" i="6"/>
  <c r="B89" i="6" s="1"/>
  <c r="AB88" i="6"/>
  <c r="AA88" i="6"/>
  <c r="Z88" i="6"/>
  <c r="W88" i="6"/>
  <c r="V88" i="6"/>
  <c r="U88" i="6"/>
  <c r="T88" i="6"/>
  <c r="S88" i="6"/>
  <c r="Y88" i="6" s="1"/>
  <c r="Q88" i="6"/>
  <c r="O88" i="6"/>
  <c r="M88" i="6"/>
  <c r="L88" i="6"/>
  <c r="J88" i="6"/>
  <c r="A88" i="6"/>
  <c r="B88" i="6" s="1"/>
  <c r="AB87" i="6"/>
  <c r="AA87" i="6"/>
  <c r="W87" i="6"/>
  <c r="V87" i="6"/>
  <c r="U87" i="6"/>
  <c r="T87" i="6"/>
  <c r="S87" i="6"/>
  <c r="Y87" i="6" s="1"/>
  <c r="Q87" i="6"/>
  <c r="O87" i="6"/>
  <c r="M87" i="6"/>
  <c r="L87" i="6"/>
  <c r="J87" i="6"/>
  <c r="A87" i="6"/>
  <c r="B87" i="6" s="1"/>
  <c r="AB86" i="6"/>
  <c r="AA86" i="6"/>
  <c r="Z86" i="6"/>
  <c r="W86" i="6"/>
  <c r="V86" i="6"/>
  <c r="U86" i="6"/>
  <c r="T86" i="6"/>
  <c r="S86" i="6"/>
  <c r="Y86" i="6" s="1"/>
  <c r="Q86" i="6"/>
  <c r="O86" i="6"/>
  <c r="M86" i="6"/>
  <c r="L86" i="6"/>
  <c r="J86" i="6"/>
  <c r="A86" i="6"/>
  <c r="B86" i="6" s="1"/>
  <c r="AB85" i="6"/>
  <c r="AA85" i="6"/>
  <c r="Z85" i="6"/>
  <c r="W85" i="6"/>
  <c r="V85" i="6"/>
  <c r="U85" i="6"/>
  <c r="T85" i="6"/>
  <c r="S85" i="6"/>
  <c r="Y85" i="6" s="1"/>
  <c r="Q85" i="6"/>
  <c r="O85" i="6"/>
  <c r="M85" i="6"/>
  <c r="L85" i="6"/>
  <c r="J85" i="6"/>
  <c r="A85" i="6"/>
  <c r="B85" i="6" s="1"/>
  <c r="AB84" i="6"/>
  <c r="AA84" i="6"/>
  <c r="Z84" i="6"/>
  <c r="W84" i="6"/>
  <c r="V84" i="6"/>
  <c r="U84" i="6"/>
  <c r="T84" i="6"/>
  <c r="S84" i="6"/>
  <c r="Y84" i="6" s="1"/>
  <c r="Q84" i="6"/>
  <c r="O84" i="6"/>
  <c r="M84" i="6"/>
  <c r="L84" i="6"/>
  <c r="J84" i="6"/>
  <c r="A84" i="6"/>
  <c r="B84" i="6" s="1"/>
  <c r="AB83" i="6"/>
  <c r="AA83" i="6"/>
  <c r="Z83" i="6"/>
  <c r="W83" i="6"/>
  <c r="V83" i="6"/>
  <c r="U83" i="6"/>
  <c r="T83" i="6"/>
  <c r="S83" i="6"/>
  <c r="Y83" i="6" s="1"/>
  <c r="Q83" i="6"/>
  <c r="O83" i="6"/>
  <c r="M83" i="6"/>
  <c r="L83" i="6"/>
  <c r="J83" i="6"/>
  <c r="A83" i="6"/>
  <c r="B83" i="6" s="1"/>
  <c r="AB82" i="6"/>
  <c r="AA82" i="6"/>
  <c r="Z82" i="6"/>
  <c r="W82" i="6"/>
  <c r="V82" i="6"/>
  <c r="U82" i="6"/>
  <c r="T82" i="6"/>
  <c r="S82" i="6"/>
  <c r="Y82" i="6" s="1"/>
  <c r="Q82" i="6"/>
  <c r="O82" i="6"/>
  <c r="M82" i="6"/>
  <c r="L82" i="6"/>
  <c r="J82" i="6"/>
  <c r="A82" i="6"/>
  <c r="B82" i="6" s="1"/>
  <c r="AB81" i="6"/>
  <c r="AA81" i="6"/>
  <c r="Z81" i="6"/>
  <c r="W81" i="6"/>
  <c r="V81" i="6"/>
  <c r="U81" i="6"/>
  <c r="T81" i="6"/>
  <c r="S81" i="6"/>
  <c r="Y81" i="6" s="1"/>
  <c r="Q81" i="6"/>
  <c r="O81" i="6"/>
  <c r="M81" i="6"/>
  <c r="L81" i="6"/>
  <c r="J81" i="6"/>
  <c r="A81" i="6"/>
  <c r="B81" i="6" s="1"/>
  <c r="AB80" i="6"/>
  <c r="AA80" i="6"/>
  <c r="Z80" i="6"/>
  <c r="AC80" i="6" s="1"/>
  <c r="W80" i="6"/>
  <c r="V80" i="6"/>
  <c r="U80" i="6"/>
  <c r="T80" i="6"/>
  <c r="S80" i="6"/>
  <c r="Y80" i="6" s="1"/>
  <c r="Q80" i="6"/>
  <c r="O80" i="6"/>
  <c r="M80" i="6"/>
  <c r="L80" i="6"/>
  <c r="J80" i="6"/>
  <c r="A80" i="6"/>
  <c r="B80" i="6" s="1"/>
  <c r="AB79" i="6"/>
  <c r="AA79" i="6"/>
  <c r="Z79" i="6"/>
  <c r="W79" i="6"/>
  <c r="V79" i="6"/>
  <c r="U79" i="6"/>
  <c r="T79" i="6"/>
  <c r="S79" i="6"/>
  <c r="Y79" i="6" s="1"/>
  <c r="Q79" i="6"/>
  <c r="O79" i="6"/>
  <c r="M79" i="6"/>
  <c r="L79" i="6"/>
  <c r="J79" i="6"/>
  <c r="A79" i="6"/>
  <c r="B79" i="6" s="1"/>
  <c r="AB78" i="6"/>
  <c r="AA78" i="6"/>
  <c r="Z78" i="6"/>
  <c r="W78" i="6"/>
  <c r="V78" i="6"/>
  <c r="U78" i="6"/>
  <c r="T78" i="6"/>
  <c r="S78" i="6"/>
  <c r="Y78" i="6" s="1"/>
  <c r="Q78" i="6"/>
  <c r="O78" i="6"/>
  <c r="M78" i="6"/>
  <c r="L78" i="6"/>
  <c r="J78" i="6"/>
  <c r="A78" i="6"/>
  <c r="B78" i="6" s="1"/>
  <c r="AB77" i="6"/>
  <c r="AA77" i="6"/>
  <c r="Z77" i="6"/>
  <c r="W77" i="6"/>
  <c r="V77" i="6"/>
  <c r="U77" i="6"/>
  <c r="T77" i="6"/>
  <c r="S77" i="6"/>
  <c r="Y77" i="6" s="1"/>
  <c r="Q77" i="6"/>
  <c r="O77" i="6"/>
  <c r="M77" i="6"/>
  <c r="L77" i="6"/>
  <c r="J77" i="6"/>
  <c r="A77" i="6"/>
  <c r="B77" i="6" s="1"/>
  <c r="AB76" i="6"/>
  <c r="AA76" i="6"/>
  <c r="Z76" i="6"/>
  <c r="W76" i="6"/>
  <c r="V76" i="6"/>
  <c r="U76" i="6"/>
  <c r="T76" i="6"/>
  <c r="S76" i="6"/>
  <c r="Y76" i="6" s="1"/>
  <c r="Q76" i="6"/>
  <c r="O76" i="6"/>
  <c r="M76" i="6"/>
  <c r="L76" i="6"/>
  <c r="J76" i="6"/>
  <c r="A76" i="6"/>
  <c r="B76" i="6" s="1"/>
  <c r="AB75" i="6"/>
  <c r="AA75" i="6"/>
  <c r="Z75" i="6"/>
  <c r="W75" i="6"/>
  <c r="V75" i="6"/>
  <c r="U75" i="6"/>
  <c r="T75" i="6"/>
  <c r="S75" i="6"/>
  <c r="Y75" i="6" s="1"/>
  <c r="Q75" i="6"/>
  <c r="O75" i="6"/>
  <c r="M75" i="6"/>
  <c r="L75" i="6"/>
  <c r="J75" i="6"/>
  <c r="A75" i="6"/>
  <c r="B75" i="6" s="1"/>
  <c r="AB74" i="6"/>
  <c r="AA74" i="6"/>
  <c r="Z74" i="6"/>
  <c r="W74" i="6"/>
  <c r="V74" i="6"/>
  <c r="U74" i="6"/>
  <c r="T74" i="6"/>
  <c r="S74" i="6"/>
  <c r="Y74" i="6" s="1"/>
  <c r="Q74" i="6"/>
  <c r="O74" i="6"/>
  <c r="M74" i="6"/>
  <c r="L74" i="6"/>
  <c r="J74" i="6"/>
  <c r="A74" i="6"/>
  <c r="B74" i="6" s="1"/>
  <c r="A27" i="6"/>
  <c r="B27" i="6" s="1"/>
  <c r="A28" i="6"/>
  <c r="A29" i="6"/>
  <c r="A30" i="6"/>
  <c r="B30" i="6" s="1"/>
  <c r="A31" i="6"/>
  <c r="B31" i="6" s="1"/>
  <c r="A32" i="6"/>
  <c r="A33" i="6"/>
  <c r="A34" i="6"/>
  <c r="A35" i="6"/>
  <c r="A36" i="6"/>
  <c r="A37" i="6"/>
  <c r="A38" i="6"/>
  <c r="A39" i="6"/>
  <c r="A40" i="6"/>
  <c r="A41" i="6"/>
  <c r="A42" i="6"/>
  <c r="B42" i="6" s="1"/>
  <c r="A43" i="6"/>
  <c r="B43" i="6" s="1"/>
  <c r="A44" i="6"/>
  <c r="B44" i="6" s="1"/>
  <c r="A45" i="6"/>
  <c r="B45" i="6" s="1"/>
  <c r="A46" i="6"/>
  <c r="B46" i="6" s="1"/>
  <c r="A47" i="6"/>
  <c r="A48" i="6"/>
  <c r="A49" i="6"/>
  <c r="A50" i="6"/>
  <c r="B50" i="6" s="1"/>
  <c r="A51" i="6"/>
  <c r="B51" i="6" s="1"/>
  <c r="A52" i="6"/>
  <c r="A53" i="6"/>
  <c r="B53" i="6" s="1"/>
  <c r="A54" i="6"/>
  <c r="B54" i="6" s="1"/>
  <c r="A55" i="6"/>
  <c r="B55" i="6" s="1"/>
  <c r="A56" i="6"/>
  <c r="A57" i="6"/>
  <c r="A58" i="6"/>
  <c r="B58" i="6" s="1"/>
  <c r="A59" i="6"/>
  <c r="B59" i="6" s="1"/>
  <c r="A60" i="6"/>
  <c r="A61" i="6"/>
  <c r="A62" i="6"/>
  <c r="B62" i="6" s="1"/>
  <c r="A63" i="6"/>
  <c r="B63" i="6" s="1"/>
  <c r="A64" i="6"/>
  <c r="A65" i="6"/>
  <c r="A66" i="6"/>
  <c r="A67" i="6"/>
  <c r="B67" i="6" s="1"/>
  <c r="A68" i="6"/>
  <c r="A69" i="6"/>
  <c r="A70" i="6"/>
  <c r="B70" i="6" s="1"/>
  <c r="A71" i="6"/>
  <c r="B71" i="6" s="1"/>
  <c r="A72" i="6"/>
  <c r="A73" i="6"/>
  <c r="A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26" i="6"/>
  <c r="AB56" i="6"/>
  <c r="AA56" i="6"/>
  <c r="W56" i="6"/>
  <c r="V56" i="6"/>
  <c r="U56" i="6"/>
  <c r="T56" i="6"/>
  <c r="S56" i="6"/>
  <c r="Q56" i="6"/>
  <c r="O56" i="6"/>
  <c r="M56" i="6"/>
  <c r="L56" i="6"/>
  <c r="B56" i="6"/>
  <c r="B28" i="6"/>
  <c r="B29" i="6"/>
  <c r="B32" i="6"/>
  <c r="B33" i="6"/>
  <c r="B35" i="6"/>
  <c r="B36" i="6"/>
  <c r="B37" i="6"/>
  <c r="B38" i="6"/>
  <c r="B39" i="6"/>
  <c r="B40" i="6"/>
  <c r="B41" i="6"/>
  <c r="B47" i="6"/>
  <c r="B48" i="6"/>
  <c r="B49" i="6"/>
  <c r="B52" i="6"/>
  <c r="B57" i="6"/>
  <c r="B60" i="6"/>
  <c r="B61" i="6"/>
  <c r="B64" i="6"/>
  <c r="B65" i="6"/>
  <c r="B68" i="6"/>
  <c r="B69" i="6"/>
  <c r="B72" i="6"/>
  <c r="B73" i="6"/>
  <c r="B26" i="6"/>
  <c r="AB68" i="6"/>
  <c r="AA68" i="6"/>
  <c r="Z68" i="6"/>
  <c r="W68" i="6"/>
  <c r="V68" i="6"/>
  <c r="U68" i="6"/>
  <c r="T68" i="6"/>
  <c r="S68" i="6"/>
  <c r="Y68" i="6" s="1"/>
  <c r="Q68" i="6"/>
  <c r="O68" i="6"/>
  <c r="M68" i="6"/>
  <c r="L68" i="6"/>
  <c r="AB62" i="6"/>
  <c r="AA62" i="6"/>
  <c r="Z62" i="6"/>
  <c r="Y62" i="6"/>
  <c r="W62" i="6"/>
  <c r="V62" i="6"/>
  <c r="U62" i="6"/>
  <c r="T62" i="6"/>
  <c r="S62" i="6"/>
  <c r="Q62" i="6"/>
  <c r="O62" i="6"/>
  <c r="M62" i="6"/>
  <c r="L62" i="6"/>
  <c r="AB50" i="6"/>
  <c r="AA50" i="6"/>
  <c r="Z50" i="6"/>
  <c r="W50" i="6"/>
  <c r="V50" i="6"/>
  <c r="U50" i="6"/>
  <c r="T50" i="6"/>
  <c r="S50" i="6"/>
  <c r="Q50" i="6"/>
  <c r="O50" i="6"/>
  <c r="M50" i="6"/>
  <c r="L50" i="6"/>
  <c r="AB43" i="6"/>
  <c r="AA43" i="6"/>
  <c r="Z43" i="6"/>
  <c r="W43" i="6"/>
  <c r="Y43" i="6" s="1"/>
  <c r="V43" i="6"/>
  <c r="U43" i="6"/>
  <c r="T43" i="6"/>
  <c r="S43" i="6"/>
  <c r="Q43" i="6"/>
  <c r="O43" i="6"/>
  <c r="M43" i="6"/>
  <c r="L43" i="6"/>
  <c r="AB37" i="6"/>
  <c r="AA37" i="6"/>
  <c r="Z37" i="6"/>
  <c r="W37" i="6"/>
  <c r="V37" i="6"/>
  <c r="U37" i="6"/>
  <c r="T37" i="6"/>
  <c r="S37" i="6"/>
  <c r="Y37" i="6" s="1"/>
  <c r="Q37" i="6"/>
  <c r="O37" i="6"/>
  <c r="M37" i="6"/>
  <c r="L37" i="6"/>
  <c r="AB31" i="6"/>
  <c r="AA31" i="6"/>
  <c r="Z31" i="6"/>
  <c r="W31" i="6"/>
  <c r="Y31" i="6" s="1"/>
  <c r="V31" i="6"/>
  <c r="U31" i="6"/>
  <c r="T31" i="6"/>
  <c r="S31" i="6"/>
  <c r="Q31" i="6"/>
  <c r="O31" i="6"/>
  <c r="M31" i="6"/>
  <c r="L31" i="6"/>
  <c r="AB49" i="6"/>
  <c r="AA49" i="6"/>
  <c r="Z49" i="6"/>
  <c r="V49" i="6"/>
  <c r="T49" i="6"/>
  <c r="S49" i="6"/>
  <c r="Q49" i="6"/>
  <c r="O49" i="6"/>
  <c r="M49" i="6"/>
  <c r="L49" i="6"/>
  <c r="AB73" i="6"/>
  <c r="AA73" i="6"/>
  <c r="Z73" i="6"/>
  <c r="V73" i="6"/>
  <c r="T73" i="6"/>
  <c r="S73" i="6"/>
  <c r="Q73" i="6"/>
  <c r="O73" i="6"/>
  <c r="M73" i="6"/>
  <c r="L73" i="6"/>
  <c r="AB72" i="6"/>
  <c r="AA72" i="6"/>
  <c r="Z72" i="6"/>
  <c r="T72" i="6"/>
  <c r="S72" i="6"/>
  <c r="Y72" i="6" s="1"/>
  <c r="Q72" i="6"/>
  <c r="M72" i="6"/>
  <c r="L72" i="6"/>
  <c r="AB71" i="6"/>
  <c r="AA71" i="6"/>
  <c r="Z71" i="6"/>
  <c r="V71" i="6"/>
  <c r="T71" i="6"/>
  <c r="S71" i="6"/>
  <c r="Q71" i="6"/>
  <c r="O71" i="6"/>
  <c r="M71" i="6"/>
  <c r="L71" i="6"/>
  <c r="AB70" i="6"/>
  <c r="AA70" i="6"/>
  <c r="Z70" i="6"/>
  <c r="V70" i="6"/>
  <c r="T70" i="6"/>
  <c r="S70" i="6"/>
  <c r="Y70" i="6" s="1"/>
  <c r="Q70" i="6"/>
  <c r="O70" i="6"/>
  <c r="M70" i="6"/>
  <c r="L70" i="6"/>
  <c r="AB69" i="6"/>
  <c r="AA69" i="6"/>
  <c r="Z69" i="6"/>
  <c r="V69" i="6"/>
  <c r="T69" i="6"/>
  <c r="S69" i="6"/>
  <c r="Q69" i="6"/>
  <c r="O69" i="6"/>
  <c r="M69" i="6"/>
  <c r="L69" i="6"/>
  <c r="AB67" i="6"/>
  <c r="AA67" i="6"/>
  <c r="Z67" i="6"/>
  <c r="V67" i="6"/>
  <c r="T67" i="6"/>
  <c r="S67" i="6"/>
  <c r="Q67" i="6"/>
  <c r="O67" i="6"/>
  <c r="M67" i="6"/>
  <c r="L67" i="6"/>
  <c r="AB66" i="6"/>
  <c r="AA66" i="6"/>
  <c r="Z66" i="6"/>
  <c r="T66" i="6"/>
  <c r="S66" i="6"/>
  <c r="Q66" i="6"/>
  <c r="M66" i="6"/>
  <c r="L66" i="6"/>
  <c r="AB65" i="6"/>
  <c r="AA65" i="6"/>
  <c r="Z65" i="6"/>
  <c r="V65" i="6"/>
  <c r="T65" i="6"/>
  <c r="S65" i="6"/>
  <c r="Q65" i="6"/>
  <c r="O65" i="6"/>
  <c r="M65" i="6"/>
  <c r="L65" i="6"/>
  <c r="AB64" i="6"/>
  <c r="AA64" i="6"/>
  <c r="V64" i="6"/>
  <c r="T64" i="6"/>
  <c r="S64" i="6"/>
  <c r="Y64" i="6" s="1"/>
  <c r="Q64" i="6"/>
  <c r="O64" i="6"/>
  <c r="M64" i="6"/>
  <c r="L64" i="6"/>
  <c r="AB63" i="6"/>
  <c r="AA63" i="6"/>
  <c r="Z63" i="6"/>
  <c r="V63" i="6"/>
  <c r="T63" i="6"/>
  <c r="S63" i="6"/>
  <c r="Q63" i="6"/>
  <c r="O63" i="6"/>
  <c r="M63" i="6"/>
  <c r="L63" i="6"/>
  <c r="AB61" i="6"/>
  <c r="AA61" i="6"/>
  <c r="Z61" i="6"/>
  <c r="V61" i="6"/>
  <c r="T61" i="6"/>
  <c r="S61" i="6"/>
  <c r="Q61" i="6"/>
  <c r="O61" i="6"/>
  <c r="M61" i="6"/>
  <c r="L61" i="6"/>
  <c r="AB60" i="6"/>
  <c r="AA60" i="6"/>
  <c r="Z60" i="6"/>
  <c r="T60" i="6"/>
  <c r="S60" i="6"/>
  <c r="Y60" i="6" s="1"/>
  <c r="Q60" i="6"/>
  <c r="M60" i="6"/>
  <c r="L60" i="6"/>
  <c r="AB59" i="6"/>
  <c r="AA59" i="6"/>
  <c r="Z59" i="6"/>
  <c r="V59" i="6"/>
  <c r="T59" i="6"/>
  <c r="S59" i="6"/>
  <c r="Q59" i="6"/>
  <c r="O59" i="6"/>
  <c r="M59" i="6"/>
  <c r="L59" i="6"/>
  <c r="AB58" i="6"/>
  <c r="AA58" i="6"/>
  <c r="Z58" i="6"/>
  <c r="V58" i="6"/>
  <c r="T58" i="6"/>
  <c r="S58" i="6"/>
  <c r="Q58" i="6"/>
  <c r="O58" i="6"/>
  <c r="M58" i="6"/>
  <c r="L58" i="6"/>
  <c r="AB57" i="6"/>
  <c r="AA57" i="6"/>
  <c r="Z57" i="6"/>
  <c r="V57" i="6"/>
  <c r="T57" i="6"/>
  <c r="S57" i="6"/>
  <c r="Y57" i="6" s="1"/>
  <c r="Q57" i="6"/>
  <c r="O57" i="6"/>
  <c r="M57" i="6"/>
  <c r="L57" i="6"/>
  <c r="AB55" i="6"/>
  <c r="AA55" i="6"/>
  <c r="Z55" i="6"/>
  <c r="V55" i="6"/>
  <c r="T55" i="6"/>
  <c r="S55" i="6"/>
  <c r="Q55" i="6"/>
  <c r="O55" i="6"/>
  <c r="M55" i="6"/>
  <c r="L55" i="6"/>
  <c r="AB54" i="6"/>
  <c r="AA54" i="6"/>
  <c r="Z54" i="6"/>
  <c r="T54" i="6"/>
  <c r="S54" i="6"/>
  <c r="Q54" i="6"/>
  <c r="M54" i="6"/>
  <c r="L54" i="6"/>
  <c r="AB53" i="6"/>
  <c r="AA53" i="6"/>
  <c r="Z53" i="6"/>
  <c r="V53" i="6"/>
  <c r="T53" i="6"/>
  <c r="S53" i="6"/>
  <c r="Q53" i="6"/>
  <c r="O53" i="6"/>
  <c r="M53" i="6"/>
  <c r="L53" i="6"/>
  <c r="AB52" i="6"/>
  <c r="AA52" i="6"/>
  <c r="Z52" i="6"/>
  <c r="V52" i="6"/>
  <c r="T52" i="6"/>
  <c r="S52" i="6"/>
  <c r="Q52" i="6"/>
  <c r="O52" i="6"/>
  <c r="M52" i="6"/>
  <c r="L52" i="6"/>
  <c r="AB51" i="6"/>
  <c r="AA51" i="6"/>
  <c r="Z51" i="6"/>
  <c r="V51" i="6"/>
  <c r="T51" i="6"/>
  <c r="S51" i="6"/>
  <c r="Q51" i="6"/>
  <c r="O51" i="6"/>
  <c r="M51" i="6"/>
  <c r="L51" i="6"/>
  <c r="AB48" i="6"/>
  <c r="AA48" i="6"/>
  <c r="Z48" i="6"/>
  <c r="V48" i="6"/>
  <c r="T48" i="6"/>
  <c r="S48" i="6"/>
  <c r="Q48" i="6"/>
  <c r="O48" i="6"/>
  <c r="M48" i="6"/>
  <c r="L48" i="6"/>
  <c r="AB47" i="6"/>
  <c r="AA47" i="6"/>
  <c r="Z47" i="6"/>
  <c r="T47" i="6"/>
  <c r="S47" i="6"/>
  <c r="Y47" i="6" s="1"/>
  <c r="Q47" i="6"/>
  <c r="M47" i="6"/>
  <c r="L47" i="6"/>
  <c r="AB46" i="6"/>
  <c r="AA46" i="6"/>
  <c r="Z46" i="6"/>
  <c r="V46" i="6"/>
  <c r="T46" i="6"/>
  <c r="S46" i="6"/>
  <c r="Q46" i="6"/>
  <c r="O46" i="6"/>
  <c r="M46" i="6"/>
  <c r="L46" i="6"/>
  <c r="AB45" i="6"/>
  <c r="AA45" i="6"/>
  <c r="Z45" i="6"/>
  <c r="V45" i="6"/>
  <c r="T45" i="6"/>
  <c r="S45" i="6"/>
  <c r="Q45" i="6"/>
  <c r="O45" i="6"/>
  <c r="M45" i="6"/>
  <c r="L45" i="6"/>
  <c r="AB44" i="6"/>
  <c r="AA44" i="6"/>
  <c r="Z44" i="6"/>
  <c r="V44" i="6"/>
  <c r="T44" i="6"/>
  <c r="S44" i="6"/>
  <c r="Y44" i="6" s="1"/>
  <c r="Q44" i="6"/>
  <c r="O44" i="6"/>
  <c r="M44" i="6"/>
  <c r="L44" i="6"/>
  <c r="AB42" i="6"/>
  <c r="AA42" i="6"/>
  <c r="Z42" i="6"/>
  <c r="V42" i="6"/>
  <c r="T42" i="6"/>
  <c r="S42" i="6"/>
  <c r="Q42" i="6"/>
  <c r="O42" i="6"/>
  <c r="M42" i="6"/>
  <c r="L42" i="6"/>
  <c r="AB41" i="6"/>
  <c r="AA41" i="6"/>
  <c r="Z41" i="6"/>
  <c r="T41" i="6"/>
  <c r="S41" i="6"/>
  <c r="Q41" i="6"/>
  <c r="M41" i="6"/>
  <c r="L41" i="6"/>
  <c r="AB40" i="6"/>
  <c r="AA40" i="6"/>
  <c r="Z40" i="6"/>
  <c r="V40" i="6"/>
  <c r="T40" i="6"/>
  <c r="S40" i="6"/>
  <c r="Q40" i="6"/>
  <c r="O40" i="6"/>
  <c r="M40" i="6"/>
  <c r="L40" i="6"/>
  <c r="AB39" i="6"/>
  <c r="AA39" i="6"/>
  <c r="Z39" i="6"/>
  <c r="V39" i="6"/>
  <c r="T39" i="6"/>
  <c r="S39" i="6"/>
  <c r="Q39" i="6"/>
  <c r="O39" i="6"/>
  <c r="M39" i="6"/>
  <c r="L39" i="6"/>
  <c r="AB38" i="6"/>
  <c r="AA38" i="6"/>
  <c r="Z38" i="6"/>
  <c r="V38" i="6"/>
  <c r="T38" i="6"/>
  <c r="S38" i="6"/>
  <c r="Q38" i="6"/>
  <c r="O38" i="6"/>
  <c r="M38" i="6"/>
  <c r="L38" i="6"/>
  <c r="AB36" i="6"/>
  <c r="AA36" i="6"/>
  <c r="Z36" i="6"/>
  <c r="V36" i="6"/>
  <c r="T36" i="6"/>
  <c r="S36" i="6"/>
  <c r="Y36" i="6" s="1"/>
  <c r="Q36" i="6"/>
  <c r="O36" i="6"/>
  <c r="M36" i="6"/>
  <c r="L36" i="6"/>
  <c r="AB35" i="6"/>
  <c r="AA35" i="6"/>
  <c r="Z35" i="6"/>
  <c r="T35" i="6"/>
  <c r="S35" i="6"/>
  <c r="Q35" i="6"/>
  <c r="M35" i="6"/>
  <c r="L35" i="6"/>
  <c r="AB34" i="6"/>
  <c r="AA34" i="6"/>
  <c r="Z34" i="6"/>
  <c r="V34" i="6"/>
  <c r="T34" i="6"/>
  <c r="S34" i="6"/>
  <c r="Q34" i="6"/>
  <c r="O34" i="6"/>
  <c r="M34" i="6"/>
  <c r="L34" i="6"/>
  <c r="AB33" i="6"/>
  <c r="AA33" i="6"/>
  <c r="Z33" i="6"/>
  <c r="V33" i="6"/>
  <c r="T33" i="6"/>
  <c r="S33" i="6"/>
  <c r="Q33" i="6"/>
  <c r="O33" i="6"/>
  <c r="M33" i="6"/>
  <c r="L33" i="6"/>
  <c r="AB32" i="6"/>
  <c r="AA32" i="6"/>
  <c r="Z32" i="6"/>
  <c r="V32" i="6"/>
  <c r="T32" i="6"/>
  <c r="S32" i="6"/>
  <c r="Q32" i="6"/>
  <c r="O32" i="6"/>
  <c r="M32" i="6"/>
  <c r="L32" i="6"/>
  <c r="BY24" i="6"/>
  <c r="BX24" i="6"/>
  <c r="BV24" i="6"/>
  <c r="AS4" i="6"/>
  <c r="Z17" i="6"/>
  <c r="U61" i="6" s="1"/>
  <c r="AB30" i="6"/>
  <c r="V30" i="6"/>
  <c r="T30" i="6"/>
  <c r="S30" i="6"/>
  <c r="Y30" i="6" s="1"/>
  <c r="Q30" i="6"/>
  <c r="O30" i="6"/>
  <c r="M30" i="6"/>
  <c r="L30" i="6"/>
  <c r="AA30" i="6"/>
  <c r="L27" i="6"/>
  <c r="S15" i="6"/>
  <c r="S19" i="6"/>
  <c r="S18" i="6" s="1"/>
  <c r="AJ17" i="6"/>
  <c r="AJ16" i="6"/>
  <c r="Z26" i="6"/>
  <c r="AA26" i="6"/>
  <c r="L26" i="6"/>
  <c r="M26" i="6"/>
  <c r="O26" i="6"/>
  <c r="Q26" i="6"/>
  <c r="S26" i="6"/>
  <c r="T26" i="6"/>
  <c r="V26" i="6"/>
  <c r="AA27" i="6"/>
  <c r="AB27" i="6"/>
  <c r="AA28" i="6"/>
  <c r="AB28" i="6"/>
  <c r="Z29" i="6"/>
  <c r="AB29" i="6"/>
  <c r="M27" i="6"/>
  <c r="O27" i="6"/>
  <c r="Q27" i="6"/>
  <c r="S27" i="6"/>
  <c r="Y27" i="6" s="1"/>
  <c r="T27" i="6"/>
  <c r="V27" i="6"/>
  <c r="L28" i="6"/>
  <c r="M28" i="6"/>
  <c r="O28" i="6"/>
  <c r="Q28" i="6"/>
  <c r="S28" i="6"/>
  <c r="T28" i="6"/>
  <c r="V28" i="6"/>
  <c r="L29" i="6"/>
  <c r="M29" i="6"/>
  <c r="Q29" i="6"/>
  <c r="S29" i="6"/>
  <c r="T29" i="6"/>
  <c r="AB26" i="6"/>
  <c r="AA29" i="6"/>
  <c r="Z28" i="6"/>
  <c r="Z30" i="6"/>
  <c r="Z27" i="6"/>
  <c r="U46" i="6"/>
  <c r="U38" i="6"/>
  <c r="U60" i="6"/>
  <c r="U39" i="6"/>
  <c r="U26" i="6"/>
  <c r="U36" i="6"/>
  <c r="U66" i="6"/>
  <c r="Y66" i="6"/>
  <c r="U58" i="6"/>
  <c r="U49" i="6"/>
  <c r="U52" i="6"/>
  <c r="U33" i="6"/>
  <c r="U44" i="6"/>
  <c r="U48" i="6"/>
  <c r="U27" i="6"/>
  <c r="U30" i="6"/>
  <c r="U57" i="6"/>
  <c r="U65" i="6"/>
  <c r="U41" i="6"/>
  <c r="U40" i="6"/>
  <c r="U29" i="6"/>
  <c r="U63" i="6"/>
  <c r="U70" i="6"/>
  <c r="Z18" i="6"/>
  <c r="U69" i="6"/>
  <c r="U71" i="6"/>
  <c r="U51" i="6"/>
  <c r="U64" i="6"/>
  <c r="U35" i="6"/>
  <c r="U55" i="6"/>
  <c r="U67" i="6"/>
  <c r="U72" i="6"/>
  <c r="U28" i="6"/>
  <c r="U47" i="6"/>
  <c r="U42" i="6"/>
  <c r="U54" i="6"/>
  <c r="U53" i="6"/>
  <c r="U45" i="6"/>
  <c r="U34" i="6"/>
  <c r="U73" i="6"/>
  <c r="U59" i="6"/>
  <c r="Y59" i="6" s="1"/>
  <c r="U32" i="6"/>
  <c r="Y29" i="6"/>
  <c r="Y54" i="6"/>
  <c r="Y41" i="6"/>
  <c r="Y73" i="6"/>
  <c r="AC66" i="6"/>
  <c r="AG66" i="6" s="1"/>
  <c r="W44" i="6"/>
  <c r="W52" i="6"/>
  <c r="Y52" i="6"/>
  <c r="W58" i="6"/>
  <c r="W27" i="6"/>
  <c r="W73" i="6"/>
  <c r="W59" i="6"/>
  <c r="W32" i="6"/>
  <c r="W45" i="6"/>
  <c r="Y45" i="6" s="1"/>
  <c r="W46" i="6"/>
  <c r="W40" i="6"/>
  <c r="W55" i="6"/>
  <c r="W33" i="6"/>
  <c r="W67" i="6"/>
  <c r="W51" i="6"/>
  <c r="W49" i="6"/>
  <c r="Y49" i="6"/>
  <c r="W71" i="6"/>
  <c r="Y71" i="6"/>
  <c r="W30" i="6"/>
  <c r="W26" i="6"/>
  <c r="W65" i="6"/>
  <c r="W38" i="6"/>
  <c r="W64" i="6"/>
  <c r="W63" i="6"/>
  <c r="W48" i="6"/>
  <c r="Y48" i="6" s="1"/>
  <c r="W28" i="6"/>
  <c r="W34" i="6"/>
  <c r="Y34" i="6" s="1"/>
  <c r="W42" i="6"/>
  <c r="Y42" i="6" s="1"/>
  <c r="W70" i="6"/>
  <c r="W61" i="6"/>
  <c r="W36" i="6"/>
  <c r="W57" i="6"/>
  <c r="W39" i="6"/>
  <c r="W69" i="6"/>
  <c r="W53" i="6"/>
  <c r="Y53" i="6"/>
  <c r="Y67" i="6"/>
  <c r="Y39" i="6"/>
  <c r="AC48" i="6" l="1"/>
  <c r="AG48" i="6" s="1"/>
  <c r="AC67" i="6"/>
  <c r="AG67" i="6" s="1"/>
  <c r="AC71" i="6"/>
  <c r="AV71" i="6" s="1"/>
  <c r="AC74" i="6"/>
  <c r="AC79" i="6"/>
  <c r="AE79" i="6" s="1"/>
  <c r="AC86" i="6"/>
  <c r="AI86" i="6" s="1"/>
  <c r="AC34" i="6"/>
  <c r="AE34" i="6" s="1"/>
  <c r="AC78" i="6"/>
  <c r="AC84" i="6"/>
  <c r="AC90" i="6"/>
  <c r="AH90" i="6" s="1"/>
  <c r="Y51" i="6"/>
  <c r="AC51" i="6" s="1"/>
  <c r="Y63" i="6"/>
  <c r="AC63" i="6" s="1"/>
  <c r="AC41" i="6"/>
  <c r="AE41" i="6" s="1"/>
  <c r="AE66" i="6"/>
  <c r="AC29" i="6"/>
  <c r="AV29" i="6" s="1"/>
  <c r="AC52" i="6"/>
  <c r="AI52" i="6" s="1"/>
  <c r="Y28" i="6"/>
  <c r="AC28" i="6" s="1"/>
  <c r="Y26" i="6"/>
  <c r="AC26" i="6" s="1"/>
  <c r="AC64" i="6"/>
  <c r="AH64" i="6" s="1"/>
  <c r="AE29" i="6"/>
  <c r="AC36" i="6"/>
  <c r="AD36" i="6" s="1"/>
  <c r="AC53" i="6"/>
  <c r="AV53" i="6" s="1"/>
  <c r="AV66" i="6"/>
  <c r="AC44" i="6"/>
  <c r="AV44" i="6" s="1"/>
  <c r="AI66" i="6"/>
  <c r="AJ66" i="6" s="1"/>
  <c r="BR66" i="6" s="1"/>
  <c r="AC60" i="6"/>
  <c r="AD60" i="6" s="1"/>
  <c r="AC57" i="6"/>
  <c r="AC85" i="6"/>
  <c r="AH85" i="6" s="1"/>
  <c r="AC62" i="6"/>
  <c r="AV62" i="6" s="1"/>
  <c r="AH66" i="6"/>
  <c r="AH29" i="6"/>
  <c r="AC77" i="6"/>
  <c r="AH77" i="6" s="1"/>
  <c r="AC83" i="6"/>
  <c r="AI83" i="6" s="1"/>
  <c r="AC89" i="6"/>
  <c r="AG89" i="6" s="1"/>
  <c r="AC45" i="6"/>
  <c r="Y32" i="6"/>
  <c r="Y50" i="6"/>
  <c r="Y56" i="6"/>
  <c r="AC56" i="6" s="1"/>
  <c r="AC82" i="6"/>
  <c r="AG82" i="6" s="1"/>
  <c r="AC54" i="6"/>
  <c r="AE54" i="6" s="1"/>
  <c r="AC59" i="6"/>
  <c r="AG59" i="6" s="1"/>
  <c r="AC76" i="6"/>
  <c r="AI76" i="6" s="1"/>
  <c r="AC88" i="6"/>
  <c r="AD88" i="6" s="1"/>
  <c r="AC32" i="6"/>
  <c r="AV32" i="6" s="1"/>
  <c r="AC72" i="6"/>
  <c r="AI72" i="6" s="1"/>
  <c r="AC75" i="6"/>
  <c r="AI75" i="6" s="1"/>
  <c r="AC81" i="6"/>
  <c r="AC87" i="6"/>
  <c r="AG76" i="6"/>
  <c r="AV76" i="6"/>
  <c r="AI80" i="6"/>
  <c r="AG80" i="6"/>
  <c r="AV80" i="6"/>
  <c r="AG88" i="6"/>
  <c r="AI90" i="6"/>
  <c r="AG90" i="6"/>
  <c r="AV90" i="6"/>
  <c r="AH81" i="6"/>
  <c r="AH87" i="6"/>
  <c r="AI78" i="6"/>
  <c r="AG78" i="6"/>
  <c r="AV78" i="6"/>
  <c r="AI84" i="6"/>
  <c r="AG84" i="6"/>
  <c r="AV84" i="6"/>
  <c r="AE74" i="6"/>
  <c r="AE76" i="6"/>
  <c r="AE78" i="6"/>
  <c r="AE80" i="6"/>
  <c r="AE84" i="6"/>
  <c r="AE88" i="6"/>
  <c r="AE90" i="6"/>
  <c r="AI81" i="6"/>
  <c r="AG81" i="6"/>
  <c r="AJ81" i="6" s="1"/>
  <c r="BR81" i="6" s="1"/>
  <c r="AV81" i="6"/>
  <c r="AV89" i="6"/>
  <c r="AI74" i="6"/>
  <c r="AG74" i="6"/>
  <c r="AV74" i="6"/>
  <c r="AI87" i="6"/>
  <c r="AG87" i="6"/>
  <c r="AV87" i="6"/>
  <c r="AH74" i="6"/>
  <c r="AH76" i="6"/>
  <c r="AH78" i="6"/>
  <c r="AH80" i="6"/>
  <c r="AH84" i="6"/>
  <c r="AH88" i="6"/>
  <c r="AE81" i="6"/>
  <c r="AE87" i="6"/>
  <c r="AE89" i="6"/>
  <c r="AD74" i="6"/>
  <c r="AD76" i="6"/>
  <c r="AD78" i="6"/>
  <c r="AD80" i="6"/>
  <c r="AD81" i="6"/>
  <c r="AD84" i="6"/>
  <c r="AD87" i="6"/>
  <c r="AD90" i="6"/>
  <c r="AV48" i="6"/>
  <c r="AD29" i="6"/>
  <c r="AV64" i="6"/>
  <c r="AD66" i="6"/>
  <c r="B34" i="6"/>
  <c r="B66" i="6"/>
  <c r="AC68" i="6"/>
  <c r="AV68" i="6" s="1"/>
  <c r="AE62" i="6"/>
  <c r="AD62" i="6"/>
  <c r="AH62" i="6"/>
  <c r="AC50" i="6"/>
  <c r="AC43" i="6"/>
  <c r="AC37" i="6"/>
  <c r="AV37" i="6" s="1"/>
  <c r="AC31" i="6"/>
  <c r="Y61" i="6"/>
  <c r="AH44" i="6"/>
  <c r="AG44" i="6"/>
  <c r="AD44" i="6"/>
  <c r="AC30" i="6"/>
  <c r="AE30" i="6"/>
  <c r="AE32" i="6"/>
  <c r="AH45" i="6"/>
  <c r="AE52" i="6"/>
  <c r="AV52" i="6"/>
  <c r="AD52" i="6"/>
  <c r="AH52" i="6"/>
  <c r="AG52" i="6"/>
  <c r="AJ52" i="6" s="1"/>
  <c r="BR52" i="6" s="1"/>
  <c r="AV30" i="6"/>
  <c r="Y33" i="6"/>
  <c r="AC33" i="6" s="1"/>
  <c r="AV39" i="6"/>
  <c r="AC42" i="6"/>
  <c r="Y46" i="6"/>
  <c r="AC46" i="6"/>
  <c r="AI54" i="6"/>
  <c r="Y55" i="6"/>
  <c r="AC55" i="6" s="1"/>
  <c r="AV57" i="6"/>
  <c r="AH57" i="6"/>
  <c r="AI57" i="6"/>
  <c r="AG57" i="6"/>
  <c r="AD57" i="6"/>
  <c r="Y58" i="6"/>
  <c r="AH59" i="6"/>
  <c r="AE57" i="6"/>
  <c r="AC27" i="6"/>
  <c r="AE48" i="6"/>
  <c r="AD48" i="6"/>
  <c r="Y38" i="6"/>
  <c r="AC70" i="6"/>
  <c r="AC47" i="6"/>
  <c r="AE47" i="6" s="1"/>
  <c r="Y40" i="6"/>
  <c r="AC39" i="6"/>
  <c r="AE39" i="6" s="1"/>
  <c r="AC73" i="6"/>
  <c r="AE72" i="6"/>
  <c r="Y69" i="6"/>
  <c r="AC69" i="6" s="1"/>
  <c r="Y65" i="6"/>
  <c r="AC49" i="6"/>
  <c r="Y35" i="6"/>
  <c r="AJ48" i="6" l="1"/>
  <c r="BR48" i="6" s="1"/>
  <c r="AI89" i="6"/>
  <c r="AJ76" i="6"/>
  <c r="BR76" i="6" s="1"/>
  <c r="AV41" i="6"/>
  <c r="AJ57" i="6"/>
  <c r="BR57" i="6" s="1"/>
  <c r="AV54" i="6"/>
  <c r="AI34" i="6"/>
  <c r="AH48" i="6"/>
  <c r="AV88" i="6"/>
  <c r="AI67" i="6"/>
  <c r="AJ67" i="6" s="1"/>
  <c r="BR67" i="6" s="1"/>
  <c r="AI41" i="6"/>
  <c r="AE71" i="6"/>
  <c r="AE67" i="6"/>
  <c r="AI71" i="6"/>
  <c r="AJ71" i="6" s="1"/>
  <c r="AH34" i="6"/>
  <c r="AV67" i="6"/>
  <c r="AD54" i="6"/>
  <c r="AG41" i="6"/>
  <c r="AJ41" i="6" s="1"/>
  <c r="BR41" i="6" s="1"/>
  <c r="AH71" i="6"/>
  <c r="AH54" i="6"/>
  <c r="AG54" i="6"/>
  <c r="AJ54" i="6" s="1"/>
  <c r="BR54" i="6" s="1"/>
  <c r="AH89" i="6"/>
  <c r="AD67" i="6"/>
  <c r="AV72" i="6"/>
  <c r="AD71" i="6"/>
  <c r="AG34" i="6"/>
  <c r="AI44" i="6"/>
  <c r="AG62" i="6"/>
  <c r="AJ62" i="6" s="1"/>
  <c r="BR62" i="6" s="1"/>
  <c r="AH41" i="6"/>
  <c r="AD89" i="6"/>
  <c r="AD75" i="6"/>
  <c r="AG79" i="6"/>
  <c r="AJ79" i="6" s="1"/>
  <c r="BR79" i="6" s="1"/>
  <c r="AD41" i="6"/>
  <c r="AG71" i="6"/>
  <c r="AI48" i="6"/>
  <c r="AV34" i="6"/>
  <c r="AH67" i="6"/>
  <c r="AG72" i="6"/>
  <c r="AJ72" i="6" s="1"/>
  <c r="BR72" i="6" s="1"/>
  <c r="AI88" i="6"/>
  <c r="AJ88" i="6" s="1"/>
  <c r="AD34" i="6"/>
  <c r="AE44" i="6"/>
  <c r="AI62" i="6"/>
  <c r="AI79" i="6"/>
  <c r="AH56" i="6"/>
  <c r="AV56" i="6"/>
  <c r="AD63" i="6"/>
  <c r="AV63" i="6"/>
  <c r="AH63" i="6"/>
  <c r="AI63" i="6"/>
  <c r="AG63" i="6"/>
  <c r="AV51" i="6"/>
  <c r="AH51" i="6"/>
  <c r="AG51" i="6"/>
  <c r="AD51" i="6"/>
  <c r="AE51" i="6"/>
  <c r="AI51" i="6"/>
  <c r="AG32" i="6"/>
  <c r="AE63" i="6"/>
  <c r="AG60" i="6"/>
  <c r="AD86" i="6"/>
  <c r="AD77" i="6"/>
  <c r="AE77" i="6"/>
  <c r="AJ74" i="6"/>
  <c r="BR74" i="6" s="1"/>
  <c r="AV79" i="6"/>
  <c r="AI82" i="6"/>
  <c r="AE36" i="6"/>
  <c r="AH32" i="6"/>
  <c r="AD82" i="6"/>
  <c r="AH86" i="6"/>
  <c r="AH83" i="6"/>
  <c r="AI29" i="6"/>
  <c r="AJ82" i="6"/>
  <c r="BR82" i="6" s="1"/>
  <c r="AH36" i="6"/>
  <c r="AI32" i="6"/>
  <c r="AL66" i="6"/>
  <c r="AN66" i="6" s="1"/>
  <c r="AM66" i="6" s="1"/>
  <c r="AV77" i="6"/>
  <c r="AG29" i="6"/>
  <c r="AJ29" i="6" s="1"/>
  <c r="AD32" i="6"/>
  <c r="AG77" i="6"/>
  <c r="AE86" i="6"/>
  <c r="AH79" i="6"/>
  <c r="AV86" i="6"/>
  <c r="AD79" i="6"/>
  <c r="AI77" i="6"/>
  <c r="AJ77" i="6" s="1"/>
  <c r="BR77" i="6" s="1"/>
  <c r="AG86" i="6"/>
  <c r="AJ86" i="6" s="1"/>
  <c r="BR86" i="6" s="1"/>
  <c r="AD83" i="6"/>
  <c r="AJ78" i="6"/>
  <c r="BR78" i="6" s="1"/>
  <c r="AG56" i="6"/>
  <c r="AV75" i="6"/>
  <c r="AE45" i="6"/>
  <c r="AV45" i="6"/>
  <c r="AH72" i="6"/>
  <c r="AV59" i="6"/>
  <c r="AJ44" i="6"/>
  <c r="BR44" i="6" s="1"/>
  <c r="AV60" i="6"/>
  <c r="AI56" i="6"/>
  <c r="AG75" i="6"/>
  <c r="AJ75" i="6" s="1"/>
  <c r="BR75" i="6" s="1"/>
  <c r="AV85" i="6"/>
  <c r="AE82" i="6"/>
  <c r="AJ80" i="6"/>
  <c r="BR80" i="6" s="1"/>
  <c r="AG64" i="6"/>
  <c r="AI64" i="6"/>
  <c r="AE60" i="6"/>
  <c r="AD53" i="6"/>
  <c r="AI59" i="6"/>
  <c r="AJ59" i="6" s="1"/>
  <c r="BR59" i="6" s="1"/>
  <c r="AI60" i="6"/>
  <c r="AJ60" i="6" s="1"/>
  <c r="AD56" i="6"/>
  <c r="AE85" i="6"/>
  <c r="AI85" i="6"/>
  <c r="AH75" i="6"/>
  <c r="AI36" i="6"/>
  <c r="AG36" i="6"/>
  <c r="AJ36" i="6" s="1"/>
  <c r="BR36" i="6" s="1"/>
  <c r="AV36" i="6"/>
  <c r="AH53" i="6"/>
  <c r="AD59" i="6"/>
  <c r="AG45" i="6"/>
  <c r="AJ45" i="6" s="1"/>
  <c r="AH60" i="6"/>
  <c r="AE56" i="6"/>
  <c r="AE83" i="6"/>
  <c r="AV83" i="6"/>
  <c r="AE75" i="6"/>
  <c r="AG85" i="6"/>
  <c r="AJ85" i="6" s="1"/>
  <c r="BR85" i="6" s="1"/>
  <c r="AE59" i="6"/>
  <c r="AG53" i="6"/>
  <c r="AJ53" i="6" s="1"/>
  <c r="BR53" i="6" s="1"/>
  <c r="AI45" i="6"/>
  <c r="AD72" i="6"/>
  <c r="AD85" i="6"/>
  <c r="AH82" i="6"/>
  <c r="AG83" i="6"/>
  <c r="AV82" i="6"/>
  <c r="AD45" i="6"/>
  <c r="AE64" i="6"/>
  <c r="AI53" i="6"/>
  <c r="AE53" i="6"/>
  <c r="AD64" i="6"/>
  <c r="AJ89" i="6"/>
  <c r="BR89" i="6" s="1"/>
  <c r="AJ84" i="6"/>
  <c r="BR84" i="6" s="1"/>
  <c r="AK81" i="6"/>
  <c r="AL81" i="6"/>
  <c r="AJ87" i="6"/>
  <c r="BR87" i="6" s="1"/>
  <c r="AJ83" i="6"/>
  <c r="BR83" i="6" s="1"/>
  <c r="AJ90" i="6"/>
  <c r="BR90" i="6" s="1"/>
  <c r="AK66" i="6"/>
  <c r="AD68" i="6"/>
  <c r="AI68" i="6"/>
  <c r="AG68" i="6"/>
  <c r="AJ68" i="6" s="1"/>
  <c r="BR68" i="6" s="1"/>
  <c r="AH68" i="6"/>
  <c r="AE68" i="6"/>
  <c r="AG50" i="6"/>
  <c r="AD50" i="6"/>
  <c r="AH50" i="6"/>
  <c r="AI50" i="6"/>
  <c r="AE50" i="6"/>
  <c r="AV50" i="6"/>
  <c r="AD43" i="6"/>
  <c r="AI43" i="6"/>
  <c r="AG43" i="6"/>
  <c r="AH43" i="6"/>
  <c r="AE43" i="6"/>
  <c r="AV43" i="6"/>
  <c r="AD37" i="6"/>
  <c r="AI37" i="6"/>
  <c r="AG37" i="6"/>
  <c r="AH37" i="6"/>
  <c r="AE37" i="6"/>
  <c r="AD31" i="6"/>
  <c r="AG31" i="6"/>
  <c r="AH31" i="6"/>
  <c r="AI31" i="6"/>
  <c r="AE31" i="6"/>
  <c r="AV31" i="6"/>
  <c r="AV27" i="6"/>
  <c r="AI27" i="6"/>
  <c r="AH27" i="6"/>
  <c r="AD27" i="6"/>
  <c r="AG27" i="6"/>
  <c r="AE73" i="6"/>
  <c r="AV73" i="6"/>
  <c r="AG73" i="6"/>
  <c r="AD73" i="6"/>
  <c r="AH73" i="6"/>
  <c r="AI73" i="6"/>
  <c r="AV42" i="6"/>
  <c r="AH42" i="6"/>
  <c r="AD42" i="6"/>
  <c r="AI42" i="6"/>
  <c r="AG42" i="6"/>
  <c r="AI70" i="6"/>
  <c r="AV70" i="6"/>
  <c r="AG70" i="6"/>
  <c r="AH70" i="6"/>
  <c r="AD70" i="6"/>
  <c r="AE33" i="6"/>
  <c r="AC40" i="6"/>
  <c r="AE40" i="6" s="1"/>
  <c r="AD28" i="6"/>
  <c r="AG28" i="6"/>
  <c r="AI28" i="6"/>
  <c r="AH28" i="6"/>
  <c r="AV28" i="6"/>
  <c r="AI33" i="6"/>
  <c r="AV33" i="6"/>
  <c r="AG33" i="6"/>
  <c r="AJ33" i="6" s="1"/>
  <c r="BR33" i="6" s="1"/>
  <c r="AD33" i="6"/>
  <c r="AH33" i="6"/>
  <c r="AV26" i="6"/>
  <c r="AD26" i="6"/>
  <c r="AH26" i="6"/>
  <c r="AE26" i="6"/>
  <c r="AG26" i="6"/>
  <c r="AI26" i="6"/>
  <c r="AI47" i="6"/>
  <c r="AH47" i="6"/>
  <c r="AG47" i="6"/>
  <c r="AD47" i="6"/>
  <c r="AC38" i="6"/>
  <c r="AE42" i="6"/>
  <c r="AC61" i="6"/>
  <c r="AE61" i="6" s="1"/>
  <c r="AI49" i="6"/>
  <c r="AH49" i="6"/>
  <c r="AD49" i="6"/>
  <c r="AG49" i="6"/>
  <c r="AV49" i="6"/>
  <c r="AE49" i="6"/>
  <c r="AC65" i="6"/>
  <c r="AE65" i="6" s="1"/>
  <c r="AE27" i="6"/>
  <c r="AI69" i="6"/>
  <c r="AV69" i="6"/>
  <c r="AH69" i="6"/>
  <c r="AG69" i="6"/>
  <c r="AD69" i="6"/>
  <c r="AE28" i="6"/>
  <c r="AE55" i="6"/>
  <c r="AV47" i="6"/>
  <c r="AK52" i="6"/>
  <c r="AL52" i="6"/>
  <c r="AR52" i="6" s="1"/>
  <c r="AI30" i="6"/>
  <c r="AD30" i="6"/>
  <c r="AG30" i="6"/>
  <c r="AH30" i="6"/>
  <c r="AJ34" i="6"/>
  <c r="BR34" i="6" s="1"/>
  <c r="AC35" i="6"/>
  <c r="AE35" i="6" s="1"/>
  <c r="AE69" i="6"/>
  <c r="AJ51" i="6"/>
  <c r="BR51" i="6" s="1"/>
  <c r="AG55" i="6"/>
  <c r="AJ55" i="6" s="1"/>
  <c r="BR55" i="6" s="1"/>
  <c r="AD55" i="6"/>
  <c r="AV55" i="6"/>
  <c r="AH55" i="6"/>
  <c r="AI55" i="6"/>
  <c r="AD46" i="6"/>
  <c r="AI46" i="6"/>
  <c r="AV46" i="6"/>
  <c r="AH46" i="6"/>
  <c r="AG46" i="6"/>
  <c r="AH39" i="6"/>
  <c r="AI39" i="6"/>
  <c r="AG39" i="6"/>
  <c r="AJ39" i="6" s="1"/>
  <c r="BR39" i="6" s="1"/>
  <c r="AD39" i="6"/>
  <c r="AE70" i="6"/>
  <c r="AC58" i="6"/>
  <c r="AE46" i="6"/>
  <c r="AJ32" i="6"/>
  <c r="BR32" i="6" s="1"/>
  <c r="AK72" i="6" l="1"/>
  <c r="AL57" i="6"/>
  <c r="AS57" i="6" s="1"/>
  <c r="AR66" i="6"/>
  <c r="AK62" i="6"/>
  <c r="AK57" i="6"/>
  <c r="AL76" i="6"/>
  <c r="AN76" i="6" s="1"/>
  <c r="AM76" i="6" s="1"/>
  <c r="AK76" i="6"/>
  <c r="AK78" i="6"/>
  <c r="AL62" i="6"/>
  <c r="AS62" i="6" s="1"/>
  <c r="AK67" i="6"/>
  <c r="AK77" i="6"/>
  <c r="AK48" i="6"/>
  <c r="BR88" i="6"/>
  <c r="AL88" i="6"/>
  <c r="AN88" i="6" s="1"/>
  <c r="AM88" i="6" s="1"/>
  <c r="AK88" i="6"/>
  <c r="BR71" i="6"/>
  <c r="AL71" i="6"/>
  <c r="AN71" i="6" s="1"/>
  <c r="AM71" i="6" s="1"/>
  <c r="AK71" i="6"/>
  <c r="AL48" i="6"/>
  <c r="AN48" i="6" s="1"/>
  <c r="AM48" i="6" s="1"/>
  <c r="AS66" i="6"/>
  <c r="AJ42" i="6"/>
  <c r="BR42" i="6" s="1"/>
  <c r="AK74" i="6"/>
  <c r="AL67" i="6"/>
  <c r="AS67" i="6" s="1"/>
  <c r="AJ73" i="6"/>
  <c r="BR73" i="6" s="1"/>
  <c r="AJ49" i="6"/>
  <c r="BR49" i="6" s="1"/>
  <c r="AP66" i="6"/>
  <c r="AO66" i="6" s="1"/>
  <c r="AJ46" i="6"/>
  <c r="BR46" i="6" s="1"/>
  <c r="AJ63" i="6"/>
  <c r="BR63" i="6" s="1"/>
  <c r="AL72" i="6"/>
  <c r="AN72" i="6" s="1"/>
  <c r="AM72" i="6" s="1"/>
  <c r="AL41" i="6"/>
  <c r="AN41" i="6" s="1"/>
  <c r="AM41" i="6" s="1"/>
  <c r="AK82" i="6"/>
  <c r="AK41" i="6"/>
  <c r="AL82" i="6"/>
  <c r="AN82" i="6" s="1"/>
  <c r="AM82" i="6" s="1"/>
  <c r="AL77" i="6"/>
  <c r="AN77" i="6" s="1"/>
  <c r="AM77" i="6" s="1"/>
  <c r="AL78" i="6"/>
  <c r="AN78" i="6" s="1"/>
  <c r="AM78" i="6" s="1"/>
  <c r="AL53" i="6"/>
  <c r="AR53" i="6" s="1"/>
  <c r="AK36" i="6"/>
  <c r="AL80" i="6"/>
  <c r="AN80" i="6" s="1"/>
  <c r="AM80" i="6" s="1"/>
  <c r="AK80" i="6"/>
  <c r="AL74" i="6"/>
  <c r="AN74" i="6" s="1"/>
  <c r="AM74" i="6" s="1"/>
  <c r="AL36" i="6"/>
  <c r="AN36" i="6" s="1"/>
  <c r="AM36" i="6" s="1"/>
  <c r="BR29" i="6"/>
  <c r="AL29" i="6"/>
  <c r="AN29" i="6" s="1"/>
  <c r="AM29" i="6" s="1"/>
  <c r="AL85" i="6"/>
  <c r="AN85" i="6" s="1"/>
  <c r="AM85" i="6" s="1"/>
  <c r="AK85" i="6"/>
  <c r="AK29" i="6"/>
  <c r="AJ30" i="6"/>
  <c r="BR30" i="6" s="1"/>
  <c r="BR60" i="6"/>
  <c r="AL60" i="6"/>
  <c r="AS60" i="6" s="1"/>
  <c r="AK60" i="6"/>
  <c r="AJ64" i="6"/>
  <c r="AL64" i="6" s="1"/>
  <c r="AS64" i="6" s="1"/>
  <c r="AK44" i="6"/>
  <c r="AJ31" i="6"/>
  <c r="BR31" i="6" s="1"/>
  <c r="AK54" i="6"/>
  <c r="AJ50" i="6"/>
  <c r="BR50" i="6" s="1"/>
  <c r="AL54" i="6"/>
  <c r="AR54" i="6" s="1"/>
  <c r="AJ28" i="6"/>
  <c r="BR28" i="6" s="1"/>
  <c r="AL44" i="6"/>
  <c r="AN44" i="6" s="1"/>
  <c r="AM44" i="6" s="1"/>
  <c r="AJ37" i="6"/>
  <c r="BR37" i="6" s="1"/>
  <c r="AK53" i="6"/>
  <c r="AJ56" i="6"/>
  <c r="BR56" i="6" s="1"/>
  <c r="AL34" i="6"/>
  <c r="AN34" i="6" s="1"/>
  <c r="AM34" i="6" s="1"/>
  <c r="AK34" i="6"/>
  <c r="AL89" i="6"/>
  <c r="AK75" i="6"/>
  <c r="AL59" i="6"/>
  <c r="AS59" i="6" s="1"/>
  <c r="AL51" i="6"/>
  <c r="AS51" i="6" s="1"/>
  <c r="AK89" i="6"/>
  <c r="AK59" i="6"/>
  <c r="AL84" i="6"/>
  <c r="AN84" i="6" s="1"/>
  <c r="AM84" i="6" s="1"/>
  <c r="AK84" i="6"/>
  <c r="AS52" i="6"/>
  <c r="AL79" i="6"/>
  <c r="AL75" i="6"/>
  <c r="AL90" i="6"/>
  <c r="AK79" i="6"/>
  <c r="AK90" i="6"/>
  <c r="AL83" i="6"/>
  <c r="AL86" i="6"/>
  <c r="AL87" i="6"/>
  <c r="AN81" i="6"/>
  <c r="AM81" i="6" s="1"/>
  <c r="AK83" i="6"/>
  <c r="AK86" i="6"/>
  <c r="AK87" i="6"/>
  <c r="AL68" i="6"/>
  <c r="AK68" i="6"/>
  <c r="AJ43" i="6"/>
  <c r="BR43" i="6" s="1"/>
  <c r="AJ26" i="6"/>
  <c r="BR26" i="6" s="1"/>
  <c r="AP52" i="6"/>
  <c r="AN52" i="6"/>
  <c r="AM52" i="6" s="1"/>
  <c r="AR57" i="6"/>
  <c r="AK39" i="6"/>
  <c r="AL39" i="6"/>
  <c r="AK51" i="6"/>
  <c r="AL32" i="6"/>
  <c r="AV38" i="6"/>
  <c r="AH38" i="6"/>
  <c r="AD38" i="6"/>
  <c r="AI38" i="6"/>
  <c r="AG38" i="6"/>
  <c r="AJ47" i="6"/>
  <c r="BR47" i="6" s="1"/>
  <c r="AE38" i="6"/>
  <c r="AH58" i="6"/>
  <c r="AV58" i="6"/>
  <c r="AD58" i="6"/>
  <c r="AI58" i="6"/>
  <c r="AG58" i="6"/>
  <c r="AG35" i="6"/>
  <c r="AV35" i="6"/>
  <c r="AH35" i="6"/>
  <c r="AD35" i="6"/>
  <c r="AI35" i="6"/>
  <c r="AD65" i="6"/>
  <c r="AH65" i="6"/>
  <c r="AI65" i="6"/>
  <c r="AV65" i="6"/>
  <c r="AG65" i="6"/>
  <c r="AK32" i="6"/>
  <c r="AL55" i="6"/>
  <c r="AR55" i="6" s="1"/>
  <c r="AK55" i="6"/>
  <c r="AJ69" i="6"/>
  <c r="BR69" i="6" s="1"/>
  <c r="AI40" i="6"/>
  <c r="AD40" i="6"/>
  <c r="AV40" i="6"/>
  <c r="AH40" i="6"/>
  <c r="AG40" i="6"/>
  <c r="AJ27" i="6"/>
  <c r="BR27" i="6" s="1"/>
  <c r="BR45" i="6"/>
  <c r="AK45" i="6"/>
  <c r="AL45" i="6"/>
  <c r="AE58" i="6"/>
  <c r="AV61" i="6"/>
  <c r="AG61" i="6"/>
  <c r="AD61" i="6"/>
  <c r="AH61" i="6"/>
  <c r="AI61" i="6"/>
  <c r="AL33" i="6"/>
  <c r="AK33" i="6"/>
  <c r="AJ70" i="6"/>
  <c r="BR70" i="6" s="1"/>
  <c r="AR62" i="6" l="1"/>
  <c r="AR60" i="6"/>
  <c r="AN57" i="6"/>
  <c r="AM57" i="6" s="1"/>
  <c r="AP57" i="6"/>
  <c r="AQ57" i="6" s="1"/>
  <c r="AL46" i="6"/>
  <c r="AN46" i="6" s="1"/>
  <c r="AM46" i="6" s="1"/>
  <c r="AP48" i="6"/>
  <c r="AO48" i="6" s="1"/>
  <c r="AK46" i="6"/>
  <c r="AS53" i="6"/>
  <c r="AP53" i="6"/>
  <c r="AO53" i="6" s="1"/>
  <c r="AN53" i="6"/>
  <c r="AM53" i="6" s="1"/>
  <c r="AN60" i="6"/>
  <c r="AM60" i="6" s="1"/>
  <c r="AK49" i="6"/>
  <c r="AP60" i="6"/>
  <c r="AQ60" i="6" s="1"/>
  <c r="AP62" i="6"/>
  <c r="AQ62" i="6" s="1"/>
  <c r="AL42" i="6"/>
  <c r="AN42" i="6" s="1"/>
  <c r="AM42" i="6" s="1"/>
  <c r="AL73" i="6"/>
  <c r="AP73" i="6" s="1"/>
  <c r="AK73" i="6"/>
  <c r="AL49" i="6"/>
  <c r="AP49" i="6" s="1"/>
  <c r="AQ66" i="6"/>
  <c r="AN62" i="6"/>
  <c r="AM62" i="6" s="1"/>
  <c r="AK42" i="6"/>
  <c r="AP41" i="6"/>
  <c r="AO41" i="6" s="1"/>
  <c r="AL63" i="6"/>
  <c r="AP81" i="6"/>
  <c r="AQ81" i="6" s="1"/>
  <c r="AK63" i="6"/>
  <c r="AJ38" i="6"/>
  <c r="BR38" i="6" s="1"/>
  <c r="AS54" i="6"/>
  <c r="AN54" i="6"/>
  <c r="AM54" i="6" s="1"/>
  <c r="AP67" i="6"/>
  <c r="AN67" i="6"/>
  <c r="AM67" i="6" s="1"/>
  <c r="AR67" i="6"/>
  <c r="AP54" i="6"/>
  <c r="AQ54" i="6" s="1"/>
  <c r="AK50" i="6"/>
  <c r="AP29" i="6"/>
  <c r="AQ29" i="6" s="1"/>
  <c r="AS29" i="6" s="1"/>
  <c r="AP36" i="6"/>
  <c r="AO36" i="6" s="1"/>
  <c r="AP82" i="6"/>
  <c r="AQ82" i="6" s="1"/>
  <c r="AR82" i="6" s="1"/>
  <c r="AP72" i="6"/>
  <c r="AP44" i="6"/>
  <c r="AQ44" i="6" s="1"/>
  <c r="AK30" i="6"/>
  <c r="AL30" i="6"/>
  <c r="AL50" i="6"/>
  <c r="AR50" i="6" s="1"/>
  <c r="AP71" i="6"/>
  <c r="AO71" i="6" s="1"/>
  <c r="AP88" i="6"/>
  <c r="AO88" i="6" s="1"/>
  <c r="AP85" i="6"/>
  <c r="AQ85" i="6" s="1"/>
  <c r="AS85" i="6" s="1"/>
  <c r="AJ40" i="6"/>
  <c r="BR40" i="6" s="1"/>
  <c r="AK28" i="6"/>
  <c r="AR51" i="6"/>
  <c r="AP77" i="6"/>
  <c r="AQ77" i="6" s="1"/>
  <c r="AN59" i="6"/>
  <c r="AM59" i="6" s="1"/>
  <c r="AK31" i="6"/>
  <c r="AR64" i="6"/>
  <c r="AK27" i="6"/>
  <c r="BR64" i="6"/>
  <c r="AK64" i="6"/>
  <c r="AR59" i="6"/>
  <c r="AP59" i="6"/>
  <c r="AO59" i="6" s="1"/>
  <c r="AL31" i="6"/>
  <c r="AS31" i="6" s="1"/>
  <c r="AN64" i="6"/>
  <c r="AM64" i="6" s="1"/>
  <c r="AK56" i="6"/>
  <c r="AP51" i="6"/>
  <c r="AQ51" i="6" s="1"/>
  <c r="AK37" i="6"/>
  <c r="AP64" i="6"/>
  <c r="AO64" i="6" s="1"/>
  <c r="AL28" i="6"/>
  <c r="AN28" i="6" s="1"/>
  <c r="AM28" i="6" s="1"/>
  <c r="AN51" i="6"/>
  <c r="AM51" i="6" s="1"/>
  <c r="AL37" i="6"/>
  <c r="AN89" i="6"/>
  <c r="AL56" i="6"/>
  <c r="AP80" i="6"/>
  <c r="AQ80" i="6" s="1"/>
  <c r="AL70" i="6"/>
  <c r="AN70" i="6" s="1"/>
  <c r="AM70" i="6" s="1"/>
  <c r="AK69" i="6"/>
  <c r="AP84" i="6"/>
  <c r="AQ84" i="6" s="1"/>
  <c r="AP74" i="6"/>
  <c r="AQ74" i="6" s="1"/>
  <c r="AL27" i="6"/>
  <c r="AN27" i="6" s="1"/>
  <c r="AM27" i="6" s="1"/>
  <c r="AL26" i="6"/>
  <c r="AN26" i="6" s="1"/>
  <c r="AM26" i="6" s="1"/>
  <c r="AK26" i="6"/>
  <c r="AP78" i="6"/>
  <c r="AQ78" i="6" s="1"/>
  <c r="AP76" i="6"/>
  <c r="AQ76" i="6" s="1"/>
  <c r="AN75" i="6"/>
  <c r="AM75" i="6" s="1"/>
  <c r="AN87" i="6"/>
  <c r="AM87" i="6" s="1"/>
  <c r="AN86" i="6"/>
  <c r="AM86" i="6" s="1"/>
  <c r="AN79" i="6"/>
  <c r="AM79" i="6" s="1"/>
  <c r="AN90" i="6"/>
  <c r="AM90" i="6" s="1"/>
  <c r="AN83" i="6"/>
  <c r="AM83" i="6" s="1"/>
  <c r="AS55" i="6"/>
  <c r="AN68" i="6"/>
  <c r="AM68" i="6" s="1"/>
  <c r="AL43" i="6"/>
  <c r="AK43" i="6"/>
  <c r="AN45" i="6"/>
  <c r="AM45" i="6" s="1"/>
  <c r="AL47" i="6"/>
  <c r="AK70" i="6"/>
  <c r="AK47" i="6"/>
  <c r="AL69" i="6"/>
  <c r="AN39" i="6"/>
  <c r="AM39" i="6" s="1"/>
  <c r="AJ61" i="6"/>
  <c r="BR61" i="6" s="1"/>
  <c r="AR29" i="6"/>
  <c r="AO57" i="6"/>
  <c r="AN33" i="6"/>
  <c r="AM33" i="6" s="1"/>
  <c r="AN32" i="6"/>
  <c r="AM32" i="6" s="1"/>
  <c r="AJ35" i="6"/>
  <c r="BR35" i="6" s="1"/>
  <c r="AP34" i="6"/>
  <c r="AP55" i="6"/>
  <c r="AN55" i="6"/>
  <c r="AM55" i="6" s="1"/>
  <c r="AJ65" i="6"/>
  <c r="BR65" i="6" s="1"/>
  <c r="AJ58" i="6"/>
  <c r="BR58" i="6" s="1"/>
  <c r="AO52" i="6"/>
  <c r="AQ52" i="6"/>
  <c r="AQ48" i="6" l="1"/>
  <c r="AN49" i="6"/>
  <c r="AM49" i="6" s="1"/>
  <c r="AN73" i="6"/>
  <c r="AM73" i="6" s="1"/>
  <c r="AQ53" i="6"/>
  <c r="AS50" i="6"/>
  <c r="AQ36" i="6"/>
  <c r="AR36" i="6" s="1"/>
  <c r="AK38" i="6"/>
  <c r="AO62" i="6"/>
  <c r="AO54" i="6"/>
  <c r="AO81" i="6"/>
  <c r="AO60" i="6"/>
  <c r="AP50" i="6"/>
  <c r="AO50" i="6" s="1"/>
  <c r="AO85" i="6"/>
  <c r="AO82" i="6"/>
  <c r="AO44" i="6"/>
  <c r="AQ41" i="6"/>
  <c r="AO67" i="6"/>
  <c r="AQ67" i="6"/>
  <c r="AO29" i="6"/>
  <c r="AL38" i="6"/>
  <c r="AN38" i="6" s="1"/>
  <c r="AM38" i="6" s="1"/>
  <c r="AP87" i="6"/>
  <c r="AQ87" i="6" s="1"/>
  <c r="AS63" i="6"/>
  <c r="AN63" i="6"/>
  <c r="AM63" i="6" s="1"/>
  <c r="AR63" i="6"/>
  <c r="AP63" i="6"/>
  <c r="AP86" i="6"/>
  <c r="AQ86" i="6" s="1"/>
  <c r="AQ88" i="6"/>
  <c r="AR88" i="6" s="1"/>
  <c r="AN50" i="6"/>
  <c r="AM50" i="6" s="1"/>
  <c r="AP42" i="6"/>
  <c r="AO42" i="6" s="1"/>
  <c r="AS82" i="6"/>
  <c r="AN30" i="6"/>
  <c r="AM30" i="6" s="1"/>
  <c r="AO72" i="6"/>
  <c r="AQ72" i="6"/>
  <c r="AP32" i="6"/>
  <c r="AQ32" i="6" s="1"/>
  <c r="AL61" i="6"/>
  <c r="AS61" i="6" s="1"/>
  <c r="AO51" i="6"/>
  <c r="AL40" i="6"/>
  <c r="AN40" i="6" s="1"/>
  <c r="AM40" i="6" s="1"/>
  <c r="AK40" i="6"/>
  <c r="AP31" i="6"/>
  <c r="AQ31" i="6" s="1"/>
  <c r="AO78" i="6"/>
  <c r="AO80" i="6"/>
  <c r="AM89" i="6"/>
  <c r="AP89" i="6"/>
  <c r="AR85" i="6"/>
  <c r="AQ71" i="6"/>
  <c r="AP33" i="6"/>
  <c r="AO33" i="6" s="1"/>
  <c r="AP68" i="6"/>
  <c r="AQ68" i="6" s="1"/>
  <c r="AP90" i="6"/>
  <c r="AQ90" i="6" s="1"/>
  <c r="AS88" i="6"/>
  <c r="AQ59" i="6"/>
  <c r="AR31" i="6"/>
  <c r="AN31" i="6"/>
  <c r="AM31" i="6" s="1"/>
  <c r="AO77" i="6"/>
  <c r="AO84" i="6"/>
  <c r="AN37" i="6"/>
  <c r="AM37" i="6" s="1"/>
  <c r="AP70" i="6"/>
  <c r="AO70" i="6" s="1"/>
  <c r="AQ64" i="6"/>
  <c r="AS56" i="6"/>
  <c r="AP56" i="6"/>
  <c r="AR56" i="6"/>
  <c r="AN56" i="6"/>
  <c r="AM56" i="6" s="1"/>
  <c r="AK61" i="6"/>
  <c r="AP45" i="6"/>
  <c r="AQ45" i="6" s="1"/>
  <c r="AO76" i="6"/>
  <c r="AO74" i="6"/>
  <c r="AP27" i="6"/>
  <c r="AO27" i="6" s="1"/>
  <c r="AS44" i="6"/>
  <c r="AR44" i="6"/>
  <c r="AP46" i="6"/>
  <c r="AQ46" i="6" s="1"/>
  <c r="AS81" i="6"/>
  <c r="AR81" i="6"/>
  <c r="AL58" i="6"/>
  <c r="AS58" i="6" s="1"/>
  <c r="AK35" i="6"/>
  <c r="AL35" i="6"/>
  <c r="AN35" i="6" s="1"/>
  <c r="AM35" i="6" s="1"/>
  <c r="AP83" i="6"/>
  <c r="AO83" i="6" s="1"/>
  <c r="AR77" i="6"/>
  <c r="AS77" i="6"/>
  <c r="AS84" i="6"/>
  <c r="AR84" i="6"/>
  <c r="AP75" i="6"/>
  <c r="AQ75" i="6" s="1"/>
  <c r="AS78" i="6"/>
  <c r="AR78" i="6"/>
  <c r="AP28" i="6"/>
  <c r="AQ28" i="6" s="1"/>
  <c r="AP79" i="6"/>
  <c r="AQ79" i="6" s="1"/>
  <c r="AS74" i="6"/>
  <c r="AR74" i="6"/>
  <c r="AS76" i="6"/>
  <c r="AR76" i="6"/>
  <c r="AS80" i="6"/>
  <c r="AR80" i="6"/>
  <c r="AN43" i="6"/>
  <c r="AM43" i="6" s="1"/>
  <c r="AO34" i="6"/>
  <c r="AQ34" i="6"/>
  <c r="AO32" i="6"/>
  <c r="AQ49" i="6"/>
  <c r="AO49" i="6"/>
  <c r="AN47" i="6"/>
  <c r="AM47" i="6" s="1"/>
  <c r="AQ73" i="6"/>
  <c r="AO73" i="6"/>
  <c r="AL65" i="6"/>
  <c r="AP39" i="6"/>
  <c r="AP26" i="6"/>
  <c r="AO55" i="6"/>
  <c r="AQ55" i="6"/>
  <c r="AN69" i="6"/>
  <c r="AM69" i="6" s="1"/>
  <c r="AK58" i="6"/>
  <c r="AR48" i="6"/>
  <c r="AS48" i="6"/>
  <c r="AK65" i="6"/>
  <c r="AS36" i="6"/>
  <c r="AQ27" i="6" l="1"/>
  <c r="AO86" i="6"/>
  <c r="AQ50" i="6"/>
  <c r="AP61" i="6"/>
  <c r="AQ61" i="6" s="1"/>
  <c r="AO87" i="6"/>
  <c r="AR41" i="6"/>
  <c r="AS41" i="6"/>
  <c r="AQ42" i="6"/>
  <c r="AP38" i="6"/>
  <c r="AQ38" i="6" s="1"/>
  <c r="AO90" i="6"/>
  <c r="AO63" i="6"/>
  <c r="AQ63" i="6"/>
  <c r="AQ70" i="6"/>
  <c r="AS70" i="6" s="1"/>
  <c r="AP43" i="6"/>
  <c r="AO43" i="6" s="1"/>
  <c r="AR61" i="6"/>
  <c r="AR72" i="6"/>
  <c r="AS72" i="6"/>
  <c r="AR87" i="6"/>
  <c r="AS87" i="6"/>
  <c r="AN61" i="6"/>
  <c r="AM61" i="6" s="1"/>
  <c r="AP30" i="6"/>
  <c r="AO46" i="6"/>
  <c r="AO68" i="6"/>
  <c r="AO31" i="6"/>
  <c r="AS68" i="6"/>
  <c r="AR68" i="6"/>
  <c r="AS90" i="6"/>
  <c r="AR90" i="6"/>
  <c r="AQ33" i="6"/>
  <c r="AR33" i="6" s="1"/>
  <c r="AR71" i="6"/>
  <c r="AS71" i="6"/>
  <c r="AR58" i="6"/>
  <c r="AR32" i="6"/>
  <c r="AS32" i="6"/>
  <c r="AQ89" i="6"/>
  <c r="AO89" i="6"/>
  <c r="AN58" i="6"/>
  <c r="AM58" i="6" s="1"/>
  <c r="AQ83" i="6"/>
  <c r="AR83" i="6" s="1"/>
  <c r="AP69" i="6"/>
  <c r="AQ69" i="6" s="1"/>
  <c r="AS86" i="6"/>
  <c r="AR86" i="6"/>
  <c r="AP37" i="6"/>
  <c r="AO28" i="6"/>
  <c r="AP58" i="6"/>
  <c r="AO58" i="6" s="1"/>
  <c r="AO56" i="6"/>
  <c r="AQ56" i="6"/>
  <c r="AO45" i="6"/>
  <c r="AR73" i="6"/>
  <c r="AS73" i="6"/>
  <c r="AR45" i="6"/>
  <c r="AS45" i="6"/>
  <c r="AR75" i="6"/>
  <c r="AS75" i="6"/>
  <c r="AR79" i="6"/>
  <c r="AS79" i="6"/>
  <c r="AR46" i="6"/>
  <c r="AS46" i="6"/>
  <c r="AO75" i="6"/>
  <c r="AO79" i="6"/>
  <c r="AR49" i="6"/>
  <c r="AS49" i="6"/>
  <c r="AP40" i="6"/>
  <c r="AP47" i="6"/>
  <c r="AR34" i="6"/>
  <c r="AS34" i="6"/>
  <c r="AQ39" i="6"/>
  <c r="AO39" i="6"/>
  <c r="AS42" i="6"/>
  <c r="AR42" i="6"/>
  <c r="AQ26" i="6"/>
  <c r="AO26" i="6"/>
  <c r="AP65" i="6"/>
  <c r="AN65" i="6"/>
  <c r="AM65" i="6" s="1"/>
  <c r="AS65" i="6"/>
  <c r="AR65" i="6"/>
  <c r="AO61" i="6"/>
  <c r="AP35" i="6"/>
  <c r="AR27" i="6"/>
  <c r="AS27" i="6"/>
  <c r="AR28" i="6"/>
  <c r="AS28" i="6"/>
  <c r="AO38" i="6" l="1"/>
  <c r="AQ43" i="6"/>
  <c r="AR43" i="6" s="1"/>
  <c r="AS33" i="6"/>
  <c r="AR70" i="6"/>
  <c r="AO69" i="6"/>
  <c r="AO30" i="6"/>
  <c r="AQ30" i="6"/>
  <c r="AQ58" i="6"/>
  <c r="AS69" i="6"/>
  <c r="AR69" i="6"/>
  <c r="AS83" i="6"/>
  <c r="AR89" i="6"/>
  <c r="AS89" i="6"/>
  <c r="AQ37" i="6"/>
  <c r="AO37" i="6"/>
  <c r="AS43" i="6"/>
  <c r="AR38" i="6"/>
  <c r="AS38" i="6"/>
  <c r="AO40" i="6"/>
  <c r="AQ40" i="6"/>
  <c r="AS26" i="6"/>
  <c r="AR26" i="6"/>
  <c r="AO47" i="6"/>
  <c r="AQ47" i="6"/>
  <c r="AQ35" i="6"/>
  <c r="AO35" i="6"/>
  <c r="AO65" i="6"/>
  <c r="AQ65" i="6"/>
  <c r="AS39" i="6"/>
  <c r="AR39" i="6"/>
  <c r="AS30" i="6" l="1"/>
  <c r="AR30" i="6"/>
  <c r="AS37" i="6"/>
  <c r="AR37" i="6"/>
  <c r="AS35" i="6"/>
  <c r="AR35" i="6"/>
  <c r="AR47" i="6"/>
  <c r="AS47" i="6"/>
  <c r="AR40" i="6"/>
  <c r="AS4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luoxy</author>
  </authors>
  <commentList>
    <comment ref="BA23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luoxy:</t>
        </r>
        <r>
          <rPr>
            <sz val="12"/>
            <color indexed="81"/>
            <rFont val="Tahoma"/>
            <family val="2"/>
          </rPr>
          <t xml:space="preserve">
0 for away from the support
1 for approach to the support
</t>
        </r>
      </text>
    </comment>
  </commentList>
</comments>
</file>

<file path=xl/sharedStrings.xml><?xml version="1.0" encoding="utf-8"?>
<sst xmlns="http://schemas.openxmlformats.org/spreadsheetml/2006/main" count="651" uniqueCount="165">
  <si>
    <t>d</t>
  </si>
  <si>
    <t>Date:</t>
  </si>
  <si>
    <t>Section Properties:</t>
  </si>
  <si>
    <t>Width, b (mm) =</t>
  </si>
  <si>
    <t>Material Properties:</t>
  </si>
  <si>
    <t xml:space="preserve">Steel,  fy (N/mm²) = </t>
  </si>
  <si>
    <t xml:space="preserve">Steel,  Es (kN/mm²) = </t>
  </si>
  <si>
    <t xml:space="preserve">Modular Ratio, m = </t>
  </si>
  <si>
    <t>Rebar Data:</t>
  </si>
  <si>
    <t xml:space="preserve">Dia of Link, dl (mm) = </t>
  </si>
  <si>
    <t>Design By:</t>
  </si>
  <si>
    <t>Checked By:</t>
  </si>
  <si>
    <t>Provided Cover, Co (mm) =</t>
  </si>
  <si>
    <t>Min Cover, Cmin (mm) =</t>
  </si>
  <si>
    <t>(mm)</t>
  </si>
  <si>
    <t>Pos.</t>
  </si>
  <si>
    <t>Effective Depth</t>
  </si>
  <si>
    <t>f2</t>
  </si>
  <si>
    <t>Area of Steel</t>
  </si>
  <si>
    <t>As1</t>
  </si>
  <si>
    <t>(mm²)</t>
  </si>
  <si>
    <t>+</t>
  </si>
  <si>
    <t>=</t>
  </si>
  <si>
    <t>As</t>
  </si>
  <si>
    <t>S2(mm) =</t>
  </si>
  <si>
    <t>Vs2(mm) =</t>
  </si>
  <si>
    <t>S3(mm) =</t>
  </si>
  <si>
    <t>Ultimate Design Check</t>
  </si>
  <si>
    <t>d1</t>
  </si>
  <si>
    <t>d2</t>
  </si>
  <si>
    <t>d3</t>
  </si>
  <si>
    <t>(Cmin &lt;= Co)</t>
  </si>
  <si>
    <t>Project Number   :</t>
  </si>
  <si>
    <t>Project Name       :</t>
  </si>
  <si>
    <t>(kN)</t>
  </si>
  <si>
    <t>f1</t>
  </si>
  <si>
    <t>f3</t>
  </si>
  <si>
    <t>As2</t>
  </si>
  <si>
    <t>As3</t>
  </si>
  <si>
    <t>Bar Diameters</t>
  </si>
  <si>
    <t>Depth</t>
  </si>
  <si>
    <t>h</t>
  </si>
  <si>
    <t xml:space="preserve"> Vs (mm) =</t>
  </si>
  <si>
    <t>%</t>
  </si>
  <si>
    <t>Vu</t>
  </si>
  <si>
    <t xml:space="preserve"> Provided Bending Reinforcement</t>
  </si>
  <si>
    <t>M Pa</t>
  </si>
  <si>
    <t>V/bd</t>
  </si>
  <si>
    <t>p</t>
  </si>
  <si>
    <t>As/bd</t>
  </si>
  <si>
    <t>(MPa)</t>
  </si>
  <si>
    <t>Asv/S</t>
  </si>
  <si>
    <t>Ac</t>
  </si>
  <si>
    <t>Bar Size</t>
  </si>
  <si>
    <t xml:space="preserve">Provided </t>
  </si>
  <si>
    <t>Stirrups</t>
  </si>
  <si>
    <t>Subject               :</t>
  </si>
  <si>
    <t xml:space="preserve">SHEAR DESIGN </t>
  </si>
  <si>
    <r>
      <t>v</t>
    </r>
    <r>
      <rPr>
        <b/>
        <vertAlign val="subscript"/>
        <sz val="11"/>
        <rFont val="Arial"/>
        <family val="2"/>
      </rPr>
      <t>C</t>
    </r>
    <r>
      <rPr>
        <b/>
        <sz val="11"/>
        <rFont val="Arial"/>
        <family val="2"/>
      </rPr>
      <t>'</t>
    </r>
  </si>
  <si>
    <t>--</t>
  </si>
  <si>
    <t>LCs</t>
  </si>
  <si>
    <t>Design</t>
  </si>
  <si>
    <t xml:space="preserve">Member </t>
  </si>
  <si>
    <t>No</t>
  </si>
  <si>
    <t>Required</t>
  </si>
  <si>
    <t>Remarks</t>
  </si>
  <si>
    <t>Effective</t>
  </si>
  <si>
    <t>Member</t>
  </si>
  <si>
    <t>Total</t>
  </si>
  <si>
    <t>ShearForces</t>
  </si>
  <si>
    <t>Length</t>
  </si>
  <si>
    <t>End Ratio</t>
  </si>
  <si>
    <t>Ratio</t>
  </si>
  <si>
    <t>mL</t>
  </si>
  <si>
    <t>tL</t>
  </si>
  <si>
    <t>mm</t>
  </si>
  <si>
    <t>min</t>
  </si>
  <si>
    <t>max</t>
  </si>
  <si>
    <t>Mmb No</t>
  </si>
  <si>
    <t>File Reference :</t>
  </si>
  <si>
    <t>member No to search :</t>
  </si>
  <si>
    <t>Approach</t>
  </si>
  <si>
    <t>Or</t>
  </si>
  <si>
    <t>Away</t>
  </si>
  <si>
    <t>Index</t>
  </si>
  <si>
    <t>Section Reference :</t>
  </si>
  <si>
    <t>File Reference:</t>
  </si>
  <si>
    <t>Corresponding  Axial Forces</t>
  </si>
  <si>
    <t>Corresponding  moments</t>
  </si>
  <si>
    <t>Designed forces</t>
  </si>
  <si>
    <t>Nu</t>
  </si>
  <si>
    <t>Mu</t>
  </si>
  <si>
    <t>Corresponding</t>
  </si>
  <si>
    <t>(N effect)</t>
  </si>
  <si>
    <t>(kNm)</t>
  </si>
  <si>
    <t xml:space="preserve">Code: </t>
  </si>
  <si>
    <r>
      <t>Horizontal</t>
    </r>
    <r>
      <rPr>
        <sz val="11"/>
        <rFont val="Arial"/>
        <family val="2"/>
      </rPr>
      <t xml:space="preserve"> , S1 (mm) =</t>
    </r>
  </si>
  <si>
    <r>
      <t>Vertical</t>
    </r>
    <r>
      <rPr>
        <sz val="11"/>
        <rFont val="Arial"/>
        <family val="2"/>
      </rPr>
      <t>, Vs1 (mm) =</t>
    </r>
  </si>
  <si>
    <r>
      <t>(mm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</t>
    </r>
  </si>
  <si>
    <r>
      <t>(mm²</t>
    </r>
    <r>
      <rPr>
        <sz val="11"/>
        <rFont val="Arial"/>
        <family val="2"/>
      </rPr>
      <t>/</t>
    </r>
    <r>
      <rPr>
        <sz val="11"/>
        <rFont val="Arial"/>
        <family val="2"/>
      </rPr>
      <t>m)</t>
    </r>
  </si>
  <si>
    <t>Min</t>
  </si>
  <si>
    <t>Max</t>
  </si>
  <si>
    <t>Locked-in Shear</t>
  </si>
  <si>
    <t>(CASE I+CASEII)</t>
  </si>
  <si>
    <t xml:space="preserve">Factor for Locked-in Shear = </t>
  </si>
  <si>
    <t>CaseI+II Vs</t>
  </si>
  <si>
    <t xml:space="preserve"> Spacing of bending Rebar (mm) : </t>
  </si>
  <si>
    <t>Vc Limit :</t>
  </si>
  <si>
    <t>V_Rd,max=</t>
  </si>
  <si>
    <t xml:space="preserve">Concrete,  fck (N/mm²) = </t>
  </si>
  <si>
    <t>V_max=</t>
  </si>
  <si>
    <r>
      <t xml:space="preserve">v </t>
    </r>
    <r>
      <rPr>
        <b/>
        <vertAlign val="subscript"/>
        <sz val="11"/>
        <rFont val="Arial"/>
        <family val="2"/>
      </rPr>
      <t>Ed</t>
    </r>
  </si>
  <si>
    <r>
      <rPr>
        <sz val="10"/>
        <rFont val="Arial"/>
        <family val="2"/>
      </rPr>
      <t>V</t>
    </r>
    <r>
      <rPr>
        <vertAlign val="subscript"/>
        <sz val="10"/>
        <rFont val="Arial"/>
        <family val="2"/>
      </rPr>
      <t>Rd,</t>
    </r>
    <r>
      <rPr>
        <b/>
        <vertAlign val="subscript"/>
        <sz val="10"/>
        <rFont val="Arial"/>
        <family val="2"/>
      </rPr>
      <t>C</t>
    </r>
  </si>
  <si>
    <t>Ɵ</t>
  </si>
  <si>
    <t xml:space="preserve">Concrete,  E_cm (kN/mm²) = </t>
  </si>
  <si>
    <t xml:space="preserve">Concrete,  E_c,eff (kN/mm²) = </t>
  </si>
  <si>
    <t>EC2</t>
  </si>
  <si>
    <t xml:space="preserve">    Spacing of link in breadth direction (mm) =</t>
  </si>
  <si>
    <t>MEGASPINE</t>
  </si>
  <si>
    <t>INPUT</t>
  </si>
  <si>
    <t>MEMBER</t>
  </si>
  <si>
    <t>ULS LC</t>
  </si>
  <si>
    <t>THICKNESS</t>
  </si>
  <si>
    <t>SLS LC</t>
  </si>
  <si>
    <t>Cover</t>
  </si>
  <si>
    <t>External</t>
  </si>
  <si>
    <t>Internal</t>
  </si>
  <si>
    <t>n</t>
  </si>
  <si>
    <t>PSM</t>
  </si>
  <si>
    <t>JRS</t>
  </si>
  <si>
    <t>Frame</t>
  </si>
  <si>
    <t>Location</t>
  </si>
  <si>
    <t>Rebar location</t>
  </si>
  <si>
    <t>ROOF</t>
  </si>
  <si>
    <t>L.WALL</t>
  </si>
  <si>
    <t>R.WALL</t>
  </si>
  <si>
    <t>I.WALL</t>
  </si>
  <si>
    <t>BASE</t>
  </si>
  <si>
    <t>Combined</t>
  </si>
  <si>
    <t>OutputCase</t>
  </si>
  <si>
    <t>Station</t>
  </si>
  <si>
    <t>P</t>
  </si>
  <si>
    <t>M3</t>
  </si>
  <si>
    <t>V2</t>
  </si>
  <si>
    <t>LS</t>
  </si>
  <si>
    <t>Max V2</t>
  </si>
  <si>
    <t>57Max V2</t>
  </si>
  <si>
    <t>76Max V2</t>
  </si>
  <si>
    <t>77Max V2</t>
  </si>
  <si>
    <t>78Max V2</t>
  </si>
  <si>
    <t>79Max V2</t>
  </si>
  <si>
    <t>80Max V2</t>
  </si>
  <si>
    <t>81Max V2</t>
  </si>
  <si>
    <t>82Max V2</t>
  </si>
  <si>
    <t>83Max V2</t>
  </si>
  <si>
    <t>84Max V2</t>
  </si>
  <si>
    <t>85Max V2</t>
  </si>
  <si>
    <t>86Max V2</t>
  </si>
  <si>
    <t>87Max V2</t>
  </si>
  <si>
    <t>88Max V2</t>
  </si>
  <si>
    <t>89Max V2</t>
  </si>
  <si>
    <t>90Max V2</t>
  </si>
  <si>
    <t>In SAP2000</t>
  </si>
  <si>
    <t>Thickness</t>
  </si>
  <si>
    <t>SECTION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</si>
</sst>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3" x14ac:knownFonts="1"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1"/>
      <name val="Times New Roman"/>
      <family val="1"/>
    </font>
    <font>
      <sz val="11"/>
      <color indexed="12"/>
      <name val="Arial"/>
      <family val="2"/>
    </font>
    <font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0"/>
      <name val="Arial"/>
      <family val="2"/>
    </font>
    <font>
      <sz val="11"/>
      <color indexed="10"/>
      <name val="Times New Roman"/>
      <family val="1"/>
    </font>
    <font>
      <b/>
      <sz val="10"/>
      <name val="Arial"/>
      <family val="2"/>
    </font>
    <font>
      <b/>
      <sz val="11"/>
      <color indexed="10"/>
      <name val="Arial"/>
      <family val="2"/>
    </font>
    <font>
      <b/>
      <sz val="8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u/>
      <sz val="11"/>
      <color indexed="12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1"/>
      <color rgb="FF0000FF"/>
      <name val="Arial"/>
      <family val="2"/>
    </font>
    <font>
      <b/>
      <sz val="11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0" xfId="0" applyFont="1" applyBorder="1"/>
    <xf numFmtId="0" fontId="4" fillId="0" borderId="0" xfId="0" applyFont="1" applyBorder="1"/>
    <xf numFmtId="0" fontId="2" fillId="0" borderId="0" xfId="0" applyFont="1" applyAlignment="1">
      <alignment horizontal="center"/>
    </xf>
    <xf numFmtId="0" fontId="2" fillId="0" borderId="5" xfId="0" applyFont="1" applyBorder="1"/>
    <xf numFmtId="0" fontId="2" fillId="0" borderId="10" xfId="0" applyFont="1" applyBorder="1"/>
    <xf numFmtId="1" fontId="2" fillId="0" borderId="0" xfId="0" applyNumberFormat="1" applyFont="1" applyBorder="1" applyAlignment="1"/>
    <xf numFmtId="1" fontId="4" fillId="0" borderId="0" xfId="0" applyNumberFormat="1" applyFont="1"/>
    <xf numFmtId="0" fontId="1" fillId="0" borderId="11" xfId="0" applyFont="1" applyBorder="1" applyAlignment="1">
      <alignment horizontal="left"/>
    </xf>
    <xf numFmtId="0" fontId="4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right" vertical="center"/>
    </xf>
    <xf numFmtId="1" fontId="5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left" vertical="center"/>
    </xf>
    <xf numFmtId="1" fontId="1" fillId="0" borderId="0" xfId="0" applyNumberFormat="1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2" fillId="0" borderId="12" xfId="0" applyFont="1" applyBorder="1" applyAlignment="1"/>
    <xf numFmtId="0" fontId="2" fillId="0" borderId="6" xfId="0" applyFont="1" applyBorder="1" applyAlignment="1">
      <alignment vertical="top" wrapText="1"/>
    </xf>
    <xf numFmtId="0" fontId="8" fillId="0" borderId="13" xfId="0" applyFont="1" applyBorder="1" applyAlignment="1">
      <alignment horizontal="center"/>
    </xf>
    <xf numFmtId="0" fontId="1" fillId="2" borderId="1" xfId="0" applyFont="1" applyFill="1" applyBorder="1" applyAlignment="1"/>
    <xf numFmtId="0" fontId="12" fillId="0" borderId="0" xfId="0" quotePrefix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" fontId="1" fillId="2" borderId="13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left"/>
    </xf>
    <xf numFmtId="0" fontId="2" fillId="0" borderId="11" xfId="0" applyFont="1" applyBorder="1"/>
    <xf numFmtId="1" fontId="1" fillId="0" borderId="0" xfId="0" applyNumberFormat="1" applyFont="1" applyBorder="1" applyAlignment="1">
      <alignment horizontal="left"/>
    </xf>
    <xf numFmtId="1" fontId="1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9" fillId="0" borderId="0" xfId="0" applyFont="1"/>
    <xf numFmtId="165" fontId="5" fillId="0" borderId="0" xfId="0" applyNumberFormat="1" applyFont="1" applyBorder="1" applyAlignment="1">
      <alignment horizontal="left" vertical="center"/>
    </xf>
    <xf numFmtId="1" fontId="2" fillId="3" borderId="15" xfId="0" applyNumberFormat="1" applyFont="1" applyFill="1" applyBorder="1" applyAlignment="1">
      <alignment horizontal="center"/>
    </xf>
    <xf numFmtId="1" fontId="2" fillId="3" borderId="9" xfId="0" applyNumberFormat="1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2" fontId="1" fillId="2" borderId="17" xfId="0" applyNumberFormat="1" applyFont="1" applyFill="1" applyBorder="1" applyAlignment="1">
      <alignment horizontal="center"/>
    </xf>
    <xf numFmtId="2" fontId="1" fillId="2" borderId="18" xfId="0" applyNumberFormat="1" applyFont="1" applyFill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0" fontId="2" fillId="2" borderId="13" xfId="0" applyFont="1" applyFill="1" applyBorder="1" applyAlignment="1"/>
    <xf numFmtId="164" fontId="2" fillId="0" borderId="0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1" fontId="2" fillId="0" borderId="0" xfId="0" applyNumberFormat="1" applyFont="1" applyBorder="1" applyAlignment="1">
      <alignment horizontal="left"/>
    </xf>
    <xf numFmtId="15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left"/>
    </xf>
    <xf numFmtId="164" fontId="2" fillId="0" borderId="0" xfId="0" applyNumberFormat="1" applyFont="1" applyBorder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1" fontId="2" fillId="0" borderId="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horizontal="right" vertical="center"/>
    </xf>
    <xf numFmtId="2" fontId="2" fillId="0" borderId="0" xfId="0" applyNumberFormat="1" applyFont="1" applyBorder="1" applyAlignment="1">
      <alignment horizontal="right" vertical="center"/>
    </xf>
    <xf numFmtId="1" fontId="2" fillId="0" borderId="0" xfId="0" applyNumberFormat="1" applyFont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/>
    <xf numFmtId="0" fontId="2" fillId="0" borderId="13" xfId="0" applyFont="1" applyBorder="1"/>
    <xf numFmtId="0" fontId="2" fillId="0" borderId="19" xfId="0" applyFont="1" applyBorder="1"/>
    <xf numFmtId="2" fontId="8" fillId="0" borderId="14" xfId="0" applyNumberFormat="1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2" fontId="8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1" fontId="2" fillId="0" borderId="0" xfId="0" applyNumberFormat="1" applyFont="1" applyBorder="1"/>
    <xf numFmtId="2" fontId="2" fillId="3" borderId="8" xfId="0" applyNumberFormat="1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8" fillId="3" borderId="18" xfId="0" applyNumberFormat="1" applyFont="1" applyFill="1" applyBorder="1" applyAlignment="1">
      <alignment horizontal="center"/>
    </xf>
    <xf numFmtId="1" fontId="2" fillId="3" borderId="2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1" fillId="0" borderId="6" xfId="0" applyFont="1" applyBorder="1" applyAlignment="1">
      <alignment horizontal="center" vertical="top" wrapText="1"/>
    </xf>
    <xf numFmtId="0" fontId="1" fillId="0" borderId="12" xfId="0" applyFont="1" applyBorder="1" applyAlignment="1">
      <alignment horizontal="center" vertical="top" wrapText="1"/>
    </xf>
    <xf numFmtId="1" fontId="1" fillId="0" borderId="5" xfId="0" applyNumberFormat="1" applyFont="1" applyBorder="1" applyAlignment="1">
      <alignment horizontal="center"/>
    </xf>
    <xf numFmtId="1" fontId="1" fillId="0" borderId="21" xfId="0" applyNumberFormat="1" applyFont="1" applyBorder="1" applyAlignment="1">
      <alignment horizontal="center" wrapText="1"/>
    </xf>
    <xf numFmtId="1" fontId="1" fillId="0" borderId="2" xfId="0" applyNumberFormat="1" applyFont="1" applyBorder="1" applyAlignment="1">
      <alignment horizontal="center"/>
    </xf>
    <xf numFmtId="1" fontId="1" fillId="0" borderId="20" xfId="0" applyNumberFormat="1" applyFont="1" applyBorder="1" applyAlignment="1">
      <alignment horizontal="center" wrapText="1"/>
    </xf>
    <xf numFmtId="2" fontId="2" fillId="0" borderId="0" xfId="0" applyNumberFormat="1" applyFont="1" applyBorder="1" applyAlignment="1">
      <alignment horizontal="center"/>
    </xf>
    <xf numFmtId="0" fontId="2" fillId="0" borderId="22" xfId="0" applyFont="1" applyBorder="1"/>
    <xf numFmtId="0" fontId="11" fillId="0" borderId="0" xfId="0" applyFont="1" applyAlignment="1">
      <alignment horizontal="left"/>
    </xf>
    <xf numFmtId="0" fontId="2" fillId="0" borderId="23" xfId="0" applyFont="1" applyBorder="1"/>
    <xf numFmtId="0" fontId="9" fillId="0" borderId="0" xfId="0" applyFont="1" applyBorder="1"/>
    <xf numFmtId="0" fontId="15" fillId="0" borderId="0" xfId="0" applyFont="1" applyBorder="1" applyAlignment="1">
      <alignment horizontal="center"/>
    </xf>
    <xf numFmtId="1" fontId="2" fillId="3" borderId="0" xfId="0" applyNumberFormat="1" applyFont="1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8" fillId="3" borderId="0" xfId="0" applyNumberFormat="1" applyFont="1" applyFill="1" applyBorder="1" applyAlignment="1">
      <alignment horizontal="center"/>
    </xf>
    <xf numFmtId="165" fontId="2" fillId="0" borderId="0" xfId="0" applyNumberFormat="1" applyFont="1" applyBorder="1"/>
    <xf numFmtId="0" fontId="8" fillId="0" borderId="0" xfId="0" applyFont="1" applyBorder="1"/>
    <xf numFmtId="0" fontId="2" fillId="0" borderId="0" xfId="0" applyNumberFormat="1" applyFont="1" applyBorder="1" applyAlignment="1">
      <alignment horizontal="center"/>
    </xf>
    <xf numFmtId="1" fontId="4" fillId="0" borderId="0" xfId="0" applyNumberFormat="1" applyFont="1" applyBorder="1"/>
    <xf numFmtId="0" fontId="2" fillId="0" borderId="24" xfId="0" applyFont="1" applyBorder="1"/>
    <xf numFmtId="0" fontId="1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right" vertical="center"/>
    </xf>
    <xf numFmtId="0" fontId="10" fillId="0" borderId="3" xfId="0" applyFont="1" applyBorder="1" applyAlignment="1">
      <alignment horizontal="center" vertical="center"/>
    </xf>
    <xf numFmtId="2" fontId="2" fillId="0" borderId="0" xfId="0" applyNumberFormat="1" applyFont="1" applyBorder="1"/>
    <xf numFmtId="2" fontId="4" fillId="0" borderId="0" xfId="0" applyNumberFormat="1" applyFont="1" applyBorder="1"/>
    <xf numFmtId="2" fontId="4" fillId="0" borderId="0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4" fillId="0" borderId="0" xfId="0" applyNumberFormat="1" applyFont="1"/>
    <xf numFmtId="2" fontId="2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16" fillId="0" borderId="0" xfId="0" applyFont="1" applyBorder="1" applyAlignment="1">
      <alignment horizontal="left"/>
    </xf>
    <xf numFmtId="0" fontId="2" fillId="0" borderId="26" xfId="0" applyFont="1" applyBorder="1"/>
    <xf numFmtId="15" fontId="2" fillId="0" borderId="0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1" fontId="2" fillId="2" borderId="11" xfId="0" applyNumberFormat="1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2" fontId="1" fillId="2" borderId="30" xfId="0" applyNumberFormat="1" applyFont="1" applyFill="1" applyBorder="1" applyAlignment="1">
      <alignment horizontal="center"/>
    </xf>
    <xf numFmtId="2" fontId="8" fillId="0" borderId="29" xfId="0" applyNumberFormat="1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" fontId="2" fillId="0" borderId="31" xfId="0" applyNumberFormat="1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/>
    <xf numFmtId="0" fontId="2" fillId="0" borderId="34" xfId="0" applyFont="1" applyBorder="1"/>
    <xf numFmtId="1" fontId="1" fillId="0" borderId="21" xfId="0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8" fillId="0" borderId="15" xfId="0" applyNumberFormat="1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20" fillId="0" borderId="31" xfId="0" applyNumberFormat="1" applyFont="1" applyBorder="1" applyAlignment="1">
      <alignment horizontal="center"/>
    </xf>
    <xf numFmtId="1" fontId="20" fillId="0" borderId="9" xfId="0" applyNumberFormat="1" applyFont="1" applyBorder="1" applyAlignment="1">
      <alignment horizontal="center"/>
    </xf>
    <xf numFmtId="0" fontId="2" fillId="0" borderId="2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" fontId="20" fillId="0" borderId="0" xfId="0" applyNumberFormat="1" applyFont="1" applyBorder="1" applyAlignment="1">
      <alignment horizontal="center"/>
    </xf>
    <xf numFmtId="165" fontId="8" fillId="0" borderId="0" xfId="0" applyNumberFormat="1" applyFont="1" applyBorder="1" applyAlignment="1">
      <alignment horizontal="center" vertical="center"/>
    </xf>
    <xf numFmtId="165" fontId="20" fillId="0" borderId="2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1" fontId="2" fillId="0" borderId="22" xfId="0" applyNumberFormat="1" applyFont="1" applyBorder="1" applyAlignment="1">
      <alignment horizontal="center"/>
    </xf>
    <xf numFmtId="0" fontId="2" fillId="0" borderId="29" xfId="0" applyFont="1" applyBorder="1"/>
    <xf numFmtId="0" fontId="1" fillId="0" borderId="29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" fontId="4" fillId="0" borderId="36" xfId="0" applyNumberFormat="1" applyFont="1" applyBorder="1" applyAlignment="1">
      <alignment horizontal="center"/>
    </xf>
    <xf numFmtId="0" fontId="5" fillId="0" borderId="36" xfId="0" applyFont="1" applyBorder="1" applyAlignment="1">
      <alignment horizontal="center" vertical="center"/>
    </xf>
    <xf numFmtId="1" fontId="4" fillId="0" borderId="36" xfId="0" applyNumberFormat="1" applyFont="1" applyBorder="1"/>
    <xf numFmtId="0" fontId="2" fillId="0" borderId="2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6" xfId="0" applyFont="1" applyBorder="1"/>
    <xf numFmtId="0" fontId="1" fillId="0" borderId="16" xfId="0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5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" fontId="2" fillId="2" borderId="0" xfId="0" applyNumberFormat="1" applyFont="1" applyFill="1" applyBorder="1" applyAlignment="1">
      <alignment horizontal="center"/>
    </xf>
    <xf numFmtId="0" fontId="2" fillId="0" borderId="15" xfId="0" applyFont="1" applyBorder="1"/>
    <xf numFmtId="0" fontId="2" fillId="0" borderId="2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19" fillId="4" borderId="47" xfId="0" applyFont="1" applyFill="1" applyBorder="1"/>
    <xf numFmtId="0" fontId="1" fillId="0" borderId="9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wrapText="1"/>
    </xf>
    <xf numFmtId="0" fontId="1" fillId="0" borderId="45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1" fillId="0" borderId="44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6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0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16" xfId="0" applyFont="1" applyBorder="1" applyAlignment="1">
      <alignment horizontal="center" wrapText="1"/>
    </xf>
    <xf numFmtId="15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" fontId="2" fillId="0" borderId="36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" fillId="0" borderId="6" xfId="0" applyFont="1" applyBorder="1" applyAlignment="1"/>
    <xf numFmtId="0" fontId="10" fillId="0" borderId="5" xfId="0" applyFont="1" applyBorder="1" applyAlignment="1"/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" fontId="1" fillId="0" borderId="19" xfId="0" applyNumberFormat="1" applyFont="1" applyBorder="1" applyAlignment="1">
      <alignment horizontal="center" vertical="center" wrapText="1"/>
    </xf>
    <xf numFmtId="1" fontId="1" fillId="0" borderId="14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1" fontId="1" fillId="0" borderId="16" xfId="0" applyNumberFormat="1" applyFont="1" applyBorder="1" applyAlignment="1">
      <alignment horizontal="center" vertical="center" wrapText="1"/>
    </xf>
    <xf numFmtId="1" fontId="1" fillId="0" borderId="40" xfId="0" applyNumberFormat="1" applyFont="1" applyBorder="1" applyAlignment="1">
      <alignment horizontal="center" vertical="center" wrapText="1"/>
    </xf>
    <xf numFmtId="1" fontId="1" fillId="0" borderId="41" xfId="0" applyNumberFormat="1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5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624840</xdr:colOff>
          <xdr:row>15</xdr:row>
          <xdr:rowOff>30480</xdr:rowOff>
        </xdr:from>
        <xdr:to>
          <xdr:col>47</xdr:col>
          <xdr:colOff>381000</xdr:colOff>
          <xdr:row>16</xdr:row>
          <xdr:rowOff>53340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getLength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15</xdr:row>
          <xdr:rowOff>22860</xdr:rowOff>
        </xdr:from>
        <xdr:to>
          <xdr:col>53</xdr:col>
          <xdr:colOff>182880</xdr:colOff>
          <xdr:row>16</xdr:row>
          <xdr:rowOff>53340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getShear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243840</xdr:colOff>
          <xdr:row>15</xdr:row>
          <xdr:rowOff>22860</xdr:rowOff>
        </xdr:from>
        <xdr:to>
          <xdr:col>56</xdr:col>
          <xdr:colOff>243840</xdr:colOff>
          <xdr:row>16</xdr:row>
          <xdr:rowOff>53340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137160</xdr:colOff>
          <xdr:row>15</xdr:row>
          <xdr:rowOff>22860</xdr:rowOff>
        </xdr:from>
        <xdr:to>
          <xdr:col>50</xdr:col>
          <xdr:colOff>152400</xdr:colOff>
          <xdr:row>16</xdr:row>
          <xdr:rowOff>53340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624840</xdr:colOff>
          <xdr:row>15</xdr:row>
          <xdr:rowOff>30480</xdr:rowOff>
        </xdr:from>
        <xdr:to>
          <xdr:col>47</xdr:col>
          <xdr:colOff>381000</xdr:colOff>
          <xdr:row>16</xdr:row>
          <xdr:rowOff>53340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getLength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15</xdr:row>
          <xdr:rowOff>22860</xdr:rowOff>
        </xdr:from>
        <xdr:to>
          <xdr:col>53</xdr:col>
          <xdr:colOff>182880</xdr:colOff>
          <xdr:row>16</xdr:row>
          <xdr:rowOff>53340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getShear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243840</xdr:colOff>
          <xdr:row>15</xdr:row>
          <xdr:rowOff>22860</xdr:rowOff>
        </xdr:from>
        <xdr:to>
          <xdr:col>56</xdr:col>
          <xdr:colOff>243840</xdr:colOff>
          <xdr:row>16</xdr:row>
          <xdr:rowOff>53340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137160</xdr:colOff>
          <xdr:row>15</xdr:row>
          <xdr:rowOff>22860</xdr:rowOff>
        </xdr:from>
        <xdr:to>
          <xdr:col>50</xdr:col>
          <xdr:colOff>152400</xdr:colOff>
          <xdr:row>16</xdr:row>
          <xdr:rowOff>53340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129540</xdr:colOff>
          <xdr:row>15</xdr:row>
          <xdr:rowOff>22860</xdr:rowOff>
        </xdr:from>
        <xdr:to>
          <xdr:col>53</xdr:col>
          <xdr:colOff>182880</xdr:colOff>
          <xdr:row>16</xdr:row>
          <xdr:rowOff>53340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getShear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539750</xdr:colOff>
      <xdr:row>272</xdr:row>
      <xdr:rowOff>25400</xdr:rowOff>
    </xdr:from>
    <xdr:to>
      <xdr:col>7</xdr:col>
      <xdr:colOff>923925</xdr:colOff>
      <xdr:row>274</xdr:row>
      <xdr:rowOff>47625</xdr:rowOff>
    </xdr:to>
    <xdr:pic>
      <xdr:nvPicPr>
        <xdr:cNvPr id="6716" name="Picture 11" descr="MM Logo">
          <a:extLst>
            <a:ext uri="{FF2B5EF4-FFF2-40B4-BE49-F238E27FC236}">
              <a16:creationId xmlns:a16="http://schemas.microsoft.com/office/drawing/2014/main" id="{00000000-0008-0000-0300-00003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5400" y="48558450"/>
          <a:ext cx="1631950" cy="374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95250</xdr:colOff>
      <xdr:row>0</xdr:row>
      <xdr:rowOff>88900</xdr:rowOff>
    </xdr:from>
    <xdr:to>
      <xdr:col>1</xdr:col>
      <xdr:colOff>9525</xdr:colOff>
      <xdr:row>3</xdr:row>
      <xdr:rowOff>9525</xdr:rowOff>
    </xdr:to>
    <xdr:pic>
      <xdr:nvPicPr>
        <xdr:cNvPr id="6717" name="Picture 2">
          <a:extLst>
            <a:ext uri="{FF2B5EF4-FFF2-40B4-BE49-F238E27FC236}">
              <a16:creationId xmlns:a16="http://schemas.microsoft.com/office/drawing/2014/main" id="{00000000-0008-0000-0300-00003D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88900"/>
          <a:ext cx="7175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66" totalsRowShown="0">
  <autoFilter ref="A1:D66" xr:uid="{00000000-0009-0000-0100-000001000000}">
    <filterColumn colId="1">
      <filters>
        <filter val="I.WALL"/>
      </filters>
    </filterColumn>
  </autoFilter>
  <sortState xmlns:xlrd2="http://schemas.microsoft.com/office/spreadsheetml/2017/richdata2" ref="A2:C6">
    <sortCondition ref="A1:A85"/>
  </sortState>
  <tableColumns count="4">
    <tableColumn id="1" xr3:uid="{00000000-0010-0000-0000-000001000000}" name="Frame"/>
    <tableColumn id="3" xr3:uid="{00000000-0010-0000-0000-000003000000}" name="Location" dataDxfId="0"/>
    <tableColumn id="2" xr3:uid="{00000000-0010-0000-0000-000002000000}" name="Rebar location"/>
    <tableColumn id="4" xr3:uid="{B44115F7-8D02-48AB-9AA5-35E87052864A}" name="Thick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66"/>
  <sheetViews>
    <sheetView zoomScale="115" zoomScaleNormal="115" workbookViewId="0">
      <selection activeCell="D25" sqref="D25:D66"/>
    </sheetView>
  </sheetViews>
  <sheetFormatPr defaultRowHeight="13.2" x14ac:dyDescent="0.25"/>
  <sheetData>
    <row r="1" spans="1:20" x14ac:dyDescent="0.25">
      <c r="A1" t="s">
        <v>130</v>
      </c>
      <c r="B1" t="s">
        <v>131</v>
      </c>
      <c r="C1" t="s">
        <v>132</v>
      </c>
      <c r="D1" t="s">
        <v>163</v>
      </c>
    </row>
    <row r="2" spans="1:20" hidden="1" x14ac:dyDescent="0.25">
      <c r="A2">
        <v>100</v>
      </c>
      <c r="B2" s="221" t="s">
        <v>134</v>
      </c>
      <c r="D2">
        <v>1000</v>
      </c>
    </row>
    <row r="3" spans="1:20" hidden="1" x14ac:dyDescent="0.25">
      <c r="A3">
        <v>101</v>
      </c>
      <c r="B3" s="221" t="s">
        <v>134</v>
      </c>
      <c r="D3">
        <v>1000</v>
      </c>
    </row>
    <row r="4" spans="1:20" hidden="1" x14ac:dyDescent="0.25">
      <c r="A4">
        <v>102</v>
      </c>
      <c r="B4" s="221" t="s">
        <v>134</v>
      </c>
      <c r="D4">
        <v>1000</v>
      </c>
    </row>
    <row r="5" spans="1:20" hidden="1" x14ac:dyDescent="0.25">
      <c r="A5">
        <v>103</v>
      </c>
      <c r="B5" s="221" t="s">
        <v>134</v>
      </c>
      <c r="D5">
        <v>1000</v>
      </c>
      <c r="H5">
        <v>88</v>
      </c>
      <c r="I5">
        <v>89</v>
      </c>
      <c r="J5">
        <v>90</v>
      </c>
      <c r="K5">
        <v>91</v>
      </c>
      <c r="L5">
        <v>57</v>
      </c>
      <c r="M5">
        <v>92</v>
      </c>
      <c r="N5">
        <v>93</v>
      </c>
      <c r="O5">
        <v>94</v>
      </c>
      <c r="P5">
        <v>95</v>
      </c>
      <c r="Q5">
        <v>96</v>
      </c>
      <c r="R5">
        <v>97</v>
      </c>
      <c r="S5">
        <v>98</v>
      </c>
      <c r="T5">
        <v>99</v>
      </c>
    </row>
    <row r="6" spans="1:20" hidden="1" x14ac:dyDescent="0.25">
      <c r="A6">
        <v>104</v>
      </c>
      <c r="B6" s="221" t="s">
        <v>134</v>
      </c>
      <c r="D6">
        <v>1000</v>
      </c>
    </row>
    <row r="7" spans="1:20" hidden="1" x14ac:dyDescent="0.25">
      <c r="A7">
        <v>105</v>
      </c>
      <c r="B7" s="221" t="s">
        <v>134</v>
      </c>
      <c r="D7">
        <v>1000</v>
      </c>
    </row>
    <row r="8" spans="1:20" hidden="1" x14ac:dyDescent="0.25">
      <c r="A8">
        <v>106</v>
      </c>
      <c r="B8" s="221" t="s">
        <v>134</v>
      </c>
      <c r="D8">
        <v>1000</v>
      </c>
    </row>
    <row r="9" spans="1:20" hidden="1" x14ac:dyDescent="0.25">
      <c r="A9">
        <v>107</v>
      </c>
      <c r="B9" s="221" t="s">
        <v>134</v>
      </c>
      <c r="D9">
        <v>1000</v>
      </c>
    </row>
    <row r="10" spans="1:20" hidden="1" x14ac:dyDescent="0.25">
      <c r="A10">
        <v>108</v>
      </c>
      <c r="B10" s="221" t="s">
        <v>134</v>
      </c>
      <c r="D10">
        <v>1000</v>
      </c>
    </row>
    <row r="11" spans="1:20" hidden="1" x14ac:dyDescent="0.25">
      <c r="A11">
        <v>109</v>
      </c>
      <c r="B11" s="221" t="s">
        <v>134</v>
      </c>
      <c r="D11">
        <v>1000</v>
      </c>
    </row>
    <row r="12" spans="1:20" hidden="1" x14ac:dyDescent="0.25">
      <c r="A12">
        <v>76</v>
      </c>
      <c r="B12" s="221" t="s">
        <v>133</v>
      </c>
      <c r="D12">
        <v>1000</v>
      </c>
    </row>
    <row r="13" spans="1:20" hidden="1" x14ac:dyDescent="0.25">
      <c r="A13">
        <v>77</v>
      </c>
      <c r="B13" s="221" t="s">
        <v>133</v>
      </c>
      <c r="D13">
        <v>1000</v>
      </c>
    </row>
    <row r="14" spans="1:20" hidden="1" x14ac:dyDescent="0.25">
      <c r="A14">
        <v>78</v>
      </c>
      <c r="B14" s="221" t="s">
        <v>133</v>
      </c>
      <c r="D14">
        <v>1000</v>
      </c>
    </row>
    <row r="15" spans="1:20" hidden="1" x14ac:dyDescent="0.25">
      <c r="A15">
        <v>79</v>
      </c>
      <c r="B15" s="221" t="s">
        <v>133</v>
      </c>
      <c r="D15">
        <v>1000</v>
      </c>
    </row>
    <row r="16" spans="1:20" hidden="1" x14ac:dyDescent="0.25">
      <c r="A16">
        <v>80</v>
      </c>
      <c r="B16" s="221" t="s">
        <v>133</v>
      </c>
      <c r="D16">
        <v>1000</v>
      </c>
    </row>
    <row r="17" spans="1:4" hidden="1" x14ac:dyDescent="0.25">
      <c r="A17">
        <v>81</v>
      </c>
      <c r="B17" s="221" t="s">
        <v>133</v>
      </c>
      <c r="D17">
        <v>1000</v>
      </c>
    </row>
    <row r="18" spans="1:4" hidden="1" x14ac:dyDescent="0.25">
      <c r="A18">
        <v>82</v>
      </c>
      <c r="B18" s="221" t="s">
        <v>133</v>
      </c>
      <c r="D18">
        <v>1000</v>
      </c>
    </row>
    <row r="19" spans="1:4" hidden="1" x14ac:dyDescent="0.25">
      <c r="A19">
        <v>83</v>
      </c>
      <c r="B19" s="221" t="s">
        <v>133</v>
      </c>
      <c r="D19">
        <v>1000</v>
      </c>
    </row>
    <row r="20" spans="1:4" hidden="1" x14ac:dyDescent="0.25">
      <c r="A20">
        <v>84</v>
      </c>
      <c r="B20" s="221" t="s">
        <v>133</v>
      </c>
      <c r="D20">
        <v>1000</v>
      </c>
    </row>
    <row r="21" spans="1:4" hidden="1" x14ac:dyDescent="0.25">
      <c r="A21">
        <v>85</v>
      </c>
      <c r="B21" s="221" t="s">
        <v>133</v>
      </c>
      <c r="D21">
        <v>1000</v>
      </c>
    </row>
    <row r="22" spans="1:4" hidden="1" x14ac:dyDescent="0.25">
      <c r="A22">
        <v>86</v>
      </c>
      <c r="B22" s="221" t="s">
        <v>133</v>
      </c>
      <c r="D22">
        <v>1000</v>
      </c>
    </row>
    <row r="23" spans="1:4" hidden="1" x14ac:dyDescent="0.25">
      <c r="A23">
        <v>87</v>
      </c>
      <c r="B23" s="221" t="s">
        <v>133</v>
      </c>
      <c r="D23">
        <v>1000</v>
      </c>
    </row>
    <row r="24" spans="1:4" x14ac:dyDescent="0.25">
      <c r="A24">
        <v>120</v>
      </c>
      <c r="B24" s="221" t="s">
        <v>136</v>
      </c>
      <c r="D24">
        <v>600</v>
      </c>
    </row>
    <row r="25" spans="1:4" x14ac:dyDescent="0.25">
      <c r="A25">
        <v>121</v>
      </c>
      <c r="B25" s="221" t="s">
        <v>136</v>
      </c>
      <c r="D25">
        <v>600</v>
      </c>
    </row>
    <row r="26" spans="1:4" x14ac:dyDescent="0.25">
      <c r="A26">
        <v>122</v>
      </c>
      <c r="B26" s="221" t="s">
        <v>136</v>
      </c>
      <c r="D26">
        <v>600</v>
      </c>
    </row>
    <row r="27" spans="1:4" x14ac:dyDescent="0.25">
      <c r="A27">
        <v>123</v>
      </c>
      <c r="B27" s="221" t="s">
        <v>136</v>
      </c>
      <c r="D27">
        <v>600</v>
      </c>
    </row>
    <row r="28" spans="1:4" x14ac:dyDescent="0.25">
      <c r="A28">
        <v>124</v>
      </c>
      <c r="B28" s="221" t="s">
        <v>136</v>
      </c>
      <c r="D28">
        <v>600</v>
      </c>
    </row>
    <row r="29" spans="1:4" x14ac:dyDescent="0.25">
      <c r="A29">
        <v>125</v>
      </c>
      <c r="B29" s="221" t="s">
        <v>136</v>
      </c>
      <c r="D29">
        <v>600</v>
      </c>
    </row>
    <row r="30" spans="1:4" x14ac:dyDescent="0.25">
      <c r="A30">
        <v>126</v>
      </c>
      <c r="B30" s="221" t="s">
        <v>136</v>
      </c>
      <c r="D30">
        <v>600</v>
      </c>
    </row>
    <row r="31" spans="1:4" x14ac:dyDescent="0.25">
      <c r="A31">
        <v>127</v>
      </c>
      <c r="B31" s="221" t="s">
        <v>136</v>
      </c>
      <c r="D31">
        <v>600</v>
      </c>
    </row>
    <row r="32" spans="1:4" x14ac:dyDescent="0.25">
      <c r="A32">
        <v>128</v>
      </c>
      <c r="B32" s="221" t="s">
        <v>136</v>
      </c>
      <c r="D32">
        <v>600</v>
      </c>
    </row>
    <row r="33" spans="1:4" x14ac:dyDescent="0.25">
      <c r="A33">
        <v>129</v>
      </c>
      <c r="B33" s="221" t="s">
        <v>136</v>
      </c>
      <c r="D33">
        <v>600</v>
      </c>
    </row>
    <row r="34" spans="1:4" x14ac:dyDescent="0.25">
      <c r="A34">
        <v>130</v>
      </c>
      <c r="B34" s="221" t="s">
        <v>136</v>
      </c>
      <c r="D34">
        <v>600</v>
      </c>
    </row>
    <row r="35" spans="1:4" x14ac:dyDescent="0.25">
      <c r="A35">
        <v>131</v>
      </c>
      <c r="B35" s="221" t="s">
        <v>136</v>
      </c>
      <c r="D35">
        <v>600</v>
      </c>
    </row>
    <row r="36" spans="1:4" x14ac:dyDescent="0.25">
      <c r="A36">
        <v>132</v>
      </c>
      <c r="B36" s="221" t="s">
        <v>136</v>
      </c>
      <c r="D36">
        <v>600</v>
      </c>
    </row>
    <row r="37" spans="1:4" x14ac:dyDescent="0.25">
      <c r="A37">
        <v>133</v>
      </c>
      <c r="B37" s="221" t="s">
        <v>136</v>
      </c>
      <c r="D37">
        <v>600</v>
      </c>
    </row>
    <row r="38" spans="1:4" x14ac:dyDescent="0.25">
      <c r="A38">
        <v>134</v>
      </c>
      <c r="B38" s="221" t="s">
        <v>136</v>
      </c>
      <c r="D38">
        <v>600</v>
      </c>
    </row>
    <row r="39" spans="1:4" x14ac:dyDescent="0.25">
      <c r="A39">
        <v>135</v>
      </c>
      <c r="B39" s="221" t="s">
        <v>136</v>
      </c>
      <c r="D39">
        <v>600</v>
      </c>
    </row>
    <row r="40" spans="1:4" x14ac:dyDescent="0.25">
      <c r="A40">
        <v>136</v>
      </c>
      <c r="B40" s="221" t="s">
        <v>136</v>
      </c>
      <c r="D40">
        <v>600</v>
      </c>
    </row>
    <row r="41" spans="1:4" x14ac:dyDescent="0.25">
      <c r="A41">
        <v>137</v>
      </c>
      <c r="B41" s="221" t="s">
        <v>136</v>
      </c>
      <c r="D41">
        <v>600</v>
      </c>
    </row>
    <row r="42" spans="1:4" x14ac:dyDescent="0.25">
      <c r="A42">
        <v>138</v>
      </c>
      <c r="B42" t="s">
        <v>136</v>
      </c>
      <c r="D42">
        <v>600</v>
      </c>
    </row>
    <row r="43" spans="1:4" x14ac:dyDescent="0.25">
      <c r="A43">
        <v>139</v>
      </c>
      <c r="B43" t="s">
        <v>136</v>
      </c>
      <c r="D43">
        <v>600</v>
      </c>
    </row>
    <row r="44" spans="1:4" hidden="1" x14ac:dyDescent="0.25">
      <c r="A44">
        <v>110</v>
      </c>
      <c r="B44" t="s">
        <v>135</v>
      </c>
      <c r="D44">
        <v>1000</v>
      </c>
    </row>
    <row r="45" spans="1:4" hidden="1" x14ac:dyDescent="0.25">
      <c r="A45">
        <v>111</v>
      </c>
      <c r="B45" t="s">
        <v>135</v>
      </c>
      <c r="D45">
        <v>1000</v>
      </c>
    </row>
    <row r="46" spans="1:4" hidden="1" x14ac:dyDescent="0.25">
      <c r="A46">
        <v>112</v>
      </c>
      <c r="B46" t="s">
        <v>135</v>
      </c>
      <c r="D46">
        <v>1000</v>
      </c>
    </row>
    <row r="47" spans="1:4" hidden="1" x14ac:dyDescent="0.25">
      <c r="A47">
        <v>113</v>
      </c>
      <c r="B47" t="s">
        <v>135</v>
      </c>
      <c r="D47">
        <v>1000</v>
      </c>
    </row>
    <row r="48" spans="1:4" hidden="1" x14ac:dyDescent="0.25">
      <c r="A48">
        <v>114</v>
      </c>
      <c r="B48" t="s">
        <v>135</v>
      </c>
      <c r="D48">
        <v>1000</v>
      </c>
    </row>
    <row r="49" spans="1:4" hidden="1" x14ac:dyDescent="0.25">
      <c r="A49">
        <v>115</v>
      </c>
      <c r="B49" t="s">
        <v>135</v>
      </c>
      <c r="D49">
        <v>1000</v>
      </c>
    </row>
    <row r="50" spans="1:4" hidden="1" x14ac:dyDescent="0.25">
      <c r="A50">
        <v>116</v>
      </c>
      <c r="B50" t="s">
        <v>135</v>
      </c>
      <c r="D50">
        <v>1000</v>
      </c>
    </row>
    <row r="51" spans="1:4" hidden="1" x14ac:dyDescent="0.25">
      <c r="A51">
        <v>117</v>
      </c>
      <c r="B51" t="s">
        <v>135</v>
      </c>
      <c r="D51">
        <v>1000</v>
      </c>
    </row>
    <row r="52" spans="1:4" hidden="1" x14ac:dyDescent="0.25">
      <c r="A52">
        <v>118</v>
      </c>
      <c r="B52" t="s">
        <v>135</v>
      </c>
      <c r="D52">
        <v>1000</v>
      </c>
    </row>
    <row r="53" spans="1:4" hidden="1" x14ac:dyDescent="0.25">
      <c r="A53">
        <v>119</v>
      </c>
      <c r="B53" t="s">
        <v>135</v>
      </c>
      <c r="D53">
        <v>1000</v>
      </c>
    </row>
    <row r="54" spans="1:4" hidden="1" x14ac:dyDescent="0.25">
      <c r="A54">
        <v>88</v>
      </c>
      <c r="B54" t="s">
        <v>137</v>
      </c>
      <c r="D54">
        <v>1000</v>
      </c>
    </row>
    <row r="55" spans="1:4" hidden="1" x14ac:dyDescent="0.25">
      <c r="A55">
        <v>89</v>
      </c>
      <c r="B55" t="s">
        <v>137</v>
      </c>
      <c r="D55">
        <v>1000</v>
      </c>
    </row>
    <row r="56" spans="1:4" hidden="1" x14ac:dyDescent="0.25">
      <c r="A56">
        <v>90</v>
      </c>
      <c r="B56" t="s">
        <v>137</v>
      </c>
      <c r="D56">
        <v>1000</v>
      </c>
    </row>
    <row r="57" spans="1:4" hidden="1" x14ac:dyDescent="0.25">
      <c r="A57">
        <v>91</v>
      </c>
      <c r="B57" t="s">
        <v>137</v>
      </c>
      <c r="D57">
        <v>1000</v>
      </c>
    </row>
    <row r="58" spans="1:4" hidden="1" x14ac:dyDescent="0.25">
      <c r="A58">
        <v>57</v>
      </c>
      <c r="B58" t="s">
        <v>137</v>
      </c>
      <c r="D58">
        <v>1000</v>
      </c>
    </row>
    <row r="59" spans="1:4" hidden="1" x14ac:dyDescent="0.25">
      <c r="A59">
        <v>92</v>
      </c>
      <c r="B59" t="s">
        <v>137</v>
      </c>
      <c r="D59">
        <v>1000</v>
      </c>
    </row>
    <row r="60" spans="1:4" hidden="1" x14ac:dyDescent="0.25">
      <c r="A60">
        <v>93</v>
      </c>
      <c r="B60" t="s">
        <v>137</v>
      </c>
      <c r="D60">
        <v>1000</v>
      </c>
    </row>
    <row r="61" spans="1:4" hidden="1" x14ac:dyDescent="0.25">
      <c r="A61">
        <v>94</v>
      </c>
      <c r="B61" t="s">
        <v>137</v>
      </c>
      <c r="D61">
        <v>1000</v>
      </c>
    </row>
    <row r="62" spans="1:4" hidden="1" x14ac:dyDescent="0.25">
      <c r="A62">
        <v>95</v>
      </c>
      <c r="B62" t="s">
        <v>137</v>
      </c>
      <c r="D62">
        <v>1000</v>
      </c>
    </row>
    <row r="63" spans="1:4" hidden="1" x14ac:dyDescent="0.25">
      <c r="A63">
        <v>96</v>
      </c>
      <c r="B63" t="s">
        <v>137</v>
      </c>
      <c r="D63">
        <v>1000</v>
      </c>
    </row>
    <row r="64" spans="1:4" hidden="1" x14ac:dyDescent="0.25">
      <c r="A64">
        <v>97</v>
      </c>
      <c r="B64" t="s">
        <v>137</v>
      </c>
      <c r="D64">
        <v>1000</v>
      </c>
    </row>
    <row r="65" spans="1:4" hidden="1" x14ac:dyDescent="0.25">
      <c r="A65">
        <v>98</v>
      </c>
      <c r="B65" t="s">
        <v>137</v>
      </c>
      <c r="D65">
        <v>1000</v>
      </c>
    </row>
    <row r="66" spans="1:4" hidden="1" x14ac:dyDescent="0.25">
      <c r="A66">
        <v>99</v>
      </c>
      <c r="B66" t="s">
        <v>137</v>
      </c>
      <c r="D66">
        <v>1000</v>
      </c>
    </row>
  </sheetData>
  <conditionalFormatting sqref="A2:A66">
    <cfRule type="duplicateValues" dxfId="1" priority="2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67"/>
  <sheetViews>
    <sheetView workbookViewId="0">
      <selection activeCell="B43" sqref="B43"/>
    </sheetView>
  </sheetViews>
  <sheetFormatPr defaultRowHeight="13.2" x14ac:dyDescent="0.25"/>
  <sheetData>
    <row r="1" spans="1:9" x14ac:dyDescent="0.25">
      <c r="A1" t="s">
        <v>138</v>
      </c>
      <c r="B1" t="s">
        <v>130</v>
      </c>
      <c r="C1" t="s">
        <v>131</v>
      </c>
      <c r="D1" t="s">
        <v>140</v>
      </c>
      <c r="E1" t="s">
        <v>139</v>
      </c>
      <c r="F1" t="s">
        <v>141</v>
      </c>
      <c r="G1" t="s">
        <v>142</v>
      </c>
      <c r="H1" t="s">
        <v>143</v>
      </c>
      <c r="I1" t="s">
        <v>144</v>
      </c>
    </row>
    <row r="2" spans="1:9" x14ac:dyDescent="0.25">
      <c r="A2" t="s">
        <v>146</v>
      </c>
      <c r="B2">
        <v>57</v>
      </c>
      <c r="C2" t="s">
        <v>137</v>
      </c>
      <c r="D2">
        <v>1.062499999999998</v>
      </c>
      <c r="E2">
        <v>201</v>
      </c>
      <c r="F2">
        <v>-1375.8067440971915</v>
      </c>
      <c r="G2">
        <v>-1116.7009469097786</v>
      </c>
      <c r="H2">
        <v>855.20252384885873</v>
      </c>
      <c r="I2" t="s">
        <v>145</v>
      </c>
    </row>
    <row r="3" spans="1:9" x14ac:dyDescent="0.25">
      <c r="A3" t="s">
        <v>147</v>
      </c>
      <c r="B3">
        <v>76</v>
      </c>
      <c r="C3" t="s">
        <v>133</v>
      </c>
      <c r="D3">
        <v>0</v>
      </c>
      <c r="E3">
        <v>203</v>
      </c>
      <c r="F3">
        <v>-1644.13268371349</v>
      </c>
      <c r="G3">
        <v>-863.17150809225461</v>
      </c>
      <c r="H3">
        <v>-89.034614330807798</v>
      </c>
      <c r="I3" t="s">
        <v>145</v>
      </c>
    </row>
    <row r="4" spans="1:9" x14ac:dyDescent="0.25">
      <c r="A4" t="s">
        <v>148</v>
      </c>
      <c r="B4">
        <v>77</v>
      </c>
      <c r="C4" t="s">
        <v>133</v>
      </c>
      <c r="D4">
        <v>0</v>
      </c>
      <c r="E4">
        <v>203</v>
      </c>
      <c r="F4">
        <v>-1617.6241718966603</v>
      </c>
      <c r="G4">
        <v>-763.00756697009592</v>
      </c>
      <c r="H4">
        <v>-89.034614330809816</v>
      </c>
      <c r="I4" t="s">
        <v>145</v>
      </c>
    </row>
    <row r="5" spans="1:9" x14ac:dyDescent="0.25">
      <c r="A5" t="s">
        <v>149</v>
      </c>
      <c r="B5">
        <v>78</v>
      </c>
      <c r="C5" t="s">
        <v>133</v>
      </c>
      <c r="D5">
        <v>0</v>
      </c>
      <c r="E5">
        <v>203</v>
      </c>
      <c r="F5">
        <v>-1591.1156600797983</v>
      </c>
      <c r="G5">
        <v>-662.84362584793485</v>
      </c>
      <c r="H5">
        <v>-89.034614330807798</v>
      </c>
      <c r="I5" t="s">
        <v>145</v>
      </c>
    </row>
    <row r="6" spans="1:9" x14ac:dyDescent="0.25">
      <c r="A6" t="s">
        <v>150</v>
      </c>
      <c r="B6">
        <v>79</v>
      </c>
      <c r="C6" t="s">
        <v>133</v>
      </c>
      <c r="D6">
        <v>0</v>
      </c>
      <c r="E6">
        <v>203</v>
      </c>
      <c r="F6">
        <v>-1564.607148262904</v>
      </c>
      <c r="G6">
        <v>-562.67968472577627</v>
      </c>
      <c r="H6">
        <v>-89.034614330807798</v>
      </c>
      <c r="I6" t="s">
        <v>145</v>
      </c>
    </row>
    <row r="7" spans="1:9" x14ac:dyDescent="0.25">
      <c r="A7" t="s">
        <v>151</v>
      </c>
      <c r="B7">
        <v>80</v>
      </c>
      <c r="C7" t="s">
        <v>133</v>
      </c>
      <c r="D7">
        <v>0</v>
      </c>
      <c r="E7">
        <v>203</v>
      </c>
      <c r="F7">
        <v>-1538.0986364460746</v>
      </c>
      <c r="G7">
        <v>-462.51574360361633</v>
      </c>
      <c r="H7">
        <v>-89.034614330808807</v>
      </c>
      <c r="I7" t="s">
        <v>145</v>
      </c>
    </row>
    <row r="8" spans="1:9" x14ac:dyDescent="0.25">
      <c r="A8" t="s">
        <v>152</v>
      </c>
      <c r="B8">
        <v>81</v>
      </c>
      <c r="C8" t="s">
        <v>133</v>
      </c>
      <c r="D8">
        <v>0</v>
      </c>
      <c r="E8">
        <v>203</v>
      </c>
      <c r="F8">
        <v>-1511.5901246292128</v>
      </c>
      <c r="G8">
        <v>-362.3518024814561</v>
      </c>
      <c r="H8">
        <v>-89.034614330807287</v>
      </c>
      <c r="I8" t="s">
        <v>145</v>
      </c>
    </row>
    <row r="9" spans="1:9" x14ac:dyDescent="0.25">
      <c r="A9" t="s">
        <v>153</v>
      </c>
      <c r="B9">
        <v>82</v>
      </c>
      <c r="C9" t="s">
        <v>133</v>
      </c>
      <c r="D9">
        <v>0</v>
      </c>
      <c r="E9">
        <v>203</v>
      </c>
      <c r="F9">
        <v>-1485.0816128123508</v>
      </c>
      <c r="G9">
        <v>-262.18786135929616</v>
      </c>
      <c r="H9">
        <v>-89.034614330808807</v>
      </c>
      <c r="I9" t="s">
        <v>145</v>
      </c>
    </row>
    <row r="10" spans="1:9" x14ac:dyDescent="0.25">
      <c r="A10" t="s">
        <v>154</v>
      </c>
      <c r="B10">
        <v>83</v>
      </c>
      <c r="C10" t="s">
        <v>133</v>
      </c>
      <c r="D10">
        <v>0</v>
      </c>
      <c r="E10">
        <v>206</v>
      </c>
      <c r="F10">
        <v>-921.34387857355182</v>
      </c>
      <c r="G10">
        <v>-1281.0129125671672</v>
      </c>
      <c r="H10">
        <v>-1311.3795551064277</v>
      </c>
      <c r="I10" t="s">
        <v>145</v>
      </c>
    </row>
    <row r="11" spans="1:9" x14ac:dyDescent="0.25">
      <c r="A11" t="s">
        <v>155</v>
      </c>
      <c r="B11">
        <v>84</v>
      </c>
      <c r="C11" t="s">
        <v>133</v>
      </c>
      <c r="D11">
        <v>0</v>
      </c>
      <c r="E11">
        <v>206</v>
      </c>
      <c r="F11">
        <v>-981.06130114862538</v>
      </c>
      <c r="G11">
        <v>-24.672398224458707</v>
      </c>
      <c r="H11">
        <v>-925.84357851861773</v>
      </c>
      <c r="I11" t="s">
        <v>145</v>
      </c>
    </row>
    <row r="12" spans="1:9" x14ac:dyDescent="0.25">
      <c r="A12" t="s">
        <v>156</v>
      </c>
      <c r="B12">
        <v>85</v>
      </c>
      <c r="C12" t="s">
        <v>133</v>
      </c>
      <c r="D12">
        <v>0</v>
      </c>
      <c r="E12">
        <v>206</v>
      </c>
      <c r="F12">
        <v>-954.43497372369984</v>
      </c>
      <c r="G12">
        <v>810.23779870696478</v>
      </c>
      <c r="H12">
        <v>-562.07711943268737</v>
      </c>
      <c r="I12" t="s">
        <v>145</v>
      </c>
    </row>
    <row r="13" spans="1:9" x14ac:dyDescent="0.25">
      <c r="A13" t="s">
        <v>157</v>
      </c>
      <c r="B13">
        <v>86</v>
      </c>
      <c r="C13" t="s">
        <v>133</v>
      </c>
      <c r="D13">
        <v>1.1249999999999998</v>
      </c>
      <c r="E13">
        <v>203</v>
      </c>
      <c r="F13">
        <v>-1262.9498402118695</v>
      </c>
      <c r="G13">
        <v>1452.1957165323702</v>
      </c>
      <c r="H13">
        <v>347.17720312663761</v>
      </c>
      <c r="I13" t="s">
        <v>145</v>
      </c>
    </row>
    <row r="14" spans="1:9" x14ac:dyDescent="0.25">
      <c r="A14" t="s">
        <v>158</v>
      </c>
      <c r="B14">
        <v>87</v>
      </c>
      <c r="C14" t="s">
        <v>133</v>
      </c>
      <c r="D14">
        <v>1.1249999999999998</v>
      </c>
      <c r="E14">
        <v>203</v>
      </c>
      <c r="F14">
        <v>-1236.3235127869423</v>
      </c>
      <c r="G14">
        <v>902.8650703105518</v>
      </c>
      <c r="H14">
        <v>626.0052265064985</v>
      </c>
      <c r="I14" t="s">
        <v>145</v>
      </c>
    </row>
    <row r="15" spans="1:9" x14ac:dyDescent="0.25">
      <c r="A15" t="s">
        <v>159</v>
      </c>
      <c r="B15">
        <v>88</v>
      </c>
      <c r="C15" t="s">
        <v>137</v>
      </c>
      <c r="D15">
        <v>1.1250000000000011</v>
      </c>
      <c r="E15">
        <v>203</v>
      </c>
      <c r="F15">
        <v>-1209.6971853620196</v>
      </c>
      <c r="G15">
        <v>51.158571385590761</v>
      </c>
      <c r="H15">
        <v>884.75251224261854</v>
      </c>
      <c r="I15" t="s">
        <v>145</v>
      </c>
    </row>
    <row r="16" spans="1:9" x14ac:dyDescent="0.25">
      <c r="A16" t="s">
        <v>160</v>
      </c>
      <c r="B16">
        <v>89</v>
      </c>
      <c r="C16" t="s">
        <v>137</v>
      </c>
      <c r="D16">
        <v>1.1249999999999998</v>
      </c>
      <c r="E16">
        <v>203</v>
      </c>
      <c r="F16">
        <v>-1183.0708579370908</v>
      </c>
      <c r="G16">
        <v>-1080.3543636475181</v>
      </c>
      <c r="H16">
        <v>1123.4193443387496</v>
      </c>
      <c r="I16" t="s">
        <v>145</v>
      </c>
    </row>
    <row r="17" spans="1:9" x14ac:dyDescent="0.25">
      <c r="A17" t="s">
        <v>161</v>
      </c>
      <c r="B17">
        <v>90</v>
      </c>
      <c r="C17" t="s">
        <v>137</v>
      </c>
      <c r="D17">
        <v>1.1249999999999998</v>
      </c>
      <c r="E17">
        <v>203</v>
      </c>
      <c r="F17">
        <v>-1061.3820305121646</v>
      </c>
      <c r="G17">
        <v>-2465.2863770838962</v>
      </c>
      <c r="H17">
        <v>1331.9369973638757</v>
      </c>
      <c r="I17" t="s">
        <v>145</v>
      </c>
    </row>
    <row r="18" spans="1:9" x14ac:dyDescent="0.25">
      <c r="H18">
        <v>377.64628497465179</v>
      </c>
      <c r="I18" t="s">
        <v>145</v>
      </c>
    </row>
    <row r="19" spans="1:9" x14ac:dyDescent="0.25">
      <c r="H19">
        <v>645.63729835275706</v>
      </c>
      <c r="I19" t="s">
        <v>145</v>
      </c>
    </row>
    <row r="20" spans="1:9" x14ac:dyDescent="0.25">
      <c r="H20">
        <v>927.10368862304949</v>
      </c>
      <c r="I20" t="s">
        <v>145</v>
      </c>
    </row>
    <row r="21" spans="1:9" x14ac:dyDescent="0.25">
      <c r="H21">
        <v>1222.2162668930118</v>
      </c>
      <c r="I21" t="s">
        <v>145</v>
      </c>
    </row>
    <row r="22" spans="1:9" x14ac:dyDescent="0.25">
      <c r="H22">
        <v>16.371670596883632</v>
      </c>
      <c r="I22" t="s">
        <v>145</v>
      </c>
    </row>
    <row r="23" spans="1:9" x14ac:dyDescent="0.25">
      <c r="H23">
        <v>16.371670597000048</v>
      </c>
      <c r="I23" t="s">
        <v>145</v>
      </c>
    </row>
    <row r="24" spans="1:9" x14ac:dyDescent="0.25">
      <c r="H24">
        <v>16.371670596883632</v>
      </c>
      <c r="I24" t="s">
        <v>145</v>
      </c>
    </row>
    <row r="25" spans="1:9" x14ac:dyDescent="0.25">
      <c r="H25">
        <v>16.371670596767217</v>
      </c>
      <c r="I25" t="s">
        <v>145</v>
      </c>
    </row>
    <row r="26" spans="1:9" x14ac:dyDescent="0.25">
      <c r="H26">
        <v>16.371670597116463</v>
      </c>
      <c r="I26" t="s">
        <v>145</v>
      </c>
    </row>
    <row r="27" spans="1:9" x14ac:dyDescent="0.25">
      <c r="H27">
        <v>16.371670596883632</v>
      </c>
      <c r="I27" t="s">
        <v>145</v>
      </c>
    </row>
    <row r="28" spans="1:9" x14ac:dyDescent="0.25">
      <c r="H28">
        <v>16.371670596883632</v>
      </c>
      <c r="I28" t="s">
        <v>145</v>
      </c>
    </row>
    <row r="29" spans="1:9" x14ac:dyDescent="0.25">
      <c r="H29">
        <v>16.371670597116463</v>
      </c>
      <c r="I29" t="s">
        <v>145</v>
      </c>
    </row>
    <row r="30" spans="1:9" x14ac:dyDescent="0.25">
      <c r="H30">
        <v>16.371670597000048</v>
      </c>
      <c r="I30" t="s">
        <v>145</v>
      </c>
    </row>
    <row r="31" spans="1:9" x14ac:dyDescent="0.25">
      <c r="H31">
        <v>16.371670597000048</v>
      </c>
      <c r="I31" t="s">
        <v>145</v>
      </c>
    </row>
    <row r="32" spans="1:9" x14ac:dyDescent="0.25">
      <c r="H32">
        <v>10.109156076330692</v>
      </c>
      <c r="I32" t="s">
        <v>145</v>
      </c>
    </row>
    <row r="33" spans="8:9" x14ac:dyDescent="0.25">
      <c r="H33">
        <v>10.109156076447107</v>
      </c>
      <c r="I33" t="s">
        <v>145</v>
      </c>
    </row>
    <row r="34" spans="8:9" x14ac:dyDescent="0.25">
      <c r="H34">
        <v>10.109156076447107</v>
      </c>
      <c r="I34" t="s">
        <v>145</v>
      </c>
    </row>
    <row r="35" spans="8:9" x14ac:dyDescent="0.25">
      <c r="H35">
        <v>10.109156076563522</v>
      </c>
      <c r="I35" t="s">
        <v>145</v>
      </c>
    </row>
    <row r="36" spans="8:9" x14ac:dyDescent="0.25">
      <c r="H36">
        <v>10.109156076214276</v>
      </c>
      <c r="I36" t="s">
        <v>145</v>
      </c>
    </row>
    <row r="37" spans="8:9" x14ac:dyDescent="0.25">
      <c r="H37">
        <v>10.109156076214276</v>
      </c>
      <c r="I37" t="s">
        <v>145</v>
      </c>
    </row>
    <row r="38" spans="8:9" x14ac:dyDescent="0.25">
      <c r="H38">
        <v>10.109156076447107</v>
      </c>
      <c r="I38" t="s">
        <v>145</v>
      </c>
    </row>
    <row r="39" spans="8:9" x14ac:dyDescent="0.25">
      <c r="H39">
        <v>10.109156076563522</v>
      </c>
      <c r="I39" t="s">
        <v>145</v>
      </c>
    </row>
    <row r="40" spans="8:9" x14ac:dyDescent="0.25">
      <c r="H40">
        <v>10.109156076330692</v>
      </c>
      <c r="I40" t="s">
        <v>145</v>
      </c>
    </row>
    <row r="41" spans="8:9" x14ac:dyDescent="0.25">
      <c r="H41">
        <v>10.109156076214276</v>
      </c>
      <c r="I41" t="s">
        <v>145</v>
      </c>
    </row>
    <row r="42" spans="8:9" x14ac:dyDescent="0.25">
      <c r="H42">
        <v>-719.29402845023662</v>
      </c>
      <c r="I42" t="s">
        <v>145</v>
      </c>
    </row>
    <row r="43" spans="8:9" x14ac:dyDescent="0.25">
      <c r="H43">
        <v>-1070.9829440771518</v>
      </c>
      <c r="I43" t="s">
        <v>145</v>
      </c>
    </row>
    <row r="44" spans="8:9" x14ac:dyDescent="0.25">
      <c r="H44">
        <v>-688.56650575773529</v>
      </c>
      <c r="I44" t="s">
        <v>145</v>
      </c>
    </row>
    <row r="45" spans="8:9" x14ac:dyDescent="0.25">
      <c r="H45">
        <v>359.03368992121619</v>
      </c>
      <c r="I45" t="s">
        <v>145</v>
      </c>
    </row>
    <row r="46" spans="8:9" x14ac:dyDescent="0.25">
      <c r="H46">
        <v>806.19697839071171</v>
      </c>
      <c r="I46" t="s">
        <v>145</v>
      </c>
    </row>
    <row r="47" spans="8:9" x14ac:dyDescent="0.25">
      <c r="H47">
        <v>-943.69350844818109</v>
      </c>
      <c r="I47" t="s">
        <v>145</v>
      </c>
    </row>
    <row r="48" spans="8:9" x14ac:dyDescent="0.25">
      <c r="H48">
        <v>-493.62656259808136</v>
      </c>
      <c r="I48" t="s">
        <v>145</v>
      </c>
    </row>
    <row r="49" spans="8:9" x14ac:dyDescent="0.25">
      <c r="H49">
        <v>447.05460904339475</v>
      </c>
      <c r="I49" t="s">
        <v>145</v>
      </c>
    </row>
    <row r="50" spans="8:9" x14ac:dyDescent="0.25">
      <c r="H50">
        <v>897.12155421627745</v>
      </c>
      <c r="I50" t="s">
        <v>145</v>
      </c>
    </row>
    <row r="51" spans="8:9" x14ac:dyDescent="0.25">
      <c r="H51">
        <v>-772.65320762153351</v>
      </c>
      <c r="I51" t="s">
        <v>145</v>
      </c>
    </row>
    <row r="52" spans="8:9" x14ac:dyDescent="0.25">
      <c r="H52">
        <v>-331.29723473496415</v>
      </c>
      <c r="I52" t="s">
        <v>145</v>
      </c>
    </row>
    <row r="53" spans="8:9" x14ac:dyDescent="0.25">
      <c r="H53">
        <v>708.55904258638839</v>
      </c>
      <c r="I53" t="s">
        <v>145</v>
      </c>
    </row>
    <row r="54" spans="8:9" x14ac:dyDescent="0.25">
      <c r="H54">
        <v>1101.4650200840338</v>
      </c>
      <c r="I54" t="s">
        <v>145</v>
      </c>
    </row>
    <row r="55" spans="8:9" x14ac:dyDescent="0.25">
      <c r="H55">
        <v>551.97992980024355</v>
      </c>
      <c r="I55" t="s">
        <v>145</v>
      </c>
    </row>
    <row r="56" spans="8:9" x14ac:dyDescent="0.25">
      <c r="H56">
        <v>-360.78375192308886</v>
      </c>
      <c r="I56" t="s">
        <v>145</v>
      </c>
    </row>
    <row r="57" spans="8:9" x14ac:dyDescent="0.25">
      <c r="H57">
        <v>-453.22857969906664</v>
      </c>
      <c r="I57" t="s">
        <v>145</v>
      </c>
    </row>
    <row r="58" spans="8:9" x14ac:dyDescent="0.25">
      <c r="H58">
        <v>-675.34181518534137</v>
      </c>
      <c r="I58" t="s">
        <v>145</v>
      </c>
    </row>
    <row r="59" spans="8:9" x14ac:dyDescent="0.25">
      <c r="H59">
        <v>1547.5408051929421</v>
      </c>
      <c r="I59" t="s">
        <v>145</v>
      </c>
    </row>
    <row r="60" spans="8:9" x14ac:dyDescent="0.25">
      <c r="H60">
        <v>1604.1518654299971</v>
      </c>
      <c r="I60" t="s">
        <v>145</v>
      </c>
    </row>
    <row r="61" spans="8:9" x14ac:dyDescent="0.25">
      <c r="H61">
        <v>-1591.3230926794931</v>
      </c>
      <c r="I61" t="s">
        <v>145</v>
      </c>
    </row>
    <row r="62" spans="8:9" x14ac:dyDescent="0.25">
      <c r="H62">
        <v>-1589.823470264404</v>
      </c>
      <c r="I62" t="s">
        <v>145</v>
      </c>
    </row>
    <row r="63" spans="8:9" x14ac:dyDescent="0.25">
      <c r="H63">
        <v>-1531.7127786381388</v>
      </c>
      <c r="I63" t="s">
        <v>145</v>
      </c>
    </row>
    <row r="64" spans="8:9" x14ac:dyDescent="0.25">
      <c r="H64">
        <v>616.16843443721882</v>
      </c>
      <c r="I64" t="s">
        <v>145</v>
      </c>
    </row>
    <row r="65" spans="8:9" x14ac:dyDescent="0.25">
      <c r="H65">
        <v>433.00875997969342</v>
      </c>
      <c r="I65" t="s">
        <v>145</v>
      </c>
    </row>
    <row r="66" spans="8:9" x14ac:dyDescent="0.25">
      <c r="H66">
        <v>406.67002919961692</v>
      </c>
      <c r="I66" t="s">
        <v>145</v>
      </c>
    </row>
    <row r="67" spans="8:9" x14ac:dyDescent="0.25">
      <c r="H67">
        <v>495.00600622728621</v>
      </c>
      <c r="I67" t="s">
        <v>145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66"/>
  <sheetViews>
    <sheetView workbookViewId="0">
      <selection activeCell="D25" sqref="D25"/>
    </sheetView>
  </sheetViews>
  <sheetFormatPr defaultRowHeight="13.2" x14ac:dyDescent="0.25"/>
  <sheetData>
    <row r="1" spans="1:9" x14ac:dyDescent="0.25">
      <c r="A1" t="s">
        <v>138</v>
      </c>
      <c r="B1" t="s">
        <v>130</v>
      </c>
      <c r="C1" t="s">
        <v>131</v>
      </c>
      <c r="D1" t="s">
        <v>140</v>
      </c>
      <c r="E1" t="s">
        <v>139</v>
      </c>
      <c r="F1" t="s">
        <v>141</v>
      </c>
      <c r="G1" t="s">
        <v>142</v>
      </c>
      <c r="H1" t="s">
        <v>143</v>
      </c>
      <c r="I1" t="s">
        <v>144</v>
      </c>
    </row>
    <row r="2" spans="1:9" x14ac:dyDescent="0.25">
      <c r="A2" t="s">
        <v>146</v>
      </c>
      <c r="B2">
        <v>57</v>
      </c>
      <c r="C2" t="s">
        <v>137</v>
      </c>
      <c r="D2">
        <v>1.062499999999998</v>
      </c>
      <c r="E2">
        <v>101</v>
      </c>
      <c r="F2">
        <v>-1903.5003531964612</v>
      </c>
      <c r="G2">
        <v>-1550.9052658251135</v>
      </c>
      <c r="H2">
        <v>1184.1793308030979</v>
      </c>
      <c r="I2" t="s">
        <v>145</v>
      </c>
    </row>
    <row r="3" spans="1:9" x14ac:dyDescent="0.25">
      <c r="A3" t="s">
        <v>147</v>
      </c>
      <c r="B3">
        <v>76</v>
      </c>
      <c r="C3" t="s">
        <v>133</v>
      </c>
      <c r="D3">
        <v>0</v>
      </c>
      <c r="E3">
        <v>103</v>
      </c>
      <c r="F3">
        <v>-2243.7092913645042</v>
      </c>
      <c r="G3">
        <v>-1175.6382584531993</v>
      </c>
      <c r="H3">
        <v>-121.30431603380856</v>
      </c>
      <c r="I3" t="s">
        <v>145</v>
      </c>
    </row>
    <row r="4" spans="1:9" x14ac:dyDescent="0.25">
      <c r="A4" t="s">
        <v>148</v>
      </c>
      <c r="B4">
        <v>77</v>
      </c>
      <c r="C4" t="s">
        <v>133</v>
      </c>
      <c r="D4">
        <v>0</v>
      </c>
      <c r="E4">
        <v>103</v>
      </c>
      <c r="F4">
        <v>-2207.9228004117699</v>
      </c>
      <c r="G4">
        <v>-1039.1709029151659</v>
      </c>
      <c r="H4">
        <v>-121.30431603380957</v>
      </c>
      <c r="I4" t="s">
        <v>145</v>
      </c>
    </row>
    <row r="5" spans="1:9" x14ac:dyDescent="0.25">
      <c r="A5" t="s">
        <v>149</v>
      </c>
      <c r="B5">
        <v>78</v>
      </c>
      <c r="C5" t="s">
        <v>133</v>
      </c>
      <c r="D5">
        <v>0</v>
      </c>
      <c r="E5">
        <v>103</v>
      </c>
      <c r="F5">
        <v>-2172.1363094590029</v>
      </c>
      <c r="G5">
        <v>-902.7035473771308</v>
      </c>
      <c r="H5">
        <v>-121.3043160338035</v>
      </c>
      <c r="I5" t="s">
        <v>145</v>
      </c>
    </row>
    <row r="6" spans="1:9" x14ac:dyDescent="0.25">
      <c r="A6" t="s">
        <v>150</v>
      </c>
      <c r="B6">
        <v>79</v>
      </c>
      <c r="C6" t="s">
        <v>133</v>
      </c>
      <c r="D6">
        <v>0</v>
      </c>
      <c r="E6">
        <v>103</v>
      </c>
      <c r="F6">
        <v>-2136.3498185063008</v>
      </c>
      <c r="G6">
        <v>-766.23619183909898</v>
      </c>
      <c r="H6">
        <v>-121.30431603380957</v>
      </c>
      <c r="I6" t="s">
        <v>145</v>
      </c>
    </row>
    <row r="7" spans="1:9" x14ac:dyDescent="0.25">
      <c r="A7" t="s">
        <v>151</v>
      </c>
      <c r="B7">
        <v>80</v>
      </c>
      <c r="C7" t="s">
        <v>133</v>
      </c>
      <c r="D7">
        <v>0</v>
      </c>
      <c r="E7">
        <v>103</v>
      </c>
      <c r="F7">
        <v>-2100.5633275535665</v>
      </c>
      <c r="G7">
        <v>-629.76883630106158</v>
      </c>
      <c r="H7">
        <v>-121.30431603380755</v>
      </c>
      <c r="I7" t="s">
        <v>145</v>
      </c>
    </row>
    <row r="8" spans="1:9" x14ac:dyDescent="0.25">
      <c r="A8" t="s">
        <v>152</v>
      </c>
      <c r="B8">
        <v>81</v>
      </c>
      <c r="C8" t="s">
        <v>133</v>
      </c>
      <c r="D8">
        <v>0</v>
      </c>
      <c r="E8">
        <v>103</v>
      </c>
      <c r="F8">
        <v>-2064.7768366007999</v>
      </c>
      <c r="G8">
        <v>-493.30148076302703</v>
      </c>
      <c r="H8">
        <v>-121.30431603380856</v>
      </c>
      <c r="I8" t="s">
        <v>145</v>
      </c>
    </row>
    <row r="9" spans="1:9" x14ac:dyDescent="0.25">
      <c r="A9" t="s">
        <v>153</v>
      </c>
      <c r="B9">
        <v>82</v>
      </c>
      <c r="C9" t="s">
        <v>133</v>
      </c>
      <c r="D9">
        <v>0</v>
      </c>
      <c r="E9">
        <v>103</v>
      </c>
      <c r="F9">
        <v>-2028.9903456480331</v>
      </c>
      <c r="G9">
        <v>-356.8341252249927</v>
      </c>
      <c r="H9">
        <v>-121.30431603380705</v>
      </c>
      <c r="I9" t="s">
        <v>145</v>
      </c>
    </row>
    <row r="10" spans="1:9" x14ac:dyDescent="0.25">
      <c r="A10" t="s">
        <v>154</v>
      </c>
      <c r="B10">
        <v>83</v>
      </c>
      <c r="C10" t="s">
        <v>133</v>
      </c>
      <c r="D10">
        <v>0</v>
      </c>
      <c r="E10">
        <v>106</v>
      </c>
      <c r="F10">
        <v>-991.86727941207369</v>
      </c>
      <c r="G10">
        <v>-1722.080849357643</v>
      </c>
      <c r="H10">
        <v>-1815.474590159673</v>
      </c>
      <c r="I10" t="s">
        <v>145</v>
      </c>
    </row>
    <row r="11" spans="1:9" x14ac:dyDescent="0.25">
      <c r="A11" t="s">
        <v>155</v>
      </c>
      <c r="B11">
        <v>84</v>
      </c>
      <c r="C11" t="s">
        <v>133</v>
      </c>
      <c r="D11">
        <v>0</v>
      </c>
      <c r="E11">
        <v>106</v>
      </c>
      <c r="F11">
        <v>-1051.5847019871471</v>
      </c>
      <c r="G11">
        <v>20.231579419972309</v>
      </c>
      <c r="H11">
        <v>-1286.9855310119915</v>
      </c>
      <c r="I11" t="s">
        <v>145</v>
      </c>
    </row>
    <row r="12" spans="1:9" x14ac:dyDescent="0.25">
      <c r="A12" t="s">
        <v>156</v>
      </c>
      <c r="B12">
        <v>85</v>
      </c>
      <c r="C12" t="s">
        <v>133</v>
      </c>
      <c r="D12">
        <v>0</v>
      </c>
      <c r="E12">
        <v>106</v>
      </c>
      <c r="F12">
        <v>-1024.9583745622226</v>
      </c>
      <c r="G12">
        <v>1184.5956525939512</v>
      </c>
      <c r="H12">
        <v>-787.88541608749119</v>
      </c>
      <c r="I12" t="s">
        <v>145</v>
      </c>
    </row>
    <row r="13" spans="1:9" x14ac:dyDescent="0.25">
      <c r="A13" t="s">
        <v>157</v>
      </c>
      <c r="B13">
        <v>86</v>
      </c>
      <c r="C13" t="s">
        <v>133</v>
      </c>
      <c r="D13">
        <v>1.1249999999999998</v>
      </c>
      <c r="E13">
        <v>103</v>
      </c>
      <c r="F13">
        <v>-1722.0684651116624</v>
      </c>
      <c r="G13">
        <v>1976.3509713328747</v>
      </c>
      <c r="H13">
        <v>472.52287024937067</v>
      </c>
      <c r="I13" t="s">
        <v>145</v>
      </c>
    </row>
    <row r="14" spans="1:9" x14ac:dyDescent="0.25">
      <c r="A14" t="s">
        <v>158</v>
      </c>
      <c r="B14">
        <v>87</v>
      </c>
      <c r="C14" t="s">
        <v>133</v>
      </c>
      <c r="D14">
        <v>1.1249999999999998</v>
      </c>
      <c r="E14">
        <v>103</v>
      </c>
      <c r="F14">
        <v>-1686.1229230880076</v>
      </c>
      <c r="G14">
        <v>1228.5433487141597</v>
      </c>
      <c r="H14">
        <v>852.31566708976038</v>
      </c>
      <c r="I14" t="s">
        <v>145</v>
      </c>
    </row>
    <row r="15" spans="1:9" x14ac:dyDescent="0.25">
      <c r="A15" t="s">
        <v>159</v>
      </c>
      <c r="B15">
        <v>88</v>
      </c>
      <c r="C15" t="s">
        <v>137</v>
      </c>
      <c r="D15">
        <v>1.1250000000000011</v>
      </c>
      <c r="E15">
        <v>103</v>
      </c>
      <c r="F15">
        <v>-1650.1773810643624</v>
      </c>
      <c r="G15">
        <v>68.73148270849245</v>
      </c>
      <c r="H15">
        <v>1204.9994737115146</v>
      </c>
      <c r="I15" t="s">
        <v>145</v>
      </c>
    </row>
    <row r="16" spans="1:9" x14ac:dyDescent="0.25">
      <c r="A16" t="s">
        <v>160</v>
      </c>
      <c r="B16">
        <v>89</v>
      </c>
      <c r="C16" t="s">
        <v>137</v>
      </c>
      <c r="D16">
        <v>1.1249999999999998</v>
      </c>
      <c r="E16">
        <v>103</v>
      </c>
      <c r="F16">
        <v>-1614.2318390407127</v>
      </c>
      <c r="G16">
        <v>-1472.6159240256648</v>
      </c>
      <c r="H16">
        <v>1530.5746765812748</v>
      </c>
      <c r="I16" t="s">
        <v>145</v>
      </c>
    </row>
    <row r="17" spans="1:9" x14ac:dyDescent="0.25">
      <c r="A17" t="s">
        <v>161</v>
      </c>
      <c r="B17">
        <v>90</v>
      </c>
      <c r="C17" t="s">
        <v>137</v>
      </c>
      <c r="D17">
        <v>1.1249999999999998</v>
      </c>
      <c r="E17">
        <v>103</v>
      </c>
      <c r="F17">
        <v>-1448.2644220170596</v>
      </c>
      <c r="G17">
        <v>-3359.8759483556651</v>
      </c>
      <c r="H17">
        <v>1815.4484963886937</v>
      </c>
      <c r="I17" t="s">
        <v>145</v>
      </c>
    </row>
    <row r="18" spans="1:9" x14ac:dyDescent="0.25">
      <c r="H18">
        <v>540.01441636421339</v>
      </c>
      <c r="I18" t="s">
        <v>145</v>
      </c>
    </row>
    <row r="19" spans="1:9" x14ac:dyDescent="0.25">
      <c r="H19">
        <v>907.21959693558847</v>
      </c>
      <c r="I19" t="s">
        <v>145</v>
      </c>
    </row>
    <row r="20" spans="1:9" x14ac:dyDescent="0.25">
      <c r="H20">
        <v>1292.6168176071985</v>
      </c>
      <c r="I20" t="s">
        <v>145</v>
      </c>
    </row>
    <row r="21" spans="1:9" x14ac:dyDescent="0.25">
      <c r="H21">
        <v>1696.4367292382369</v>
      </c>
      <c r="I21" t="s">
        <v>145</v>
      </c>
    </row>
    <row r="22" spans="1:9" x14ac:dyDescent="0.25">
      <c r="H22">
        <v>18.56872612494044</v>
      </c>
      <c r="I22" t="s">
        <v>145</v>
      </c>
    </row>
    <row r="23" spans="1:9" x14ac:dyDescent="0.25">
      <c r="H23">
        <v>18.568726125406101</v>
      </c>
      <c r="I23" t="s">
        <v>145</v>
      </c>
    </row>
    <row r="24" spans="1:9" x14ac:dyDescent="0.25">
      <c r="H24">
        <v>18.568726124707609</v>
      </c>
      <c r="I24" t="s">
        <v>145</v>
      </c>
    </row>
    <row r="25" spans="1:9" x14ac:dyDescent="0.25">
      <c r="H25">
        <v>18.568726125406101</v>
      </c>
      <c r="I25" t="s">
        <v>145</v>
      </c>
    </row>
    <row r="26" spans="1:9" x14ac:dyDescent="0.25">
      <c r="H26">
        <v>18.568726124707609</v>
      </c>
      <c r="I26" t="s">
        <v>145</v>
      </c>
    </row>
    <row r="27" spans="1:9" x14ac:dyDescent="0.25">
      <c r="H27">
        <v>18.568726125173271</v>
      </c>
      <c r="I27" t="s">
        <v>145</v>
      </c>
    </row>
    <row r="28" spans="1:9" x14ac:dyDescent="0.25">
      <c r="H28">
        <v>18.568726125406101</v>
      </c>
      <c r="I28" t="s">
        <v>145</v>
      </c>
    </row>
    <row r="29" spans="1:9" x14ac:dyDescent="0.25">
      <c r="H29">
        <v>18.568726125406101</v>
      </c>
      <c r="I29" t="s">
        <v>145</v>
      </c>
    </row>
    <row r="30" spans="1:9" x14ac:dyDescent="0.25">
      <c r="H30">
        <v>18.568726125406101</v>
      </c>
      <c r="I30" t="s">
        <v>145</v>
      </c>
    </row>
    <row r="31" spans="1:9" x14ac:dyDescent="0.25">
      <c r="H31">
        <v>18.568726125406101</v>
      </c>
      <c r="I31" t="s">
        <v>145</v>
      </c>
    </row>
    <row r="32" spans="1:9" x14ac:dyDescent="0.25">
      <c r="H32">
        <v>10.290688193868846</v>
      </c>
      <c r="I32" t="s">
        <v>145</v>
      </c>
    </row>
    <row r="33" spans="8:9" x14ac:dyDescent="0.25">
      <c r="H33">
        <v>10.290688193170354</v>
      </c>
      <c r="I33" t="s">
        <v>145</v>
      </c>
    </row>
    <row r="34" spans="8:9" x14ac:dyDescent="0.25">
      <c r="H34">
        <v>10.290688194101676</v>
      </c>
      <c r="I34" t="s">
        <v>145</v>
      </c>
    </row>
    <row r="35" spans="8:9" x14ac:dyDescent="0.25">
      <c r="H35">
        <v>10.290688193403184</v>
      </c>
      <c r="I35" t="s">
        <v>145</v>
      </c>
    </row>
    <row r="36" spans="8:9" x14ac:dyDescent="0.25">
      <c r="H36">
        <v>10.290688193403184</v>
      </c>
      <c r="I36" t="s">
        <v>145</v>
      </c>
    </row>
    <row r="37" spans="8:9" x14ac:dyDescent="0.25">
      <c r="H37">
        <v>10.290688193636015</v>
      </c>
      <c r="I37" t="s">
        <v>145</v>
      </c>
    </row>
    <row r="38" spans="8:9" x14ac:dyDescent="0.25">
      <c r="H38">
        <v>10.290688193170354</v>
      </c>
      <c r="I38" t="s">
        <v>145</v>
      </c>
    </row>
    <row r="39" spans="8:9" x14ac:dyDescent="0.25">
      <c r="H39">
        <v>10.290688193403184</v>
      </c>
      <c r="I39" t="s">
        <v>145</v>
      </c>
    </row>
    <row r="40" spans="8:9" x14ac:dyDescent="0.25">
      <c r="H40">
        <v>10.290688193403184</v>
      </c>
      <c r="I40" t="s">
        <v>145</v>
      </c>
    </row>
    <row r="41" spans="8:9" x14ac:dyDescent="0.25">
      <c r="H41">
        <v>10.290688193636015</v>
      </c>
      <c r="I41" t="s">
        <v>145</v>
      </c>
    </row>
    <row r="42" spans="8:9" x14ac:dyDescent="0.25">
      <c r="H42">
        <v>-979.54091098056438</v>
      </c>
      <c r="I42" t="s">
        <v>145</v>
      </c>
    </row>
    <row r="43" spans="8:9" x14ac:dyDescent="0.25">
      <c r="H43">
        <v>-1482.9616399801344</v>
      </c>
      <c r="I43" t="s">
        <v>145</v>
      </c>
    </row>
    <row r="44" spans="8:9" x14ac:dyDescent="0.25">
      <c r="H44">
        <v>-937.90407287617563</v>
      </c>
      <c r="I44" t="s">
        <v>145</v>
      </c>
    </row>
    <row r="45" spans="8:9" x14ac:dyDescent="0.25">
      <c r="H45">
        <v>535.41388190288114</v>
      </c>
      <c r="I45" t="s">
        <v>145</v>
      </c>
    </row>
    <row r="46" spans="8:9" x14ac:dyDescent="0.25">
      <c r="H46">
        <v>1152.2224471655934</v>
      </c>
      <c r="I46" t="s">
        <v>145</v>
      </c>
    </row>
    <row r="47" spans="8:9" x14ac:dyDescent="0.25">
      <c r="H47">
        <v>-1303.6636017798519</v>
      </c>
      <c r="I47" t="s">
        <v>145</v>
      </c>
    </row>
    <row r="48" spans="8:9" x14ac:dyDescent="0.25">
      <c r="H48">
        <v>-682.84978592709376</v>
      </c>
      <c r="I48" t="s">
        <v>145</v>
      </c>
    </row>
    <row r="49" spans="8:9" x14ac:dyDescent="0.25">
      <c r="H49">
        <v>619.56546455780426</v>
      </c>
      <c r="I49" t="s">
        <v>145</v>
      </c>
    </row>
    <row r="50" spans="8:9" x14ac:dyDescent="0.25">
      <c r="H50">
        <v>1240.3792759067226</v>
      </c>
      <c r="I50" t="s">
        <v>145</v>
      </c>
    </row>
    <row r="51" spans="8:9" x14ac:dyDescent="0.25">
      <c r="H51">
        <v>-1106.9516672109894</v>
      </c>
      <c r="I51" t="s">
        <v>145</v>
      </c>
    </row>
    <row r="52" spans="8:9" x14ac:dyDescent="0.25">
      <c r="H52">
        <v>-498.15360256740678</v>
      </c>
      <c r="I52" t="s">
        <v>145</v>
      </c>
    </row>
    <row r="53" spans="8:9" x14ac:dyDescent="0.25">
      <c r="H53">
        <v>964.91093906908327</v>
      </c>
      <c r="I53" t="s">
        <v>145</v>
      </c>
    </row>
    <row r="54" spans="8:9" x14ac:dyDescent="0.25">
      <c r="H54">
        <v>1501.0340131960959</v>
      </c>
      <c r="I54" t="s">
        <v>145</v>
      </c>
    </row>
    <row r="55" spans="8:9" x14ac:dyDescent="0.25">
      <c r="H55">
        <v>739.67912721983703</v>
      </c>
      <c r="I55" t="s">
        <v>145</v>
      </c>
    </row>
    <row r="56" spans="8:9" x14ac:dyDescent="0.25">
      <c r="H56">
        <v>-490.90829648359068</v>
      </c>
      <c r="I56" t="s">
        <v>145</v>
      </c>
    </row>
    <row r="57" spans="8:9" x14ac:dyDescent="0.25">
      <c r="H57">
        <v>-663.19191368736961</v>
      </c>
      <c r="I57" t="s">
        <v>145</v>
      </c>
    </row>
    <row r="58" spans="8:9" x14ac:dyDescent="0.25">
      <c r="H58">
        <v>-920.40792509141124</v>
      </c>
      <c r="I58" t="s">
        <v>145</v>
      </c>
    </row>
    <row r="59" spans="8:9" x14ac:dyDescent="0.25">
      <c r="H59">
        <v>2108.5541933472177</v>
      </c>
      <c r="I59" t="s">
        <v>145</v>
      </c>
    </row>
    <row r="60" spans="8:9" x14ac:dyDescent="0.25">
      <c r="H60">
        <v>2184.9791181282785</v>
      </c>
      <c r="I60" t="s">
        <v>145</v>
      </c>
    </row>
    <row r="61" spans="8:9" x14ac:dyDescent="0.25">
      <c r="H61">
        <v>-2165.2251997008425</v>
      </c>
      <c r="I61" t="s">
        <v>145</v>
      </c>
    </row>
    <row r="62" spans="8:9" x14ac:dyDescent="0.25">
      <c r="H62">
        <v>-2086.7757719560541</v>
      </c>
      <c r="I62" t="s">
        <v>145</v>
      </c>
    </row>
    <row r="63" spans="8:9" x14ac:dyDescent="0.25">
      <c r="H63">
        <v>840.71319689807569</v>
      </c>
      <c r="I63" t="s">
        <v>145</v>
      </c>
    </row>
    <row r="64" spans="8:9" x14ac:dyDescent="0.25">
      <c r="H64">
        <v>636.6319378375847</v>
      </c>
      <c r="I64" t="s">
        <v>145</v>
      </c>
    </row>
    <row r="65" spans="8:9" x14ac:dyDescent="0.25">
      <c r="H65">
        <v>552.89619885462332</v>
      </c>
      <c r="I65" t="s">
        <v>145</v>
      </c>
    </row>
    <row r="66" spans="8:9" x14ac:dyDescent="0.25">
      <c r="H66">
        <v>672.14977179122968</v>
      </c>
      <c r="I66" t="s">
        <v>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O1083"/>
  <sheetViews>
    <sheetView showZeros="0" tabSelected="1" view="pageBreakPreview" topLeftCell="H12" zoomScale="85" zoomScaleNormal="75" zoomScaleSheetLayoutView="85" workbookViewId="0">
      <selection activeCell="AG27" sqref="AG27"/>
    </sheetView>
  </sheetViews>
  <sheetFormatPr defaultColWidth="9.21875" defaultRowHeight="13.8" x14ac:dyDescent="0.25"/>
  <cols>
    <col min="1" max="1" width="11.44140625" style="6" customWidth="1"/>
    <col min="2" max="2" width="9.44140625" style="6" customWidth="1"/>
    <col min="3" max="3" width="5.77734375" style="6" customWidth="1"/>
    <col min="4" max="4" width="4.5546875" style="6" customWidth="1"/>
    <col min="5" max="5" width="5" style="6" customWidth="1"/>
    <col min="6" max="6" width="10.77734375" style="6" customWidth="1"/>
    <col min="7" max="7" width="17.77734375" style="6" customWidth="1"/>
    <col min="8" max="8" width="19.77734375" style="24" customWidth="1"/>
    <col min="9" max="9" width="6.5546875" style="6" customWidth="1"/>
    <col min="10" max="10" width="2.5546875" style="6" customWidth="1"/>
    <col min="11" max="11" width="4.5546875" style="3" customWidth="1"/>
    <col min="12" max="13" width="2.5546875" style="6" customWidth="1"/>
    <col min="14" max="14" width="4.5546875" style="6" customWidth="1"/>
    <col min="15" max="15" width="2.44140625" style="6" bestFit="1" customWidth="1"/>
    <col min="16" max="17" width="2.5546875" style="6" customWidth="1"/>
    <col min="18" max="18" width="4.5546875" style="6" customWidth="1"/>
    <col min="19" max="19" width="7" style="6" customWidth="1"/>
    <col min="20" max="20" width="2.5546875" style="6" customWidth="1"/>
    <col min="21" max="21" width="5.5546875" style="6" customWidth="1"/>
    <col min="22" max="22" width="2.5546875" style="6" customWidth="1"/>
    <col min="23" max="23" width="7" style="6" bestFit="1" customWidth="1"/>
    <col min="24" max="24" width="2.5546875" style="6" customWidth="1"/>
    <col min="25" max="25" width="7" style="6" customWidth="1"/>
    <col min="26" max="26" width="6" style="6" customWidth="1"/>
    <col min="27" max="27" width="6.44140625" style="6" customWidth="1"/>
    <col min="28" max="28" width="5.44140625" style="6" customWidth="1"/>
    <col min="29" max="29" width="9.5546875" style="6" customWidth="1"/>
    <col min="30" max="30" width="7.44140625" style="6" bestFit="1" customWidth="1"/>
    <col min="31" max="31" width="6.44140625" style="6" customWidth="1"/>
    <col min="32" max="32" width="5.77734375" style="6" customWidth="1"/>
    <col min="33" max="33" width="8.44140625" style="6" customWidth="1"/>
    <col min="34" max="34" width="9" style="135" customWidth="1"/>
    <col min="35" max="35" width="11.21875" style="6" customWidth="1"/>
    <col min="36" max="36" width="12.5546875" style="6" customWidth="1"/>
    <col min="37" max="37" width="8.5546875" style="6" customWidth="1"/>
    <col min="38" max="38" width="16.5546875" style="6" customWidth="1"/>
    <col min="39" max="39" width="2.5546875" style="6" customWidth="1"/>
    <col min="40" max="40" width="4.5546875" style="6" customWidth="1"/>
    <col min="41" max="41" width="2.5546875" style="6" customWidth="1"/>
    <col min="42" max="42" width="8.5546875" style="3" customWidth="1"/>
    <col min="43" max="43" width="9.77734375" style="20" customWidth="1"/>
    <col min="44" max="44" width="8.21875" style="20" customWidth="1"/>
    <col min="45" max="45" width="22.77734375" style="3" customWidth="1"/>
    <col min="46" max="46" width="11.21875" style="3" customWidth="1"/>
    <col min="47" max="47" width="14.44140625" style="3" bestFit="1" customWidth="1"/>
    <col min="48" max="48" width="10.77734375" style="3" customWidth="1"/>
    <col min="49" max="49" width="10.44140625" style="3" customWidth="1"/>
    <col min="50" max="50" width="9.77734375" style="3" customWidth="1"/>
    <col min="51" max="51" width="7" style="3" customWidth="1"/>
    <col min="52" max="52" width="5.21875" style="3" customWidth="1"/>
    <col min="53" max="53" width="13" style="3" customWidth="1"/>
    <col min="54" max="54" width="9.21875" style="3"/>
    <col min="55" max="55" width="11" style="3" customWidth="1"/>
    <col min="56" max="56" width="3" style="3" customWidth="1"/>
    <col min="57" max="58" width="9.21875" style="3"/>
    <col min="59" max="59" width="5" style="3" customWidth="1"/>
    <col min="60" max="60" width="5.44140625" style="3" customWidth="1"/>
    <col min="61" max="61" width="10.5546875" style="3" customWidth="1"/>
    <col min="62" max="63" width="9.21875" style="3"/>
    <col min="64" max="66" width="9.5546875" style="3" customWidth="1"/>
    <col min="67" max="73" width="9.21875" style="3"/>
    <col min="74" max="75" width="13.44140625" style="3" customWidth="1"/>
    <col min="76" max="76" width="11.5546875" style="3" customWidth="1"/>
    <col min="77" max="16384" width="9.21875" style="3"/>
  </cols>
  <sheetData>
    <row r="1" spans="1:68" s="18" customFormat="1" ht="15.75" customHeight="1" x14ac:dyDescent="0.25">
      <c r="A1" s="1"/>
      <c r="B1" s="1"/>
      <c r="C1" s="1"/>
      <c r="D1" s="2"/>
      <c r="E1" s="2"/>
      <c r="F1" s="2"/>
      <c r="G1" s="2"/>
      <c r="H1" s="23"/>
      <c r="I1" s="2"/>
      <c r="J1" s="2"/>
      <c r="K1" s="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G1" s="66"/>
      <c r="AH1" s="112"/>
      <c r="AI1" s="66"/>
      <c r="AJ1" s="66"/>
      <c r="AK1" s="66"/>
      <c r="AL1" s="66"/>
      <c r="AM1" s="66"/>
      <c r="AN1" s="66"/>
      <c r="AO1" s="66"/>
      <c r="AQ1" s="71"/>
      <c r="AR1" s="71"/>
    </row>
    <row r="2" spans="1:68" ht="14.25" customHeight="1" x14ac:dyDescent="0.25">
      <c r="A2" s="1"/>
      <c r="B2" s="1"/>
      <c r="C2" s="1"/>
      <c r="D2" s="2"/>
      <c r="E2" s="2"/>
      <c r="F2" s="2"/>
      <c r="G2" s="2"/>
      <c r="H2" s="23"/>
      <c r="I2" s="2"/>
      <c r="J2" s="2"/>
      <c r="K2" s="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18"/>
      <c r="AG2" s="66"/>
      <c r="AH2" s="112"/>
      <c r="AI2" s="66"/>
      <c r="AJ2" s="66"/>
      <c r="AK2" s="66"/>
      <c r="AL2" s="66"/>
      <c r="AM2" s="66"/>
      <c r="AN2" s="66"/>
      <c r="AO2" s="66"/>
      <c r="AP2" s="18"/>
      <c r="AQ2" s="71"/>
      <c r="AR2" s="71"/>
      <c r="AS2" s="18"/>
    </row>
    <row r="3" spans="1:68" x14ac:dyDescent="0.25">
      <c r="A3" s="4"/>
      <c r="B3" s="4"/>
      <c r="C3" s="4"/>
      <c r="D3" s="71"/>
      <c r="E3" s="71"/>
      <c r="F3" s="71"/>
      <c r="G3" s="71"/>
      <c r="H3" s="72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18"/>
      <c r="AG3" s="66"/>
      <c r="AH3" s="112"/>
      <c r="AI3" s="66"/>
      <c r="AJ3" s="66"/>
      <c r="AK3" s="66"/>
      <c r="AL3" s="66"/>
      <c r="AM3" s="66"/>
      <c r="AN3" s="66"/>
      <c r="AO3" s="66"/>
      <c r="AP3" s="18"/>
      <c r="AQ3" s="71"/>
      <c r="AR3" s="71"/>
      <c r="AS3" s="18"/>
    </row>
    <row r="4" spans="1:68" x14ac:dyDescent="0.25">
      <c r="A4" s="142" t="s">
        <v>57</v>
      </c>
      <c r="B4" s="142"/>
      <c r="C4" s="142"/>
      <c r="D4" s="71"/>
      <c r="E4" s="71"/>
      <c r="F4" s="71"/>
      <c r="G4" s="71"/>
      <c r="H4" s="72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80"/>
      <c r="AB4" s="80"/>
      <c r="AC4" s="80"/>
      <c r="AD4" s="5"/>
      <c r="AE4" s="243"/>
      <c r="AF4" s="243"/>
      <c r="AG4" s="18"/>
      <c r="AH4" s="131"/>
      <c r="AI4" s="18"/>
      <c r="AJ4" s="66"/>
      <c r="AK4" s="66"/>
      <c r="AL4" s="66"/>
      <c r="AM4" s="66"/>
      <c r="AN4" s="66"/>
      <c r="AO4" s="66"/>
      <c r="AP4" s="18"/>
      <c r="AQ4"/>
      <c r="AR4" s="5" t="s">
        <v>1</v>
      </c>
      <c r="AS4" s="146">
        <f ca="1">TODAY()</f>
        <v>45182</v>
      </c>
    </row>
    <row r="5" spans="1:68" x14ac:dyDescent="0.25">
      <c r="A5" s="4"/>
      <c r="B5" s="4"/>
      <c r="C5" s="4"/>
      <c r="D5" s="71"/>
      <c r="E5" s="71"/>
      <c r="F5" s="71"/>
      <c r="G5" s="71"/>
      <c r="H5" s="72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80"/>
      <c r="AB5" s="80"/>
      <c r="AC5" s="80"/>
      <c r="AD5" s="5"/>
      <c r="AE5" s="81"/>
      <c r="AF5" s="81"/>
      <c r="AG5" s="18"/>
      <c r="AH5" s="131"/>
      <c r="AI5" s="18"/>
      <c r="AJ5" s="66"/>
      <c r="AK5" s="66"/>
      <c r="AL5" s="66"/>
      <c r="AM5" s="66"/>
      <c r="AN5" s="66"/>
      <c r="AO5" s="66"/>
      <c r="AP5" s="18"/>
      <c r="AQ5"/>
      <c r="AR5" s="5"/>
      <c r="AS5" s="146"/>
    </row>
    <row r="6" spans="1:68" ht="12.75" customHeight="1" x14ac:dyDescent="0.25">
      <c r="A6" s="49" t="s">
        <v>33</v>
      </c>
      <c r="B6" s="1"/>
      <c r="C6" s="27" t="s">
        <v>118</v>
      </c>
      <c r="D6" s="1"/>
      <c r="E6" s="1"/>
      <c r="H6" s="82"/>
      <c r="I6" s="82"/>
      <c r="J6" s="72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80"/>
      <c r="AB6" s="80"/>
      <c r="AC6" s="80"/>
      <c r="AD6" s="5"/>
      <c r="AE6" s="244"/>
      <c r="AF6" s="244"/>
      <c r="AG6" s="18"/>
      <c r="AH6" s="131"/>
      <c r="AI6" s="18"/>
      <c r="AJ6" s="66"/>
      <c r="AK6" s="66"/>
      <c r="AL6" s="66"/>
      <c r="AM6" s="66"/>
      <c r="AN6" s="66"/>
      <c r="AO6" s="66"/>
      <c r="AP6" s="18"/>
      <c r="AQ6"/>
      <c r="AR6" s="5" t="s">
        <v>10</v>
      </c>
      <c r="AS6" s="75" t="s">
        <v>128</v>
      </c>
    </row>
    <row r="7" spans="1:68" x14ac:dyDescent="0.25">
      <c r="A7" s="49" t="s">
        <v>32</v>
      </c>
      <c r="B7" s="1"/>
      <c r="C7"/>
      <c r="D7" s="1"/>
      <c r="E7" s="1"/>
      <c r="F7" s="4"/>
      <c r="H7" s="83"/>
      <c r="I7" s="83"/>
      <c r="J7" s="83"/>
      <c r="K7" s="83"/>
      <c r="L7" s="4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71"/>
      <c r="AA7" s="80"/>
      <c r="AB7" s="80"/>
      <c r="AC7" s="80"/>
      <c r="AD7" s="5"/>
      <c r="AE7" s="244"/>
      <c r="AF7" s="244"/>
      <c r="AG7" s="18"/>
      <c r="AH7" s="131"/>
      <c r="AI7" s="18"/>
      <c r="AJ7" s="66"/>
      <c r="AK7" s="66"/>
      <c r="AL7" s="66"/>
      <c r="AM7" s="66"/>
      <c r="AN7" s="66"/>
      <c r="AO7" s="66"/>
      <c r="AP7" s="18"/>
      <c r="AQ7"/>
      <c r="AR7" s="5" t="s">
        <v>11</v>
      </c>
      <c r="AS7" s="75" t="s">
        <v>129</v>
      </c>
    </row>
    <row r="8" spans="1:68" x14ac:dyDescent="0.25">
      <c r="A8" s="49" t="s">
        <v>56</v>
      </c>
      <c r="B8" s="1"/>
      <c r="C8" s="144"/>
      <c r="D8" s="1"/>
      <c r="E8" s="1"/>
      <c r="F8" s="4"/>
      <c r="H8" s="82"/>
      <c r="I8" s="82"/>
      <c r="J8" s="72"/>
      <c r="K8" s="71"/>
      <c r="L8" s="4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71"/>
      <c r="AA8" s="71"/>
      <c r="AB8" s="71"/>
      <c r="AC8" s="71"/>
      <c r="AD8" s="71"/>
      <c r="AE8" s="71"/>
      <c r="AF8" s="18"/>
      <c r="AG8" s="66"/>
      <c r="AH8" s="112"/>
      <c r="AI8" s="66"/>
      <c r="AJ8" s="66"/>
      <c r="AK8" s="66"/>
      <c r="AL8" s="66"/>
      <c r="AM8" s="66"/>
      <c r="AN8" s="66"/>
      <c r="AO8" s="66"/>
      <c r="AP8" s="18"/>
      <c r="AQ8" s="71"/>
      <c r="AR8" s="71"/>
      <c r="AS8" s="18"/>
    </row>
    <row r="9" spans="1:68" x14ac:dyDescent="0.25">
      <c r="A9" s="19"/>
      <c r="B9" s="19"/>
      <c r="C9" s="19"/>
      <c r="D9" s="19"/>
      <c r="E9" s="19"/>
      <c r="F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32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49" t="s">
        <v>85</v>
      </c>
      <c r="B10" s="1"/>
      <c r="C10" s="143" t="s">
        <v>164</v>
      </c>
      <c r="D10" s="1"/>
      <c r="E10" s="1"/>
      <c r="I10" s="71"/>
      <c r="J10" s="4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71"/>
      <c r="AA10" s="71"/>
      <c r="AB10" s="71"/>
      <c r="AC10" s="71"/>
      <c r="AD10" s="71"/>
      <c r="AE10" s="71"/>
      <c r="AF10" s="18"/>
      <c r="AG10" s="66"/>
      <c r="AH10" s="112"/>
      <c r="AI10" s="66"/>
      <c r="AJ10" s="66"/>
      <c r="AK10" s="66"/>
      <c r="AL10" s="66"/>
      <c r="AM10" s="66"/>
      <c r="AN10" s="66"/>
      <c r="AO10" s="66"/>
      <c r="AP10" s="18"/>
      <c r="AQ10" s="71"/>
      <c r="AR10" s="71"/>
      <c r="AS10" s="18"/>
    </row>
    <row r="11" spans="1:68" x14ac:dyDescent="0.25">
      <c r="A11" s="49" t="s">
        <v>86</v>
      </c>
      <c r="B11" s="1"/>
      <c r="C11" s="50"/>
      <c r="D11" s="1"/>
      <c r="E11" s="1"/>
      <c r="F11" s="27" t="s">
        <v>2</v>
      </c>
      <c r="G11" s="51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133"/>
      <c r="AI11" s="26"/>
      <c r="AJ11" s="26"/>
      <c r="AK11" s="26"/>
      <c r="AL11" s="26"/>
      <c r="AM11" s="19"/>
      <c r="AN11" s="19"/>
      <c r="AO11" s="19"/>
      <c r="AP11" s="19"/>
      <c r="AQ11" s="19"/>
      <c r="AR11" s="19"/>
      <c r="AS11" s="18"/>
    </row>
    <row r="12" spans="1:68" x14ac:dyDescent="0.25">
      <c r="A12" s="19"/>
      <c r="B12" s="19"/>
      <c r="C12" s="26"/>
      <c r="D12" s="26"/>
      <c r="E12" s="26"/>
      <c r="F12" s="26"/>
      <c r="G12" s="86" t="s">
        <v>3</v>
      </c>
      <c r="H12" s="75">
        <v>1000</v>
      </c>
      <c r="I12" s="26"/>
      <c r="J12" s="75"/>
      <c r="K12" s="27" t="s">
        <v>4</v>
      </c>
      <c r="L12" s="27"/>
      <c r="M12" s="27"/>
      <c r="N12" s="27"/>
      <c r="O12" s="27"/>
      <c r="P12" s="27"/>
      <c r="Q12" s="27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134"/>
      <c r="AI12" s="84"/>
      <c r="AJ12" s="84"/>
      <c r="AK12" s="84"/>
      <c r="AL12" s="84"/>
      <c r="AM12" s="84"/>
      <c r="AN12" s="66"/>
      <c r="AO12" s="66"/>
      <c r="AP12" s="18"/>
      <c r="AQ12" s="71"/>
      <c r="AR12" s="71"/>
      <c r="AS12" s="18"/>
      <c r="AT12" s="4" t="s">
        <v>79</v>
      </c>
      <c r="AU12" s="19"/>
      <c r="AV12" s="105"/>
      <c r="AW12" s="26"/>
      <c r="AX12" s="26"/>
      <c r="AZ12" s="26"/>
      <c r="BA12" s="26"/>
    </row>
    <row r="13" spans="1:68" ht="12.75" customHeight="1" x14ac:dyDescent="0.25">
      <c r="A13" s="18"/>
      <c r="B13" s="18"/>
      <c r="C13" s="69"/>
      <c r="D13" s="69"/>
      <c r="F13" s="27"/>
      <c r="H13" s="76"/>
      <c r="I13" s="75"/>
      <c r="J13" s="69"/>
      <c r="K13" s="75"/>
      <c r="L13" s="75"/>
      <c r="M13" s="75"/>
      <c r="N13" s="75"/>
      <c r="O13" s="69"/>
      <c r="P13" s="69"/>
      <c r="Q13" s="69"/>
      <c r="R13" s="86" t="s">
        <v>109</v>
      </c>
      <c r="S13" s="140">
        <v>1.7</v>
      </c>
      <c r="T13" s="69"/>
      <c r="U13" s="69"/>
      <c r="V13" s="27" t="s">
        <v>8</v>
      </c>
      <c r="W13" s="69"/>
      <c r="X13" s="69"/>
      <c r="Y13" s="69"/>
      <c r="Z13" s="76"/>
      <c r="AA13" s="76"/>
      <c r="AC13" s="69"/>
      <c r="AD13" s="85"/>
      <c r="AE13" s="69"/>
      <c r="AF13" s="28"/>
      <c r="AG13" s="26"/>
      <c r="AH13" s="134"/>
      <c r="AI13" s="84"/>
      <c r="AJ13" s="84"/>
      <c r="AK13" s="84"/>
      <c r="AL13" s="76"/>
      <c r="AM13" s="84"/>
      <c r="AN13" s="66"/>
      <c r="AO13" s="66"/>
      <c r="AP13" s="18"/>
      <c r="AQ13" s="71"/>
      <c r="AR13" s="71"/>
      <c r="AS13" s="18"/>
    </row>
    <row r="14" spans="1:68" ht="12.75" customHeight="1" x14ac:dyDescent="0.25">
      <c r="A14" s="18"/>
      <c r="B14" s="18"/>
      <c r="C14" s="246" t="s">
        <v>124</v>
      </c>
      <c r="D14" s="246"/>
      <c r="E14" s="246"/>
      <c r="F14" s="246"/>
      <c r="G14" s="202" t="s">
        <v>125</v>
      </c>
      <c r="H14" s="202" t="s">
        <v>126</v>
      </c>
      <c r="J14" s="69"/>
      <c r="K14" s="75"/>
      <c r="L14" s="75"/>
      <c r="M14" s="75"/>
      <c r="N14" s="75"/>
      <c r="O14" s="69"/>
      <c r="P14" s="69"/>
      <c r="Q14" s="69"/>
      <c r="R14" s="86" t="s">
        <v>109</v>
      </c>
      <c r="S14" s="29">
        <v>32</v>
      </c>
      <c r="T14" s="69"/>
      <c r="U14" s="69"/>
      <c r="V14" s="75"/>
      <c r="W14" s="69"/>
      <c r="X14" s="69"/>
      <c r="Y14" s="86" t="s">
        <v>9</v>
      </c>
      <c r="Z14" s="29">
        <v>13</v>
      </c>
      <c r="AC14" s="69"/>
      <c r="AD14" s="69"/>
      <c r="AE14" s="69"/>
      <c r="AF14" s="87" t="s">
        <v>117</v>
      </c>
      <c r="AG14" s="220">
        <v>300</v>
      </c>
      <c r="AJ14" s="70"/>
      <c r="AK14" s="69"/>
      <c r="AL14" s="69"/>
      <c r="AM14" s="69"/>
      <c r="AN14" s="18"/>
      <c r="AO14" s="18"/>
      <c r="AP14" s="18"/>
      <c r="AQ14" s="71"/>
      <c r="AR14" s="71"/>
      <c r="AS14" s="18"/>
    </row>
    <row r="15" spans="1:68" ht="12.75" customHeight="1" x14ac:dyDescent="0.25">
      <c r="A15" s="68"/>
      <c r="B15" s="68"/>
      <c r="C15" s="245" t="s">
        <v>13</v>
      </c>
      <c r="D15" s="245"/>
      <c r="E15" s="245"/>
      <c r="F15" s="245"/>
      <c r="G15" s="203">
        <v>45</v>
      </c>
      <c r="H15" s="204">
        <v>40</v>
      </c>
      <c r="J15" s="69"/>
      <c r="K15" s="75"/>
      <c r="L15" s="75"/>
      <c r="M15" s="75"/>
      <c r="N15" s="75"/>
      <c r="O15" s="69"/>
      <c r="P15" s="69"/>
      <c r="Q15" s="69"/>
      <c r="R15" s="86" t="s">
        <v>114</v>
      </c>
      <c r="S15" s="76">
        <f>22*((S14+8)/10)^0.3</f>
        <v>33.345764463228754</v>
      </c>
      <c r="T15" s="69"/>
      <c r="U15" s="69"/>
      <c r="V15" s="30" t="s">
        <v>106</v>
      </c>
      <c r="W15" s="69"/>
      <c r="X15" s="69"/>
      <c r="Y15" s="69"/>
      <c r="Z15" s="69"/>
      <c r="AA15" s="26"/>
      <c r="AB15" s="69"/>
      <c r="AC15" s="69"/>
      <c r="AD15" s="69"/>
      <c r="AE15" s="69"/>
      <c r="AF15" s="69"/>
      <c r="AG15" s="69"/>
      <c r="AH15" s="136"/>
      <c r="AI15" s="33" t="s">
        <v>107</v>
      </c>
      <c r="AJ15" s="75"/>
      <c r="AK15" s="69"/>
      <c r="AL15" s="69"/>
      <c r="AM15" s="69"/>
      <c r="AN15" s="18"/>
      <c r="AO15" s="18"/>
      <c r="AP15" s="18"/>
      <c r="AQ15" s="71"/>
      <c r="AR15" s="71"/>
      <c r="AS15" s="18"/>
    </row>
    <row r="16" spans="1:68" ht="16.5" customHeight="1" x14ac:dyDescent="0.25">
      <c r="A16" s="68"/>
      <c r="B16" s="68"/>
      <c r="C16" s="245" t="s">
        <v>12</v>
      </c>
      <c r="D16" s="245"/>
      <c r="E16" s="245"/>
      <c r="F16" s="245"/>
      <c r="G16" s="203">
        <v>70</v>
      </c>
      <c r="H16" s="204">
        <v>70</v>
      </c>
      <c r="J16" s="69"/>
      <c r="K16" s="75"/>
      <c r="L16" s="75"/>
      <c r="M16" s="75"/>
      <c r="N16" s="75"/>
      <c r="O16" s="69"/>
      <c r="P16" s="69"/>
      <c r="Q16" s="69"/>
      <c r="R16" s="86" t="s">
        <v>5</v>
      </c>
      <c r="S16" s="76">
        <v>500</v>
      </c>
      <c r="T16" s="69"/>
      <c r="U16" s="69"/>
      <c r="V16" s="75"/>
      <c r="W16" s="84"/>
      <c r="X16" s="69"/>
      <c r="Y16" s="31" t="s">
        <v>96</v>
      </c>
      <c r="Z16" s="29">
        <v>300</v>
      </c>
      <c r="AA16" s="26"/>
      <c r="AB16" s="26"/>
      <c r="AC16" s="28" t="s">
        <v>97</v>
      </c>
      <c r="AD16" s="29">
        <v>80</v>
      </c>
      <c r="AE16" s="69"/>
      <c r="AF16" s="87" t="s">
        <v>42</v>
      </c>
      <c r="AG16" s="29">
        <v>80</v>
      </c>
      <c r="AH16" s="134"/>
      <c r="AI16" s="129" t="s">
        <v>108</v>
      </c>
      <c r="AJ16" s="84">
        <f>1*0.6*(1-$S$14/250)*0.9*$S$14/1.5/(1/TAN(45/180*PI())+TAN(45/180*PI()))</f>
        <v>5.0227200000000005</v>
      </c>
      <c r="AK16" s="69" t="s">
        <v>46</v>
      </c>
      <c r="AM16" s="69"/>
      <c r="AN16" s="18"/>
      <c r="AO16" s="18"/>
      <c r="AP16" s="18"/>
      <c r="AQ16" s="71"/>
      <c r="AR16" s="71"/>
      <c r="AS16" s="18"/>
    </row>
    <row r="17" spans="1:77" ht="12.75" customHeight="1" x14ac:dyDescent="0.25">
      <c r="A17" s="68"/>
      <c r="B17" s="68"/>
      <c r="C17" s="246" t="s">
        <v>31</v>
      </c>
      <c r="D17" s="246"/>
      <c r="E17" s="246"/>
      <c r="F17" s="246"/>
      <c r="G17" s="246"/>
      <c r="H17" s="246"/>
      <c r="J17" s="69"/>
      <c r="K17" s="75"/>
      <c r="L17" s="75"/>
      <c r="M17" s="75"/>
      <c r="N17" s="75"/>
      <c r="O17" s="69"/>
      <c r="P17" s="69"/>
      <c r="Q17" s="69"/>
      <c r="R17" s="86" t="s">
        <v>6</v>
      </c>
      <c r="S17" s="76">
        <v>200</v>
      </c>
      <c r="T17" s="69"/>
      <c r="U17" s="69"/>
      <c r="V17" s="75"/>
      <c r="W17" s="84"/>
      <c r="X17" s="69"/>
      <c r="Y17" s="86" t="s">
        <v>24</v>
      </c>
      <c r="Z17" s="76">
        <f>Z16</f>
        <v>300</v>
      </c>
      <c r="AA17" s="26"/>
      <c r="AB17" s="26"/>
      <c r="AC17" s="86" t="s">
        <v>25</v>
      </c>
      <c r="AD17" s="29">
        <v>80</v>
      </c>
      <c r="AE17" s="69"/>
      <c r="AF17" s="69"/>
      <c r="AG17" s="69"/>
      <c r="AH17" s="136"/>
      <c r="AI17" s="129" t="s">
        <v>110</v>
      </c>
      <c r="AJ17" s="84">
        <f>0.5*0.6*(1-$S$14/250)*0.9*$S$14/1.5</f>
        <v>5.0227200000000005</v>
      </c>
      <c r="AK17" s="69" t="s">
        <v>46</v>
      </c>
      <c r="AM17" s="69"/>
      <c r="AN17" s="18"/>
      <c r="AO17" s="18"/>
      <c r="AP17" s="18"/>
      <c r="AQ17" s="71"/>
      <c r="AR17" s="71"/>
      <c r="AS17" s="18"/>
    </row>
    <row r="18" spans="1:77" ht="12.75" customHeight="1" x14ac:dyDescent="0.25">
      <c r="A18" s="18"/>
      <c r="B18" s="18"/>
      <c r="C18" s="69"/>
      <c r="D18" s="69"/>
      <c r="E18" s="69"/>
      <c r="F18" s="69"/>
      <c r="G18" s="69"/>
      <c r="H18" s="88"/>
      <c r="I18" s="69"/>
      <c r="J18" s="69"/>
      <c r="K18" s="29"/>
      <c r="L18" s="75"/>
      <c r="M18" s="75"/>
      <c r="N18" s="75"/>
      <c r="O18" s="69"/>
      <c r="P18" s="69"/>
      <c r="Q18" s="69"/>
      <c r="R18" s="89" t="s">
        <v>7</v>
      </c>
      <c r="S18" s="85">
        <f>(S17/S19)</f>
        <v>16.193960723121887</v>
      </c>
      <c r="T18" s="69"/>
      <c r="U18" s="69"/>
      <c r="V18" s="75"/>
      <c r="W18" s="84"/>
      <c r="X18" s="69"/>
      <c r="Y18" s="90" t="s">
        <v>26</v>
      </c>
      <c r="Z18" s="76">
        <f>Z17</f>
        <v>300</v>
      </c>
      <c r="AA18" s="26"/>
      <c r="AB18" s="91"/>
      <c r="AC18" s="91"/>
      <c r="AD18" s="91"/>
      <c r="AE18" s="91"/>
      <c r="AF18" s="91"/>
      <c r="AG18" s="69"/>
      <c r="AH18" s="136"/>
      <c r="AI18" s="69"/>
      <c r="AJ18" s="69"/>
      <c r="AK18" s="69"/>
      <c r="AL18" s="69"/>
      <c r="AM18" s="69"/>
      <c r="AN18" s="18"/>
      <c r="AO18" s="18"/>
      <c r="AP18" s="18"/>
      <c r="AQ18" s="71"/>
      <c r="AR18" s="71"/>
      <c r="AS18" s="18"/>
      <c r="BU18" s="3" t="s">
        <v>127</v>
      </c>
    </row>
    <row r="19" spans="1:77" ht="12.75" customHeight="1" x14ac:dyDescent="0.25">
      <c r="A19" s="7"/>
      <c r="B19" s="18"/>
      <c r="C19" s="18"/>
      <c r="D19" s="18"/>
      <c r="E19" s="18"/>
      <c r="F19" s="51"/>
      <c r="G19" s="18"/>
      <c r="H19" s="18"/>
      <c r="I19" s="18"/>
      <c r="J19" s="18"/>
      <c r="K19" s="18"/>
      <c r="L19" s="18"/>
      <c r="M19" s="18"/>
      <c r="N19" s="75"/>
      <c r="O19" s="69"/>
      <c r="P19" s="69"/>
      <c r="Q19" s="69"/>
      <c r="R19" s="89" t="s">
        <v>115</v>
      </c>
      <c r="S19" s="18">
        <f>S15/(1+S13)</f>
        <v>12.350283134529167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31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</row>
    <row r="20" spans="1:77" ht="16.5" customHeight="1" thickBot="1" x14ac:dyDescent="0.3">
      <c r="A20" s="25" t="s">
        <v>95</v>
      </c>
      <c r="B20" s="32" t="s">
        <v>116</v>
      </c>
      <c r="C20" s="32"/>
      <c r="D20" s="32"/>
      <c r="E20" s="32"/>
      <c r="F20" s="32"/>
      <c r="G20" s="27"/>
      <c r="J20" s="33"/>
      <c r="K20" s="5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137"/>
      <c r="AI20" s="33"/>
      <c r="AJ20" s="33"/>
      <c r="AK20" s="33"/>
      <c r="AL20" s="33"/>
      <c r="AM20" s="7"/>
      <c r="AN20" s="7"/>
      <c r="AO20" s="7"/>
      <c r="AP20" s="18"/>
      <c r="AQ20" s="92"/>
      <c r="AR20" s="92"/>
      <c r="AS20" s="48"/>
      <c r="AT20" s="18" t="s">
        <v>80</v>
      </c>
      <c r="AU20" s="18"/>
      <c r="AV20" s="17">
        <v>5</v>
      </c>
      <c r="BR20" s="3" t="s">
        <v>104</v>
      </c>
      <c r="BU20" s="114">
        <v>1.35</v>
      </c>
    </row>
    <row r="21" spans="1:77" ht="12.75" customHeight="1" thickBot="1" x14ac:dyDescent="0.3">
      <c r="A21" s="126"/>
      <c r="B21" s="115"/>
      <c r="C21" s="94"/>
      <c r="D21" s="95"/>
      <c r="E21" s="22"/>
      <c r="F21" s="227" t="s">
        <v>89</v>
      </c>
      <c r="G21" s="228"/>
      <c r="H21" s="229"/>
      <c r="I21" s="8"/>
      <c r="J21" s="227" t="s">
        <v>45</v>
      </c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9"/>
      <c r="Z21" s="224" t="s">
        <v>27</v>
      </c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6"/>
      <c r="AL21" s="107" t="s">
        <v>64</v>
      </c>
      <c r="AM21" s="272" t="s">
        <v>54</v>
      </c>
      <c r="AN21" s="273"/>
      <c r="AO21" s="273"/>
      <c r="AP21" s="273"/>
      <c r="AQ21" s="274"/>
      <c r="AR21" s="34"/>
      <c r="AS21" s="22"/>
      <c r="AT21" s="77"/>
      <c r="AU21" s="37"/>
      <c r="AV21" s="47" t="s">
        <v>66</v>
      </c>
      <c r="AW21" s="46" t="s">
        <v>67</v>
      </c>
      <c r="AX21" s="45" t="s">
        <v>68</v>
      </c>
      <c r="AY21" s="256" t="s">
        <v>67</v>
      </c>
      <c r="AZ21" s="257"/>
      <c r="BA21" s="57" t="s">
        <v>83</v>
      </c>
      <c r="BB21" s="96"/>
      <c r="BC21" s="36"/>
      <c r="BD21" s="97"/>
      <c r="BE21" s="97"/>
      <c r="BF21" s="97"/>
      <c r="BG21" s="59"/>
      <c r="BH21" s="97"/>
      <c r="BI21" s="258" t="s">
        <v>69</v>
      </c>
      <c r="BJ21" s="259"/>
      <c r="BK21" s="258" t="s">
        <v>87</v>
      </c>
      <c r="BL21" s="259"/>
      <c r="BM21" s="258" t="s">
        <v>88</v>
      </c>
      <c r="BN21" s="259"/>
      <c r="BO21" s="59"/>
      <c r="BP21" s="60"/>
      <c r="BS21" s="93"/>
      <c r="BT21" s="22"/>
      <c r="BV21" s="18"/>
      <c r="BW21" s="18"/>
      <c r="BX21" s="18"/>
      <c r="BY21" s="18"/>
    </row>
    <row r="22" spans="1:77" ht="16.5" customHeight="1" thickBot="1" x14ac:dyDescent="0.4">
      <c r="A22" s="127" t="s">
        <v>62</v>
      </c>
      <c r="B22" s="222" t="s">
        <v>105</v>
      </c>
      <c r="C22" s="223" t="s">
        <v>60</v>
      </c>
      <c r="D22" s="232" t="s">
        <v>15</v>
      </c>
      <c r="E22" s="233"/>
      <c r="F22" s="109" t="s">
        <v>61</v>
      </c>
      <c r="G22" s="173" t="s">
        <v>92</v>
      </c>
      <c r="H22" s="111" t="s">
        <v>92</v>
      </c>
      <c r="I22" s="9" t="s">
        <v>40</v>
      </c>
      <c r="J22" s="234" t="s">
        <v>39</v>
      </c>
      <c r="K22" s="235"/>
      <c r="L22" s="235"/>
      <c r="M22" s="235"/>
      <c r="N22" s="235"/>
      <c r="O22" s="235"/>
      <c r="P22" s="235"/>
      <c r="Q22" s="235"/>
      <c r="R22" s="236"/>
      <c r="S22" s="237" t="s">
        <v>18</v>
      </c>
      <c r="T22" s="235"/>
      <c r="U22" s="235"/>
      <c r="V22" s="235"/>
      <c r="W22" s="235"/>
      <c r="X22" s="235"/>
      <c r="Y22" s="238"/>
      <c r="Z22" s="234" t="s">
        <v>16</v>
      </c>
      <c r="AA22" s="235"/>
      <c r="AB22" s="235"/>
      <c r="AC22" s="236"/>
      <c r="AD22" s="1" t="s">
        <v>111</v>
      </c>
      <c r="AE22" s="240" t="s">
        <v>48</v>
      </c>
      <c r="AF22" s="241"/>
      <c r="AG22" s="130" t="s">
        <v>112</v>
      </c>
      <c r="AH22" s="138" t="s">
        <v>113</v>
      </c>
      <c r="AI22" s="10" t="s">
        <v>52</v>
      </c>
      <c r="AJ22" s="11" t="s">
        <v>58</v>
      </c>
      <c r="AK22" s="67"/>
      <c r="AL22" s="106" t="s">
        <v>55</v>
      </c>
      <c r="AM22" s="230" t="s">
        <v>55</v>
      </c>
      <c r="AN22" s="239"/>
      <c r="AO22" s="239"/>
      <c r="AP22" s="239"/>
      <c r="AQ22" s="231"/>
      <c r="AR22" s="230" t="s">
        <v>65</v>
      </c>
      <c r="AS22" s="231"/>
      <c r="AT22" s="42" t="s">
        <v>78</v>
      </c>
      <c r="AU22" s="39" t="s">
        <v>40</v>
      </c>
      <c r="AV22" s="40" t="s">
        <v>40</v>
      </c>
      <c r="AW22" s="41" t="s">
        <v>70</v>
      </c>
      <c r="AX22" s="40" t="s">
        <v>70</v>
      </c>
      <c r="AY22" s="264" t="s">
        <v>71</v>
      </c>
      <c r="AZ22" s="265"/>
      <c r="BA22" s="58" t="s">
        <v>82</v>
      </c>
      <c r="BB22" s="62" t="s">
        <v>72</v>
      </c>
      <c r="BC22" s="79" t="s">
        <v>78</v>
      </c>
      <c r="BD22" s="38" t="s">
        <v>59</v>
      </c>
      <c r="BE22" s="266" t="s">
        <v>60</v>
      </c>
      <c r="BF22" s="267"/>
      <c r="BG22" s="232" t="s">
        <v>15</v>
      </c>
      <c r="BH22" s="242"/>
      <c r="BI22" s="260"/>
      <c r="BJ22" s="261"/>
      <c r="BK22" s="260"/>
      <c r="BL22" s="261"/>
      <c r="BM22" s="260"/>
      <c r="BN22" s="261"/>
      <c r="BO22" s="254" t="s">
        <v>60</v>
      </c>
      <c r="BP22" s="255"/>
      <c r="BS22" s="252" t="s">
        <v>102</v>
      </c>
      <c r="BT22" s="253"/>
      <c r="BV22" s="247" t="s">
        <v>119</v>
      </c>
      <c r="BW22" s="248"/>
      <c r="BX22" s="248"/>
      <c r="BY22" s="249"/>
    </row>
    <row r="23" spans="1:77" ht="15.75" customHeight="1" x14ac:dyDescent="0.25">
      <c r="A23" s="128" t="s">
        <v>63</v>
      </c>
      <c r="B23" s="222"/>
      <c r="C23" s="223"/>
      <c r="D23" s="15"/>
      <c r="E23" s="12"/>
      <c r="F23" s="110" t="s">
        <v>44</v>
      </c>
      <c r="G23" s="110" t="s">
        <v>90</v>
      </c>
      <c r="H23" s="108" t="s">
        <v>91</v>
      </c>
      <c r="I23" s="9" t="s">
        <v>41</v>
      </c>
      <c r="J23" s="13"/>
      <c r="K23" s="1" t="s">
        <v>35</v>
      </c>
      <c r="L23" s="1" t="s">
        <v>21</v>
      </c>
      <c r="M23" s="1"/>
      <c r="N23" s="1" t="s">
        <v>17</v>
      </c>
      <c r="O23" s="1" t="s">
        <v>21</v>
      </c>
      <c r="P23" s="1"/>
      <c r="Q23" s="1"/>
      <c r="R23" s="14" t="s">
        <v>36</v>
      </c>
      <c r="S23" s="1" t="s">
        <v>19</v>
      </c>
      <c r="T23" s="1" t="s">
        <v>21</v>
      </c>
      <c r="U23" s="1" t="s">
        <v>37</v>
      </c>
      <c r="V23" s="1" t="s">
        <v>21</v>
      </c>
      <c r="W23" s="1" t="s">
        <v>38</v>
      </c>
      <c r="X23" s="18" t="s">
        <v>22</v>
      </c>
      <c r="Y23" s="12" t="s">
        <v>23</v>
      </c>
      <c r="Z23" s="13" t="s">
        <v>28</v>
      </c>
      <c r="AA23" s="11" t="s">
        <v>29</v>
      </c>
      <c r="AB23" s="1" t="s">
        <v>30</v>
      </c>
      <c r="AC23" s="11" t="s">
        <v>0</v>
      </c>
      <c r="AD23" s="1" t="s">
        <v>47</v>
      </c>
      <c r="AE23" s="232" t="s">
        <v>49</v>
      </c>
      <c r="AF23" s="242"/>
      <c r="AG23" s="15"/>
      <c r="AH23" s="139"/>
      <c r="AI23" s="15"/>
      <c r="AJ23" s="16" t="s">
        <v>93</v>
      </c>
      <c r="AK23" s="12"/>
      <c r="AL23" s="13" t="s">
        <v>51</v>
      </c>
      <c r="AM23" s="230" t="s">
        <v>51</v>
      </c>
      <c r="AN23" s="239"/>
      <c r="AO23" s="239"/>
      <c r="AP23" s="239"/>
      <c r="AQ23" s="231"/>
      <c r="AR23" s="35"/>
      <c r="AS23" s="21"/>
      <c r="AT23" s="42"/>
      <c r="AU23" s="39" t="s">
        <v>41</v>
      </c>
      <c r="AV23" s="40" t="s">
        <v>0</v>
      </c>
      <c r="AW23" s="41" t="s">
        <v>73</v>
      </c>
      <c r="AX23" s="40" t="s">
        <v>74</v>
      </c>
      <c r="AY23" s="43"/>
      <c r="AZ23" s="56"/>
      <c r="BA23" s="58" t="s">
        <v>81</v>
      </c>
      <c r="BB23" s="98"/>
      <c r="BC23" s="61"/>
      <c r="BD23" s="1"/>
      <c r="BE23" s="1"/>
      <c r="BF23" s="1"/>
      <c r="BG23" s="15"/>
      <c r="BH23" s="1"/>
      <c r="BI23" s="262"/>
      <c r="BJ23" s="263"/>
      <c r="BK23" s="262"/>
      <c r="BL23" s="263"/>
      <c r="BM23" s="262"/>
      <c r="BN23" s="263"/>
      <c r="BO23" s="268" t="s">
        <v>162</v>
      </c>
      <c r="BP23" s="269"/>
      <c r="BS23" s="172" t="s">
        <v>103</v>
      </c>
      <c r="BT23" s="145"/>
      <c r="BV23" s="199" t="s">
        <v>120</v>
      </c>
      <c r="BW23" s="250" t="s">
        <v>122</v>
      </c>
      <c r="BX23" s="199" t="s">
        <v>121</v>
      </c>
      <c r="BY23" s="200" t="s">
        <v>123</v>
      </c>
    </row>
    <row r="24" spans="1:77" ht="15.6" customHeight="1" thickBot="1" x14ac:dyDescent="0.3">
      <c r="A24" s="189"/>
      <c r="B24" s="190" t="s">
        <v>34</v>
      </c>
      <c r="C24" s="166"/>
      <c r="D24" s="167"/>
      <c r="E24" s="191"/>
      <c r="F24" s="192" t="s">
        <v>34</v>
      </c>
      <c r="G24" s="192" t="s">
        <v>34</v>
      </c>
      <c r="H24" s="193" t="s">
        <v>94</v>
      </c>
      <c r="I24" s="192" t="s">
        <v>14</v>
      </c>
      <c r="J24" s="141"/>
      <c r="K24" s="48" t="s">
        <v>14</v>
      </c>
      <c r="L24" s="48"/>
      <c r="M24" s="48"/>
      <c r="N24" s="48" t="s">
        <v>14</v>
      </c>
      <c r="O24" s="48"/>
      <c r="P24" s="48"/>
      <c r="Q24" s="48"/>
      <c r="R24" s="194" t="s">
        <v>14</v>
      </c>
      <c r="S24" s="48" t="s">
        <v>20</v>
      </c>
      <c r="T24" s="48"/>
      <c r="U24" s="48" t="s">
        <v>20</v>
      </c>
      <c r="V24" s="48"/>
      <c r="W24" s="48" t="s">
        <v>20</v>
      </c>
      <c r="X24" s="48"/>
      <c r="Y24" s="113" t="s">
        <v>20</v>
      </c>
      <c r="Z24" s="141" t="s">
        <v>14</v>
      </c>
      <c r="AA24" s="190" t="s">
        <v>14</v>
      </c>
      <c r="AB24" s="92" t="s">
        <v>14</v>
      </c>
      <c r="AC24" s="190" t="s">
        <v>14</v>
      </c>
      <c r="AD24" s="92" t="s">
        <v>50</v>
      </c>
      <c r="AE24" s="167"/>
      <c r="AF24" s="195"/>
      <c r="AG24" s="196" t="s">
        <v>50</v>
      </c>
      <c r="AH24" s="197"/>
      <c r="AI24" s="196" t="s">
        <v>98</v>
      </c>
      <c r="AJ24" s="190" t="s">
        <v>50</v>
      </c>
      <c r="AK24" s="48"/>
      <c r="AL24" s="141" t="s">
        <v>99</v>
      </c>
      <c r="AM24" s="270" t="s">
        <v>53</v>
      </c>
      <c r="AN24" s="271"/>
      <c r="AO24" s="271"/>
      <c r="AP24" s="271"/>
      <c r="AQ24" s="198" t="s">
        <v>99</v>
      </c>
      <c r="AR24" s="141"/>
      <c r="AS24" s="113"/>
      <c r="AT24" s="157"/>
      <c r="AU24" s="158" t="s">
        <v>14</v>
      </c>
      <c r="AV24" s="159" t="s">
        <v>75</v>
      </c>
      <c r="AW24" s="160" t="s">
        <v>75</v>
      </c>
      <c r="AX24" s="159"/>
      <c r="AY24" s="161"/>
      <c r="AZ24" s="162"/>
      <c r="BA24" s="163" t="s">
        <v>84</v>
      </c>
      <c r="BB24" s="164"/>
      <c r="BC24" s="165"/>
      <c r="BD24" s="166"/>
      <c r="BE24" s="92" t="s">
        <v>76</v>
      </c>
      <c r="BF24" s="92" t="s">
        <v>77</v>
      </c>
      <c r="BG24" s="167"/>
      <c r="BH24" s="166"/>
      <c r="BI24" s="181" t="s">
        <v>76</v>
      </c>
      <c r="BJ24" s="181" t="s">
        <v>77</v>
      </c>
      <c r="BK24" s="168" t="s">
        <v>76</v>
      </c>
      <c r="BL24" s="168" t="s">
        <v>77</v>
      </c>
      <c r="BM24" s="168" t="s">
        <v>76</v>
      </c>
      <c r="BN24" s="168" t="s">
        <v>77</v>
      </c>
      <c r="BO24" s="169" t="s">
        <v>76</v>
      </c>
      <c r="BP24" s="170" t="s">
        <v>77</v>
      </c>
      <c r="BS24" s="171" t="s">
        <v>100</v>
      </c>
      <c r="BT24" s="113" t="s">
        <v>101</v>
      </c>
      <c r="BV24" s="201">
        <f>COUNTA(BV26:BV65536)</f>
        <v>0</v>
      </c>
      <c r="BW24" s="251"/>
      <c r="BX24" s="201">
        <f>COUNTA(BX26:BX65536)</f>
        <v>0</v>
      </c>
      <c r="BY24" s="183">
        <f>COUNTA(BY26:BY65536)</f>
        <v>0</v>
      </c>
    </row>
    <row r="25" spans="1:77" ht="15.6" customHeight="1" x14ac:dyDescent="0.25">
      <c r="A25" s="219"/>
      <c r="B25" s="64"/>
      <c r="C25" s="1"/>
      <c r="D25" s="1"/>
      <c r="E25" s="1"/>
      <c r="F25" s="205">
        <v>0</v>
      </c>
      <c r="G25" s="71">
        <v>0</v>
      </c>
      <c r="H25" s="72">
        <v>0</v>
      </c>
      <c r="I25" s="205">
        <v>0</v>
      </c>
      <c r="J25" s="206"/>
      <c r="K25" s="18"/>
      <c r="L25" s="18"/>
      <c r="M25" s="18"/>
      <c r="N25" s="18"/>
      <c r="O25" s="18"/>
      <c r="P25" s="18"/>
      <c r="Q25" s="18"/>
      <c r="R25" s="207"/>
      <c r="S25" s="18"/>
      <c r="T25" s="18"/>
      <c r="U25" s="18"/>
      <c r="V25" s="18"/>
      <c r="W25" s="18"/>
      <c r="X25" s="18"/>
      <c r="Y25" s="21"/>
      <c r="Z25" s="71"/>
      <c r="AA25" s="64"/>
      <c r="AB25" s="71"/>
      <c r="AC25" s="71"/>
      <c r="AD25" s="71"/>
      <c r="AE25" s="1"/>
      <c r="AF25" s="208"/>
      <c r="AG25" s="71"/>
      <c r="AH25" s="209"/>
      <c r="AI25" s="71"/>
      <c r="AJ25" s="64"/>
      <c r="AK25" s="18"/>
      <c r="AL25" s="206"/>
      <c r="AM25" s="210"/>
      <c r="AN25" s="211"/>
      <c r="AO25" s="211"/>
      <c r="AP25" s="211"/>
      <c r="AQ25" s="212"/>
      <c r="AR25" s="206"/>
      <c r="AS25" s="21"/>
      <c r="AT25" s="42"/>
      <c r="AU25" s="213"/>
      <c r="AV25" s="214"/>
      <c r="AW25" s="215"/>
      <c r="AX25" s="214"/>
      <c r="AY25" s="43"/>
      <c r="AZ25" s="56"/>
      <c r="BA25" s="58"/>
      <c r="BB25" s="98"/>
      <c r="BC25" s="61"/>
      <c r="BD25" s="1"/>
      <c r="BE25" s="71"/>
      <c r="BF25" s="71"/>
      <c r="BG25" s="15"/>
      <c r="BH25" s="1"/>
      <c r="BI25" s="182"/>
      <c r="BJ25" s="182"/>
      <c r="BK25" s="63"/>
      <c r="BL25" s="63"/>
      <c r="BM25" s="63"/>
      <c r="BN25" s="63"/>
      <c r="BO25" s="64"/>
      <c r="BP25" s="212"/>
      <c r="BS25" s="216"/>
      <c r="BT25" s="21"/>
      <c r="BV25" s="217"/>
      <c r="BW25" s="149"/>
      <c r="BX25" s="217"/>
      <c r="BY25" s="180"/>
    </row>
    <row r="26" spans="1:77" x14ac:dyDescent="0.25">
      <c r="A26" s="184">
        <f>AT26</f>
        <v>100</v>
      </c>
      <c r="B26" s="151" t="str">
        <f>VLOOKUP(A26,'Summary-input'!A:B,2,0)</f>
        <v>L.WALL</v>
      </c>
      <c r="C26" s="179">
        <v>103</v>
      </c>
      <c r="D26" s="75"/>
      <c r="E26" s="147"/>
      <c r="F26" s="152" t="e">
        <f>ABS(BJ26)</f>
        <v>#N/A</v>
      </c>
      <c r="G26" s="76" t="e">
        <f>BK26</f>
        <v>#N/A</v>
      </c>
      <c r="H26" s="155" t="e">
        <f>BM26</f>
        <v>#N/A</v>
      </c>
      <c r="I26" s="152">
        <f>AU26</f>
        <v>1000</v>
      </c>
      <c r="J26" s="149" t="str">
        <f>IF(K26=0,0,"H")</f>
        <v>H</v>
      </c>
      <c r="K26" s="148">
        <v>40</v>
      </c>
      <c r="L26" s="75" t="str">
        <f t="shared" ref="L26:L43" si="0">IF(N26=0,"","+")</f>
        <v/>
      </c>
      <c r="M26" s="75" t="str">
        <f t="shared" ref="M26:M43" si="1">IF(N26=0,"","T")</f>
        <v/>
      </c>
      <c r="N26" s="148"/>
      <c r="O26" s="75" t="str">
        <f>IF(R26=0,"","+")</f>
        <v/>
      </c>
      <c r="P26" s="148"/>
      <c r="Q26" s="75" t="str">
        <f t="shared" ref="Q26:Q43" si="2">IF(R26=0,"","T")</f>
        <v/>
      </c>
      <c r="R26" s="153">
        <v>0</v>
      </c>
      <c r="S26" s="76">
        <f t="shared" ref="S26:S43" si="3">PI()/4*K26^2*1000/$Z$16</f>
        <v>4188.7902047863909</v>
      </c>
      <c r="T26" s="75" t="str">
        <f t="shared" ref="T26:T43" si="4">IF(N26=0,"","+")</f>
        <v/>
      </c>
      <c r="U26" s="76">
        <f t="shared" ref="U26:U43" si="5">PI()/4*N26^2*1000/$Z$17</f>
        <v>0</v>
      </c>
      <c r="V26" s="75" t="str">
        <f>IF(R26=0,"","+")</f>
        <v/>
      </c>
      <c r="W26" s="76">
        <f>IF(P26=0,PI()/4*R26^2*1000/$Z$18,PI()/4*R26^2*P26*1000/$Z$18)</f>
        <v>0</v>
      </c>
      <c r="X26" s="75" t="s">
        <v>22</v>
      </c>
      <c r="Y26" s="154">
        <f t="shared" ref="Y26:Y43" si="6">VALUE(S26)+VALUE(U26)+VALUE(W26)</f>
        <v>4188.7902047863909</v>
      </c>
      <c r="Z26" s="76">
        <f t="shared" ref="Z26:Z43" si="7">(I26-($G$16+$Z$14+K26/2))</f>
        <v>897</v>
      </c>
      <c r="AA26" s="151">
        <f t="shared" ref="AA26:AA43" si="8">IF(N26=0,0,(I26-($G$15+$Z$14+K26/2+$AD$16)))</f>
        <v>0</v>
      </c>
      <c r="AB26" s="151">
        <f t="shared" ref="AB26:AB43" si="9">IF(R26=0,0,(I26-($G$15+$Z$14+K26/2+$AD$16+$AD$17)))</f>
        <v>0</v>
      </c>
      <c r="AC26" s="76">
        <f t="shared" ref="AC26:AC43" si="10">(Z26*S26+AA26*U26+AB26*W26)/Y26</f>
        <v>897</v>
      </c>
      <c r="AD26" s="177" t="e">
        <f t="shared" ref="AD26:AD43" si="11">F26/AC26/$H$12*1000</f>
        <v>#N/A</v>
      </c>
      <c r="AE26" s="136">
        <f t="shared" ref="AE26:AE43" si="12">Y26/AC26/$H$12*100</f>
        <v>0.46697772628610817</v>
      </c>
      <c r="AF26" s="178" t="s">
        <v>43</v>
      </c>
      <c r="AG26" s="84">
        <f t="shared" ref="AG26:AG43" si="13">(0.18/1.5)*MIN(2,1+SQRT(200/AC26))*(100*MIN(0.02,Y26/$H$12/AC26)*$S$14)^(1/3)</f>
        <v>0.43513878646531268</v>
      </c>
      <c r="AH26" s="178" t="e">
        <f t="shared" ref="AH26:AH43" si="14">MAX(21.8,MIN(45,180/PI()*0.5*ASIN(F26*1000/(0.18*$H$12*AC26*(1-$S$14/250)*$S$14))))</f>
        <v>#N/A</v>
      </c>
      <c r="AI26" s="76">
        <f t="shared" ref="AI26:AI43" si="15">$H$12*AC26</f>
        <v>897000</v>
      </c>
      <c r="AJ26" s="156" t="e">
        <f t="shared" ref="AJ26:AJ43" si="16">MAX(0,AG26+0.15*MIN((0.2*$S$14/1.5*0.9),G26/AI26*1000),0.035*MIN(2,1+SQRT(200/AC26))^(3/2)*SQRT($S$14))</f>
        <v>#N/A</v>
      </c>
      <c r="AK26" s="75" t="e">
        <f t="shared" ref="AK26:AK89" si="17">IF($AD26&lt;=$AJ26,"V ≤ Vc","V &gt; Vc")</f>
        <v>#N/A</v>
      </c>
      <c r="AL26" s="150" t="e">
        <f t="shared" ref="AL26:AL43" si="18">IF($AD26&lt;$AJ26,"0",IF($AD26&lt;MIN($AJ$16,$AJ$17),MAX(0.08*SQRT($S$14)/$S$16*$H$12*1000,F26/0.9*1.15/AC26/$S$16*TAN(AH26/180*PI())*10^6),"NG"))</f>
        <v>#N/A</v>
      </c>
      <c r="AM26" s="149" t="e">
        <f>IF(AN26=0,0,"H")</f>
        <v>#N/A</v>
      </c>
      <c r="AN26" s="76" t="e">
        <f t="shared" ref="AN26:AN43" si="19">IF(OR(AL26="0",AL26="Larger Section"),0,$Z$14)</f>
        <v>#N/A</v>
      </c>
      <c r="AO26" s="75" t="e">
        <f t="shared" ref="AO26:AO43" si="20">IF(AP26=0,0,"-")</f>
        <v>#N/A</v>
      </c>
      <c r="AP26" s="76" t="e">
        <f t="shared" ref="AP26:AP43" si="21">IF(OR(AL26="0",AL26="Larger Section"),0,IF((PI()*AN26^2/4)*(1000/$AG$14)/300*1000&lt;AL26,150,300))</f>
        <v>#N/A</v>
      </c>
      <c r="AQ26" s="154" t="e">
        <f t="shared" ref="AQ26:AQ43" si="22">IF(AP26=0,0,(PI()*AN26^2/4)*(1000/$AG$14)/AP26*1000)</f>
        <v>#N/A</v>
      </c>
      <c r="AR26" s="150" t="e">
        <f t="shared" ref="AR26:AR43" si="23">IF(AD26&gt;MIN($AJ$16,$AJ$17),"NOT OK",IF(AL26="0","OK",IF(AQ26&gt;=AL26,"OK","NOT OK")))</f>
        <v>#N/A</v>
      </c>
      <c r="AS26" s="180" t="e">
        <f t="shared" ref="AS26:AS43" si="24">IF(AD26&gt;MIN($AJ$16,$AJ$17),"Larger section needed",IF(AL26="0","No Stirrups Required",IF(AQ26&gt;=AL26,"Stirrups Sufficient","Stirrups Not Sufficient")))</f>
        <v>#N/A</v>
      </c>
      <c r="AT26" s="17">
        <v>100</v>
      </c>
      <c r="AU26" s="71">
        <f>VLOOKUP(AT26,'Summary-input'!A:D,4,0)</f>
        <v>1000</v>
      </c>
      <c r="AV26" s="54">
        <f t="shared" ref="AV26:AV43" si="25">IF(AT26=0," ",AC26)</f>
        <v>897</v>
      </c>
      <c r="AW26" s="55"/>
      <c r="AX26" s="55"/>
      <c r="AY26" s="101"/>
      <c r="AZ26" s="102"/>
      <c r="BA26" s="103">
        <v>1</v>
      </c>
      <c r="BB26" s="62"/>
      <c r="BC26" s="64">
        <v>80</v>
      </c>
      <c r="BD26" s="64" t="s">
        <v>59</v>
      </c>
      <c r="BE26" s="64"/>
      <c r="BF26" s="64">
        <v>101</v>
      </c>
      <c r="BG26" s="64"/>
      <c r="BH26" s="102"/>
      <c r="BI26" s="182"/>
      <c r="BJ26" s="182" t="e">
        <f>VLOOKUP(AT26,'Summary-output-ULS'!$B:$H,7,0)</f>
        <v>#N/A</v>
      </c>
      <c r="BK26" s="182" t="e">
        <f>-VLOOKUP(AT26,'Summary-output-ULS'!$B:$H,5,0)</f>
        <v>#N/A</v>
      </c>
      <c r="BL26" s="182" t="e">
        <f>VLOOKUP(AT26,'Summary-output-ULS'!$B:$H,5,0)</f>
        <v>#N/A</v>
      </c>
      <c r="BM26" s="182" t="e">
        <f>VLOOKUP(AT26,'Summary-output-ULS'!$B:$H,6,0)</f>
        <v>#N/A</v>
      </c>
      <c r="BN26" s="182" t="e">
        <f>VLOOKUP(AT26,'Summary-output-ULS'!$B:$H,6,0)</f>
        <v>#N/A</v>
      </c>
      <c r="BO26" s="64"/>
      <c r="BP26" s="182" t="e">
        <f>VLOOKUP(AT26,'Summary-output-ULS'!$B:$H,4,0)</f>
        <v>#N/A</v>
      </c>
      <c r="BR26" s="174" t="e">
        <f t="shared" ref="BR26:BR43" si="26">+AJ26*AI26/1000</f>
        <v>#N/A</v>
      </c>
      <c r="BS26" s="175"/>
      <c r="BT26" s="176"/>
      <c r="BV26" s="188"/>
      <c r="BW26" s="188"/>
      <c r="BX26" s="188"/>
      <c r="BY26" s="188"/>
    </row>
    <row r="27" spans="1:77" x14ac:dyDescent="0.25">
      <c r="A27" s="184">
        <f t="shared" ref="A27:A73" si="27">AT27</f>
        <v>101</v>
      </c>
      <c r="B27" s="151" t="str">
        <f>VLOOKUP(A27,'Summary-input'!A:B,2,0)</f>
        <v>L.WALL</v>
      </c>
      <c r="C27" s="179">
        <v>103</v>
      </c>
      <c r="D27" s="75"/>
      <c r="E27" s="147"/>
      <c r="F27" s="152" t="e">
        <f t="shared" ref="F27:F90" si="28">ABS(BJ27)</f>
        <v>#N/A</v>
      </c>
      <c r="G27" s="76" t="e">
        <f t="shared" ref="G27:G90" si="29">BK27</f>
        <v>#N/A</v>
      </c>
      <c r="H27" s="155" t="e">
        <f t="shared" ref="H27:H90" si="30">BM27</f>
        <v>#N/A</v>
      </c>
      <c r="I27" s="152">
        <f t="shared" ref="I27:I90" si="31">AU27</f>
        <v>1000</v>
      </c>
      <c r="J27" s="149" t="str">
        <f t="shared" ref="J27:J90" si="32">IF(K27=0,0,"H")</f>
        <v>H</v>
      </c>
      <c r="K27" s="148">
        <v>40</v>
      </c>
      <c r="L27" s="75" t="str">
        <f t="shared" si="0"/>
        <v/>
      </c>
      <c r="M27" s="75" t="str">
        <f t="shared" si="1"/>
        <v/>
      </c>
      <c r="N27" s="148"/>
      <c r="O27" s="75" t="str">
        <f>IF(R27=0,"","+")</f>
        <v/>
      </c>
      <c r="P27" s="148"/>
      <c r="Q27" s="75" t="str">
        <f t="shared" si="2"/>
        <v/>
      </c>
      <c r="R27" s="153">
        <v>0</v>
      </c>
      <c r="S27" s="76">
        <f t="shared" si="3"/>
        <v>4188.7902047863909</v>
      </c>
      <c r="T27" s="75" t="str">
        <f t="shared" si="4"/>
        <v/>
      </c>
      <c r="U27" s="76">
        <f t="shared" si="5"/>
        <v>0</v>
      </c>
      <c r="V27" s="75" t="str">
        <f>IF(R27=0,"","+")</f>
        <v/>
      </c>
      <c r="W27" s="76">
        <f>IF(P27=0,PI()/4*R27^2*1000/$Z$18,PI()/4*R27^2*P27*1000/$Z$18)</f>
        <v>0</v>
      </c>
      <c r="X27" s="75" t="s">
        <v>22</v>
      </c>
      <c r="Y27" s="154">
        <f t="shared" si="6"/>
        <v>4188.7902047863909</v>
      </c>
      <c r="Z27" s="76">
        <f t="shared" si="7"/>
        <v>897</v>
      </c>
      <c r="AA27" s="151">
        <f t="shared" si="8"/>
        <v>0</v>
      </c>
      <c r="AB27" s="151">
        <f t="shared" si="9"/>
        <v>0</v>
      </c>
      <c r="AC27" s="76">
        <f t="shared" si="10"/>
        <v>897</v>
      </c>
      <c r="AD27" s="177" t="e">
        <f t="shared" si="11"/>
        <v>#N/A</v>
      </c>
      <c r="AE27" s="136">
        <f t="shared" si="12"/>
        <v>0.46697772628610817</v>
      </c>
      <c r="AF27" s="178" t="s">
        <v>43</v>
      </c>
      <c r="AG27" s="84">
        <f t="shared" si="13"/>
        <v>0.43513878646531268</v>
      </c>
      <c r="AH27" s="178" t="e">
        <f t="shared" si="14"/>
        <v>#N/A</v>
      </c>
      <c r="AI27" s="76">
        <f t="shared" si="15"/>
        <v>897000</v>
      </c>
      <c r="AJ27" s="156" t="e">
        <f t="shared" si="16"/>
        <v>#N/A</v>
      </c>
      <c r="AK27" s="75" t="e">
        <f t="shared" si="17"/>
        <v>#N/A</v>
      </c>
      <c r="AL27" s="150" t="e">
        <f t="shared" si="18"/>
        <v>#N/A</v>
      </c>
      <c r="AM27" s="149" t="e">
        <f t="shared" ref="AM27:AM90" si="33">IF(AN27=0,0,"H")</f>
        <v>#N/A</v>
      </c>
      <c r="AN27" s="76" t="e">
        <f t="shared" si="19"/>
        <v>#N/A</v>
      </c>
      <c r="AO27" s="147" t="e">
        <f t="shared" si="20"/>
        <v>#N/A</v>
      </c>
      <c r="AP27" s="76" t="e">
        <f t="shared" si="21"/>
        <v>#N/A</v>
      </c>
      <c r="AQ27" s="154" t="e">
        <f t="shared" si="22"/>
        <v>#N/A</v>
      </c>
      <c r="AR27" s="150" t="e">
        <f t="shared" si="23"/>
        <v>#N/A</v>
      </c>
      <c r="AS27" s="180" t="e">
        <f t="shared" si="24"/>
        <v>#N/A</v>
      </c>
      <c r="AT27" s="17">
        <v>101</v>
      </c>
      <c r="AU27" s="71">
        <f>VLOOKUP(AT27,'Summary-input'!A:D,4,0)</f>
        <v>1000</v>
      </c>
      <c r="AV27" s="54">
        <f t="shared" si="25"/>
        <v>897</v>
      </c>
      <c r="AW27" s="55"/>
      <c r="AX27" s="55"/>
      <c r="AY27" s="101"/>
      <c r="AZ27" s="102"/>
      <c r="BA27" s="103">
        <v>1</v>
      </c>
      <c r="BB27" s="62"/>
      <c r="BC27" s="64">
        <v>79</v>
      </c>
      <c r="BD27" s="64" t="s">
        <v>59</v>
      </c>
      <c r="BE27" s="64"/>
      <c r="BF27" s="64">
        <v>114</v>
      </c>
      <c r="BG27" s="64"/>
      <c r="BH27" s="102"/>
      <c r="BI27" s="182"/>
      <c r="BJ27" s="182" t="e">
        <f>VLOOKUP(AT27,'Summary-output-ULS'!$B:$H,7,0)</f>
        <v>#N/A</v>
      </c>
      <c r="BK27" s="182" t="e">
        <f>-VLOOKUP(AT27,'Summary-output-ULS'!$B:$H,5,0)</f>
        <v>#N/A</v>
      </c>
      <c r="BL27" s="182" t="e">
        <f>VLOOKUP(AT27,'Summary-output-SLS'!$B:$H,5,0)</f>
        <v>#N/A</v>
      </c>
      <c r="BM27" s="182" t="e">
        <f>VLOOKUP(AT27,'Summary-output-SLS'!$B:$H,6,0)</f>
        <v>#N/A</v>
      </c>
      <c r="BN27" s="182" t="e">
        <f>VLOOKUP(AT27,'Summary-output-SLS'!$B:$H,6,0)</f>
        <v>#N/A</v>
      </c>
      <c r="BO27" s="64"/>
      <c r="BP27" s="182" t="e">
        <f>VLOOKUP(AT27,'Summary-output-ULS'!$B:$H,4,0)</f>
        <v>#N/A</v>
      </c>
      <c r="BR27" s="174" t="e">
        <f t="shared" si="26"/>
        <v>#N/A</v>
      </c>
      <c r="BS27" s="175"/>
      <c r="BT27" s="176"/>
      <c r="BV27" s="188"/>
      <c r="BW27" s="188"/>
      <c r="BX27" s="188"/>
      <c r="BY27" s="188"/>
    </row>
    <row r="28" spans="1:77" x14ac:dyDescent="0.25">
      <c r="A28" s="184">
        <f t="shared" si="27"/>
        <v>102</v>
      </c>
      <c r="B28" s="151" t="str">
        <f>VLOOKUP(A28,'Summary-input'!A:B,2,0)</f>
        <v>L.WALL</v>
      </c>
      <c r="C28" s="179">
        <v>103</v>
      </c>
      <c r="D28" s="75"/>
      <c r="E28" s="147"/>
      <c r="F28" s="152" t="e">
        <f t="shared" si="28"/>
        <v>#N/A</v>
      </c>
      <c r="G28" s="76" t="e">
        <f t="shared" si="29"/>
        <v>#N/A</v>
      </c>
      <c r="H28" s="155" t="e">
        <f t="shared" si="30"/>
        <v>#N/A</v>
      </c>
      <c r="I28" s="152">
        <f t="shared" si="31"/>
        <v>1000</v>
      </c>
      <c r="J28" s="149" t="str">
        <f t="shared" si="32"/>
        <v>H</v>
      </c>
      <c r="K28" s="148">
        <v>40</v>
      </c>
      <c r="L28" s="75" t="str">
        <f t="shared" si="0"/>
        <v/>
      </c>
      <c r="M28" s="75" t="str">
        <f t="shared" si="1"/>
        <v/>
      </c>
      <c r="N28" s="148"/>
      <c r="O28" s="75" t="str">
        <f>IF(R28=0,"","+")</f>
        <v/>
      </c>
      <c r="P28" s="148"/>
      <c r="Q28" s="75" t="str">
        <f t="shared" si="2"/>
        <v/>
      </c>
      <c r="R28" s="153"/>
      <c r="S28" s="76">
        <f t="shared" si="3"/>
        <v>4188.7902047863909</v>
      </c>
      <c r="T28" s="75" t="str">
        <f t="shared" si="4"/>
        <v/>
      </c>
      <c r="U28" s="76">
        <f t="shared" si="5"/>
        <v>0</v>
      </c>
      <c r="V28" s="75" t="str">
        <f>IF(R28=0,"","+")</f>
        <v/>
      </c>
      <c r="W28" s="76">
        <f>IF(P28=0,PI()/4*R28^2*1000/$Z$18,PI()/4*R28^2*P28*1000/$Z$18)</f>
        <v>0</v>
      </c>
      <c r="X28" s="75" t="s">
        <v>22</v>
      </c>
      <c r="Y28" s="154">
        <f t="shared" si="6"/>
        <v>4188.7902047863909</v>
      </c>
      <c r="Z28" s="76">
        <f t="shared" si="7"/>
        <v>897</v>
      </c>
      <c r="AA28" s="151">
        <f t="shared" si="8"/>
        <v>0</v>
      </c>
      <c r="AB28" s="151">
        <f t="shared" si="9"/>
        <v>0</v>
      </c>
      <c r="AC28" s="76">
        <f t="shared" si="10"/>
        <v>897</v>
      </c>
      <c r="AD28" s="177" t="e">
        <f t="shared" si="11"/>
        <v>#N/A</v>
      </c>
      <c r="AE28" s="136">
        <f t="shared" si="12"/>
        <v>0.46697772628610817</v>
      </c>
      <c r="AF28" s="178" t="s">
        <v>43</v>
      </c>
      <c r="AG28" s="84">
        <f t="shared" si="13"/>
        <v>0.43513878646531268</v>
      </c>
      <c r="AH28" s="178" t="e">
        <f t="shared" si="14"/>
        <v>#N/A</v>
      </c>
      <c r="AI28" s="76">
        <f t="shared" si="15"/>
        <v>897000</v>
      </c>
      <c r="AJ28" s="156" t="e">
        <f t="shared" si="16"/>
        <v>#N/A</v>
      </c>
      <c r="AK28" s="75" t="e">
        <f t="shared" si="17"/>
        <v>#N/A</v>
      </c>
      <c r="AL28" s="150" t="e">
        <f t="shared" si="18"/>
        <v>#N/A</v>
      </c>
      <c r="AM28" s="149" t="e">
        <f t="shared" si="33"/>
        <v>#N/A</v>
      </c>
      <c r="AN28" s="76" t="e">
        <f t="shared" si="19"/>
        <v>#N/A</v>
      </c>
      <c r="AO28" s="147" t="e">
        <f t="shared" si="20"/>
        <v>#N/A</v>
      </c>
      <c r="AP28" s="76" t="e">
        <f t="shared" si="21"/>
        <v>#N/A</v>
      </c>
      <c r="AQ28" s="154" t="e">
        <f t="shared" si="22"/>
        <v>#N/A</v>
      </c>
      <c r="AR28" s="150" t="e">
        <f t="shared" si="23"/>
        <v>#N/A</v>
      </c>
      <c r="AS28" s="180" t="e">
        <f t="shared" si="24"/>
        <v>#N/A</v>
      </c>
      <c r="AT28" s="17">
        <v>102</v>
      </c>
      <c r="AU28" s="71">
        <f>VLOOKUP(AT28,'Summary-input'!A:D,4,0)</f>
        <v>1000</v>
      </c>
      <c r="AV28" s="54">
        <f t="shared" si="25"/>
        <v>897</v>
      </c>
      <c r="AW28" s="55"/>
      <c r="AX28" s="55"/>
      <c r="AY28" s="101"/>
      <c r="AZ28" s="102"/>
      <c r="BA28" s="103">
        <v>1</v>
      </c>
      <c r="BB28" s="62"/>
      <c r="BC28" s="64">
        <v>78</v>
      </c>
      <c r="BD28" s="64" t="s">
        <v>59</v>
      </c>
      <c r="BE28" s="64"/>
      <c r="BF28" s="64">
        <v>105</v>
      </c>
      <c r="BG28" s="64"/>
      <c r="BH28" s="102"/>
      <c r="BI28" s="182"/>
      <c r="BJ28" s="182" t="e">
        <f>VLOOKUP(AT28,'Summary-output-ULS'!$B:$H,7,0)</f>
        <v>#N/A</v>
      </c>
      <c r="BK28" s="182" t="e">
        <f>-VLOOKUP(AT28,'Summary-output-ULS'!$B:$H,5,0)</f>
        <v>#N/A</v>
      </c>
      <c r="BL28" s="182" t="e">
        <f>VLOOKUP(AT28,'Summary-output-SLS'!$B:$H,5,0)</f>
        <v>#N/A</v>
      </c>
      <c r="BM28" s="182" t="e">
        <f>VLOOKUP(AT28,'Summary-output-SLS'!$B:$H,6,0)</f>
        <v>#N/A</v>
      </c>
      <c r="BN28" s="182" t="e">
        <f>VLOOKUP(AT28,'Summary-output-SLS'!$B:$H,6,0)</f>
        <v>#N/A</v>
      </c>
      <c r="BO28" s="64"/>
      <c r="BP28" s="182" t="e">
        <f>VLOOKUP(AT28,'Summary-output-ULS'!$B:$H,4,0)</f>
        <v>#N/A</v>
      </c>
      <c r="BR28" s="174" t="e">
        <f t="shared" si="26"/>
        <v>#N/A</v>
      </c>
      <c r="BS28" s="175"/>
      <c r="BT28" s="176"/>
      <c r="BV28" s="188"/>
      <c r="BW28" s="188"/>
      <c r="BX28" s="188"/>
      <c r="BY28" s="188"/>
    </row>
    <row r="29" spans="1:77" x14ac:dyDescent="0.25">
      <c r="A29" s="184">
        <f t="shared" si="27"/>
        <v>103</v>
      </c>
      <c r="B29" s="151" t="str">
        <f>VLOOKUP(A29,'Summary-input'!A:B,2,0)</f>
        <v>L.WALL</v>
      </c>
      <c r="C29" s="179">
        <v>103</v>
      </c>
      <c r="D29" s="75"/>
      <c r="E29" s="147"/>
      <c r="F29" s="152" t="e">
        <f t="shared" si="28"/>
        <v>#N/A</v>
      </c>
      <c r="G29" s="76" t="e">
        <f t="shared" si="29"/>
        <v>#N/A</v>
      </c>
      <c r="H29" s="155" t="e">
        <f t="shared" si="30"/>
        <v>#N/A</v>
      </c>
      <c r="I29" s="152">
        <f t="shared" si="31"/>
        <v>1000</v>
      </c>
      <c r="J29" s="149" t="str">
        <f t="shared" si="32"/>
        <v>H</v>
      </c>
      <c r="K29" s="148">
        <v>40</v>
      </c>
      <c r="L29" s="75" t="str">
        <f t="shared" si="0"/>
        <v/>
      </c>
      <c r="M29" s="75" t="str">
        <f t="shared" si="1"/>
        <v/>
      </c>
      <c r="N29" s="148"/>
      <c r="O29" s="75"/>
      <c r="P29" s="148"/>
      <c r="Q29" s="75" t="str">
        <f t="shared" si="2"/>
        <v/>
      </c>
      <c r="R29" s="153"/>
      <c r="S29" s="76">
        <f t="shared" si="3"/>
        <v>4188.7902047863909</v>
      </c>
      <c r="T29" s="75" t="str">
        <f t="shared" si="4"/>
        <v/>
      </c>
      <c r="U29" s="76">
        <f t="shared" si="5"/>
        <v>0</v>
      </c>
      <c r="V29" s="75"/>
      <c r="W29" s="76"/>
      <c r="X29" s="75" t="s">
        <v>22</v>
      </c>
      <c r="Y29" s="154">
        <f t="shared" si="6"/>
        <v>4188.7902047863909</v>
      </c>
      <c r="Z29" s="76">
        <f t="shared" si="7"/>
        <v>897</v>
      </c>
      <c r="AA29" s="151">
        <f t="shared" si="8"/>
        <v>0</v>
      </c>
      <c r="AB29" s="151">
        <f t="shared" si="9"/>
        <v>0</v>
      </c>
      <c r="AC29" s="76">
        <f t="shared" si="10"/>
        <v>897</v>
      </c>
      <c r="AD29" s="177" t="e">
        <f t="shared" si="11"/>
        <v>#N/A</v>
      </c>
      <c r="AE29" s="136">
        <f t="shared" si="12"/>
        <v>0.46697772628610817</v>
      </c>
      <c r="AF29" s="178" t="s">
        <v>43</v>
      </c>
      <c r="AG29" s="84">
        <f t="shared" si="13"/>
        <v>0.43513878646531268</v>
      </c>
      <c r="AH29" s="178" t="e">
        <f t="shared" si="14"/>
        <v>#N/A</v>
      </c>
      <c r="AI29" s="76">
        <f t="shared" si="15"/>
        <v>897000</v>
      </c>
      <c r="AJ29" s="156" t="e">
        <f t="shared" si="16"/>
        <v>#N/A</v>
      </c>
      <c r="AK29" s="75" t="e">
        <f t="shared" si="17"/>
        <v>#N/A</v>
      </c>
      <c r="AL29" s="150" t="e">
        <f t="shared" si="18"/>
        <v>#N/A</v>
      </c>
      <c r="AM29" s="149" t="e">
        <f t="shared" si="33"/>
        <v>#N/A</v>
      </c>
      <c r="AN29" s="76" t="e">
        <f t="shared" si="19"/>
        <v>#N/A</v>
      </c>
      <c r="AO29" s="147" t="e">
        <f t="shared" si="20"/>
        <v>#N/A</v>
      </c>
      <c r="AP29" s="76" t="e">
        <f t="shared" si="21"/>
        <v>#N/A</v>
      </c>
      <c r="AQ29" s="154" t="e">
        <f t="shared" si="22"/>
        <v>#N/A</v>
      </c>
      <c r="AR29" s="150" t="e">
        <f t="shared" si="23"/>
        <v>#N/A</v>
      </c>
      <c r="AS29" s="180" t="e">
        <f t="shared" si="24"/>
        <v>#N/A</v>
      </c>
      <c r="AT29" s="17">
        <v>103</v>
      </c>
      <c r="AU29" s="71">
        <f>VLOOKUP(AT29,'Summary-input'!A:D,4,0)</f>
        <v>1000</v>
      </c>
      <c r="AV29" s="54">
        <f t="shared" si="25"/>
        <v>897</v>
      </c>
      <c r="AW29" s="55"/>
      <c r="AX29" s="55"/>
      <c r="AY29" s="101"/>
      <c r="AZ29" s="102"/>
      <c r="BA29" s="103">
        <v>1</v>
      </c>
      <c r="BB29" s="62"/>
      <c r="BC29" s="64">
        <v>77</v>
      </c>
      <c r="BD29" s="16" t="s">
        <v>59</v>
      </c>
      <c r="BE29" s="64"/>
      <c r="BF29" s="64">
        <v>103</v>
      </c>
      <c r="BG29" s="64"/>
      <c r="BH29" s="102"/>
      <c r="BI29" s="182"/>
      <c r="BJ29" s="182" t="e">
        <f>VLOOKUP(AT29,'Summary-output-ULS'!$B:$H,7,0)</f>
        <v>#N/A</v>
      </c>
      <c r="BK29" s="182" t="e">
        <f>-VLOOKUP(AT29,'Summary-output-ULS'!$B:$H,5,0)</f>
        <v>#N/A</v>
      </c>
      <c r="BL29" s="182" t="e">
        <f>VLOOKUP(AT29,'Summary-output-SLS'!$B:$H,5,0)</f>
        <v>#N/A</v>
      </c>
      <c r="BM29" s="182" t="e">
        <f>VLOOKUP(AT29,'Summary-output-SLS'!$B:$H,6,0)</f>
        <v>#N/A</v>
      </c>
      <c r="BN29" s="182" t="e">
        <f>VLOOKUP(AT29,'Summary-output-SLS'!$B:$H,6,0)</f>
        <v>#N/A</v>
      </c>
      <c r="BO29" s="64"/>
      <c r="BP29" s="182" t="e">
        <f>VLOOKUP(AT29,'Summary-output-ULS'!$B:$H,4,0)</f>
        <v>#N/A</v>
      </c>
      <c r="BR29" s="174" t="e">
        <f t="shared" si="26"/>
        <v>#N/A</v>
      </c>
      <c r="BS29" s="175"/>
      <c r="BT29" s="176"/>
      <c r="BV29" s="188"/>
      <c r="BW29" s="188"/>
      <c r="BX29" s="188"/>
      <c r="BY29" s="188"/>
    </row>
    <row r="30" spans="1:77" x14ac:dyDescent="0.25">
      <c r="A30" s="184">
        <f t="shared" si="27"/>
        <v>104</v>
      </c>
      <c r="B30" s="151" t="str">
        <f>VLOOKUP(A30,'Summary-input'!A:B,2,0)</f>
        <v>L.WALL</v>
      </c>
      <c r="C30" s="179">
        <v>103</v>
      </c>
      <c r="D30" s="75"/>
      <c r="E30" s="147"/>
      <c r="F30" s="152" t="e">
        <f t="shared" si="28"/>
        <v>#N/A</v>
      </c>
      <c r="G30" s="76" t="e">
        <f t="shared" si="29"/>
        <v>#N/A</v>
      </c>
      <c r="H30" s="155" t="e">
        <f t="shared" si="30"/>
        <v>#N/A</v>
      </c>
      <c r="I30" s="152">
        <f t="shared" si="31"/>
        <v>1000</v>
      </c>
      <c r="J30" s="149" t="str">
        <f t="shared" si="32"/>
        <v>H</v>
      </c>
      <c r="K30" s="148">
        <v>40</v>
      </c>
      <c r="L30" s="75" t="str">
        <f t="shared" si="0"/>
        <v/>
      </c>
      <c r="M30" s="75" t="str">
        <f t="shared" si="1"/>
        <v/>
      </c>
      <c r="N30" s="148"/>
      <c r="O30" s="75" t="str">
        <f>IF(R30=0,"","+")</f>
        <v/>
      </c>
      <c r="P30" s="148"/>
      <c r="Q30" s="75" t="str">
        <f t="shared" si="2"/>
        <v/>
      </c>
      <c r="R30" s="153">
        <v>0</v>
      </c>
      <c r="S30" s="76">
        <f t="shared" si="3"/>
        <v>4188.7902047863909</v>
      </c>
      <c r="T30" s="75" t="str">
        <f t="shared" si="4"/>
        <v/>
      </c>
      <c r="U30" s="76">
        <f t="shared" si="5"/>
        <v>0</v>
      </c>
      <c r="V30" s="75" t="str">
        <f>IF(R30=0,"","+")</f>
        <v/>
      </c>
      <c r="W30" s="76">
        <f>IF(P30=0,PI()/4*R30^2*1000/$Z$18,PI()/4*R30^2*P30*1000/$Z$18)</f>
        <v>0</v>
      </c>
      <c r="X30" s="75" t="s">
        <v>22</v>
      </c>
      <c r="Y30" s="154">
        <f t="shared" si="6"/>
        <v>4188.7902047863909</v>
      </c>
      <c r="Z30" s="76">
        <f t="shared" si="7"/>
        <v>897</v>
      </c>
      <c r="AA30" s="151">
        <f t="shared" si="8"/>
        <v>0</v>
      </c>
      <c r="AB30" s="151">
        <f t="shared" si="9"/>
        <v>0</v>
      </c>
      <c r="AC30" s="76">
        <f t="shared" si="10"/>
        <v>897</v>
      </c>
      <c r="AD30" s="177" t="e">
        <f t="shared" si="11"/>
        <v>#N/A</v>
      </c>
      <c r="AE30" s="136">
        <f t="shared" si="12"/>
        <v>0.46697772628610817</v>
      </c>
      <c r="AF30" s="178" t="s">
        <v>43</v>
      </c>
      <c r="AG30" s="84">
        <f t="shared" si="13"/>
        <v>0.43513878646531268</v>
      </c>
      <c r="AH30" s="178" t="e">
        <f t="shared" si="14"/>
        <v>#N/A</v>
      </c>
      <c r="AI30" s="76">
        <f t="shared" si="15"/>
        <v>897000</v>
      </c>
      <c r="AJ30" s="156" t="e">
        <f t="shared" si="16"/>
        <v>#N/A</v>
      </c>
      <c r="AK30" s="75" t="e">
        <f t="shared" si="17"/>
        <v>#N/A</v>
      </c>
      <c r="AL30" s="150" t="e">
        <f t="shared" si="18"/>
        <v>#N/A</v>
      </c>
      <c r="AM30" s="149" t="e">
        <f t="shared" si="33"/>
        <v>#N/A</v>
      </c>
      <c r="AN30" s="76" t="e">
        <f t="shared" si="19"/>
        <v>#N/A</v>
      </c>
      <c r="AO30" s="75" t="e">
        <f t="shared" si="20"/>
        <v>#N/A</v>
      </c>
      <c r="AP30" s="76" t="e">
        <f t="shared" si="21"/>
        <v>#N/A</v>
      </c>
      <c r="AQ30" s="154" t="e">
        <f t="shared" si="22"/>
        <v>#N/A</v>
      </c>
      <c r="AR30" s="150" t="e">
        <f t="shared" si="23"/>
        <v>#N/A</v>
      </c>
      <c r="AS30" s="180" t="e">
        <f t="shared" si="24"/>
        <v>#N/A</v>
      </c>
      <c r="AT30" s="17">
        <v>104</v>
      </c>
      <c r="AU30" s="71">
        <f>VLOOKUP(AT30,'Summary-input'!A:D,4,0)</f>
        <v>1000</v>
      </c>
      <c r="AV30" s="54">
        <f t="shared" si="25"/>
        <v>897</v>
      </c>
      <c r="AW30" s="55"/>
      <c r="AX30" s="55"/>
      <c r="AY30" s="101"/>
      <c r="AZ30" s="102"/>
      <c r="BA30" s="103">
        <v>1</v>
      </c>
      <c r="BB30" s="62"/>
      <c r="BC30" s="64">
        <v>80</v>
      </c>
      <c r="BD30" s="64" t="s">
        <v>59</v>
      </c>
      <c r="BE30" s="64"/>
      <c r="BF30" s="64">
        <v>105</v>
      </c>
      <c r="BG30" s="64"/>
      <c r="BH30" s="102"/>
      <c r="BI30" s="182"/>
      <c r="BJ30" s="182" t="e">
        <f>VLOOKUP(AT30,'Summary-output-ULS'!$B:$H,7,0)</f>
        <v>#N/A</v>
      </c>
      <c r="BK30" s="182" t="e">
        <f>-VLOOKUP(AT30,'Summary-output-ULS'!$B:$H,5,0)</f>
        <v>#N/A</v>
      </c>
      <c r="BL30" s="182" t="e">
        <f>VLOOKUP(AT30,'Summary-output-SLS'!$B:$H,5,0)</f>
        <v>#N/A</v>
      </c>
      <c r="BM30" s="182" t="e">
        <f>VLOOKUP(AT30,'Summary-output-SLS'!$B:$H,6,0)</f>
        <v>#N/A</v>
      </c>
      <c r="BN30" s="182" t="e">
        <f>VLOOKUP(AT30,'Summary-output-SLS'!$B:$H,6,0)</f>
        <v>#N/A</v>
      </c>
      <c r="BO30" s="64"/>
      <c r="BP30" s="182" t="e">
        <f>VLOOKUP(AT30,'Summary-output-ULS'!$B:$H,4,0)</f>
        <v>#N/A</v>
      </c>
      <c r="BR30" s="174" t="e">
        <f t="shared" si="26"/>
        <v>#N/A</v>
      </c>
      <c r="BS30" s="175"/>
      <c r="BT30" s="176"/>
      <c r="BV30" s="188"/>
      <c r="BW30" s="188"/>
      <c r="BX30" s="188"/>
      <c r="BY30" s="188"/>
    </row>
    <row r="31" spans="1:77" x14ac:dyDescent="0.25">
      <c r="A31" s="184">
        <f t="shared" si="27"/>
        <v>105</v>
      </c>
      <c r="B31" s="151" t="str">
        <f>VLOOKUP(A31,'Summary-input'!A:B,2,0)</f>
        <v>L.WALL</v>
      </c>
      <c r="C31" s="179">
        <v>103</v>
      </c>
      <c r="D31" s="75"/>
      <c r="E31" s="147"/>
      <c r="F31" s="152" t="e">
        <f t="shared" si="28"/>
        <v>#N/A</v>
      </c>
      <c r="G31" s="76" t="e">
        <f t="shared" si="29"/>
        <v>#N/A</v>
      </c>
      <c r="H31" s="155" t="e">
        <f t="shared" si="30"/>
        <v>#N/A</v>
      </c>
      <c r="I31" s="152">
        <f t="shared" si="31"/>
        <v>1000</v>
      </c>
      <c r="J31" s="149" t="str">
        <f t="shared" si="32"/>
        <v>H</v>
      </c>
      <c r="K31" s="148">
        <v>40</v>
      </c>
      <c r="L31" s="75" t="str">
        <f t="shared" si="0"/>
        <v/>
      </c>
      <c r="M31" s="75" t="str">
        <f t="shared" si="1"/>
        <v/>
      </c>
      <c r="N31" s="148"/>
      <c r="O31" s="75" t="str">
        <f>IF(R31=0,"","+")</f>
        <v/>
      </c>
      <c r="P31" s="148"/>
      <c r="Q31" s="75" t="str">
        <f t="shared" si="2"/>
        <v/>
      </c>
      <c r="R31" s="153">
        <v>0</v>
      </c>
      <c r="S31" s="76">
        <f t="shared" si="3"/>
        <v>4188.7902047863909</v>
      </c>
      <c r="T31" s="75" t="str">
        <f t="shared" si="4"/>
        <v/>
      </c>
      <c r="U31" s="76">
        <f t="shared" si="5"/>
        <v>0</v>
      </c>
      <c r="V31" s="75" t="str">
        <f>IF(R31=0,"","+")</f>
        <v/>
      </c>
      <c r="W31" s="76">
        <f>IF(P31=0,PI()/4*R31^2*1000/$Z$18,PI()/4*R31^2*P31*1000/$Z$18)</f>
        <v>0</v>
      </c>
      <c r="X31" s="75" t="s">
        <v>22</v>
      </c>
      <c r="Y31" s="154">
        <f t="shared" si="6"/>
        <v>4188.7902047863909</v>
      </c>
      <c r="Z31" s="76">
        <f t="shared" si="7"/>
        <v>897</v>
      </c>
      <c r="AA31" s="151">
        <f t="shared" si="8"/>
        <v>0</v>
      </c>
      <c r="AB31" s="151">
        <f t="shared" si="9"/>
        <v>0</v>
      </c>
      <c r="AC31" s="76">
        <f t="shared" si="10"/>
        <v>897</v>
      </c>
      <c r="AD31" s="177" t="e">
        <f t="shared" si="11"/>
        <v>#N/A</v>
      </c>
      <c r="AE31" s="136">
        <f t="shared" si="12"/>
        <v>0.46697772628610817</v>
      </c>
      <c r="AF31" s="178" t="s">
        <v>43</v>
      </c>
      <c r="AG31" s="84">
        <f t="shared" si="13"/>
        <v>0.43513878646531268</v>
      </c>
      <c r="AH31" s="178" t="e">
        <f t="shared" si="14"/>
        <v>#N/A</v>
      </c>
      <c r="AI31" s="76">
        <f t="shared" si="15"/>
        <v>897000</v>
      </c>
      <c r="AJ31" s="156" t="e">
        <f t="shared" si="16"/>
        <v>#N/A</v>
      </c>
      <c r="AK31" s="75" t="e">
        <f t="shared" si="17"/>
        <v>#N/A</v>
      </c>
      <c r="AL31" s="150" t="e">
        <f t="shared" si="18"/>
        <v>#N/A</v>
      </c>
      <c r="AM31" s="149" t="e">
        <f t="shared" si="33"/>
        <v>#N/A</v>
      </c>
      <c r="AN31" s="76" t="e">
        <f t="shared" si="19"/>
        <v>#N/A</v>
      </c>
      <c r="AO31" s="75" t="e">
        <f t="shared" si="20"/>
        <v>#N/A</v>
      </c>
      <c r="AP31" s="76" t="e">
        <f t="shared" si="21"/>
        <v>#N/A</v>
      </c>
      <c r="AQ31" s="154" t="e">
        <f t="shared" si="22"/>
        <v>#N/A</v>
      </c>
      <c r="AR31" s="150" t="e">
        <f t="shared" si="23"/>
        <v>#N/A</v>
      </c>
      <c r="AS31" s="180" t="e">
        <f t="shared" si="24"/>
        <v>#N/A</v>
      </c>
      <c r="AT31" s="17">
        <v>105</v>
      </c>
      <c r="AU31" s="71">
        <f>VLOOKUP(AT31,'Summary-input'!A:D,4,0)</f>
        <v>1000</v>
      </c>
      <c r="AV31" s="54">
        <f t="shared" si="25"/>
        <v>897</v>
      </c>
      <c r="AW31" s="55"/>
      <c r="AX31" s="55"/>
      <c r="AY31" s="101"/>
      <c r="AZ31" s="102"/>
      <c r="BA31" s="103">
        <v>1</v>
      </c>
      <c r="BB31" s="62"/>
      <c r="BC31" s="64">
        <v>80</v>
      </c>
      <c r="BD31" s="64" t="s">
        <v>59</v>
      </c>
      <c r="BE31" s="64"/>
      <c r="BF31" s="64">
        <v>105</v>
      </c>
      <c r="BG31" s="64"/>
      <c r="BH31" s="102"/>
      <c r="BI31" s="182"/>
      <c r="BJ31" s="182" t="e">
        <f>VLOOKUP(AT31,'Summary-output-ULS'!$B:$H,7,0)</f>
        <v>#N/A</v>
      </c>
      <c r="BK31" s="182" t="e">
        <f>-VLOOKUP(AT31,'Summary-output-ULS'!$B:$H,5,0)</f>
        <v>#N/A</v>
      </c>
      <c r="BL31" s="182" t="e">
        <f>VLOOKUP(AT31,'Summary-output-SLS'!$B:$H,5,0)</f>
        <v>#N/A</v>
      </c>
      <c r="BM31" s="182" t="e">
        <f>VLOOKUP(AT31,'Summary-output-SLS'!$B:$H,6,0)</f>
        <v>#N/A</v>
      </c>
      <c r="BN31" s="182" t="e">
        <f>VLOOKUP(AT31,'Summary-output-SLS'!$B:$H,6,0)</f>
        <v>#N/A</v>
      </c>
      <c r="BO31" s="64"/>
      <c r="BP31" s="182" t="e">
        <f>VLOOKUP(AT31,'Summary-output-ULS'!$B:$H,4,0)</f>
        <v>#N/A</v>
      </c>
      <c r="BR31" s="174" t="e">
        <f t="shared" si="26"/>
        <v>#N/A</v>
      </c>
      <c r="BS31" s="175"/>
      <c r="BT31" s="176"/>
      <c r="BV31" s="188"/>
      <c r="BW31" s="188"/>
      <c r="BX31" s="188"/>
      <c r="BY31" s="188"/>
    </row>
    <row r="32" spans="1:77" x14ac:dyDescent="0.25">
      <c r="A32" s="184">
        <f t="shared" si="27"/>
        <v>106</v>
      </c>
      <c r="B32" s="151" t="str">
        <f>VLOOKUP(A32,'Summary-input'!A:B,2,0)</f>
        <v>L.WALL</v>
      </c>
      <c r="C32" s="179">
        <v>103</v>
      </c>
      <c r="D32" s="75"/>
      <c r="E32" s="147"/>
      <c r="F32" s="152" t="e">
        <f t="shared" si="28"/>
        <v>#N/A</v>
      </c>
      <c r="G32" s="76" t="e">
        <f t="shared" si="29"/>
        <v>#N/A</v>
      </c>
      <c r="H32" s="155" t="e">
        <f t="shared" si="30"/>
        <v>#N/A</v>
      </c>
      <c r="I32" s="152">
        <f t="shared" si="31"/>
        <v>1000</v>
      </c>
      <c r="J32" s="149" t="str">
        <f t="shared" si="32"/>
        <v>H</v>
      </c>
      <c r="K32" s="148">
        <v>40</v>
      </c>
      <c r="L32" s="75" t="str">
        <f t="shared" si="0"/>
        <v/>
      </c>
      <c r="M32" s="75" t="str">
        <f t="shared" si="1"/>
        <v/>
      </c>
      <c r="N32" s="148"/>
      <c r="O32" s="75" t="str">
        <f>IF(R32=0,"","+")</f>
        <v/>
      </c>
      <c r="P32" s="148"/>
      <c r="Q32" s="75" t="str">
        <f t="shared" si="2"/>
        <v/>
      </c>
      <c r="R32" s="153">
        <v>0</v>
      </c>
      <c r="S32" s="76">
        <f t="shared" si="3"/>
        <v>4188.7902047863909</v>
      </c>
      <c r="T32" s="75" t="str">
        <f t="shared" si="4"/>
        <v/>
      </c>
      <c r="U32" s="76">
        <f t="shared" si="5"/>
        <v>0</v>
      </c>
      <c r="V32" s="75" t="str">
        <f>IF(R32=0,"","+")</f>
        <v/>
      </c>
      <c r="W32" s="76">
        <f>IF(P32=0,PI()/4*R32^2*1000/$Z$18,PI()/4*R32^2*P32*1000/$Z$18)</f>
        <v>0</v>
      </c>
      <c r="X32" s="75" t="s">
        <v>22</v>
      </c>
      <c r="Y32" s="154">
        <f t="shared" si="6"/>
        <v>4188.7902047863909</v>
      </c>
      <c r="Z32" s="76">
        <f t="shared" si="7"/>
        <v>897</v>
      </c>
      <c r="AA32" s="151">
        <f t="shared" si="8"/>
        <v>0</v>
      </c>
      <c r="AB32" s="151">
        <f t="shared" si="9"/>
        <v>0</v>
      </c>
      <c r="AC32" s="76">
        <f t="shared" si="10"/>
        <v>897</v>
      </c>
      <c r="AD32" s="177" t="e">
        <f t="shared" si="11"/>
        <v>#N/A</v>
      </c>
      <c r="AE32" s="136">
        <f t="shared" si="12"/>
        <v>0.46697772628610817</v>
      </c>
      <c r="AF32" s="178" t="s">
        <v>43</v>
      </c>
      <c r="AG32" s="84">
        <f t="shared" si="13"/>
        <v>0.43513878646531268</v>
      </c>
      <c r="AH32" s="178" t="e">
        <f t="shared" si="14"/>
        <v>#N/A</v>
      </c>
      <c r="AI32" s="76">
        <f t="shared" si="15"/>
        <v>897000</v>
      </c>
      <c r="AJ32" s="156" t="e">
        <f t="shared" si="16"/>
        <v>#N/A</v>
      </c>
      <c r="AK32" s="75" t="e">
        <f t="shared" si="17"/>
        <v>#N/A</v>
      </c>
      <c r="AL32" s="150" t="e">
        <f t="shared" si="18"/>
        <v>#N/A</v>
      </c>
      <c r="AM32" s="149" t="e">
        <f t="shared" si="33"/>
        <v>#N/A</v>
      </c>
      <c r="AN32" s="76" t="e">
        <f t="shared" si="19"/>
        <v>#N/A</v>
      </c>
      <c r="AO32" s="75" t="e">
        <f t="shared" si="20"/>
        <v>#N/A</v>
      </c>
      <c r="AP32" s="76" t="e">
        <f t="shared" si="21"/>
        <v>#N/A</v>
      </c>
      <c r="AQ32" s="154" t="e">
        <f t="shared" si="22"/>
        <v>#N/A</v>
      </c>
      <c r="AR32" s="150" t="e">
        <f t="shared" si="23"/>
        <v>#N/A</v>
      </c>
      <c r="AS32" s="180" t="e">
        <f t="shared" si="24"/>
        <v>#N/A</v>
      </c>
      <c r="AT32" s="17">
        <v>106</v>
      </c>
      <c r="AU32" s="71">
        <f>VLOOKUP(AT32,'Summary-input'!A:D,4,0)</f>
        <v>1000</v>
      </c>
      <c r="AV32" s="54">
        <f t="shared" si="25"/>
        <v>897</v>
      </c>
      <c r="AW32" s="55"/>
      <c r="AX32" s="55"/>
      <c r="AY32" s="101"/>
      <c r="AZ32" s="102"/>
      <c r="BA32" s="103">
        <v>1</v>
      </c>
      <c r="BB32" s="62"/>
      <c r="BC32" s="64">
        <v>80</v>
      </c>
      <c r="BD32" s="64" t="s">
        <v>59</v>
      </c>
      <c r="BE32" s="64"/>
      <c r="BF32" s="64">
        <v>101</v>
      </c>
      <c r="BG32" s="64"/>
      <c r="BH32" s="102"/>
      <c r="BI32" s="182"/>
      <c r="BJ32" s="182" t="e">
        <f>VLOOKUP(AT32,'Summary-output-ULS'!$B:$H,7,0)</f>
        <v>#N/A</v>
      </c>
      <c r="BK32" s="182" t="e">
        <f>-VLOOKUP(AT32,'Summary-output-ULS'!$B:$H,5,0)</f>
        <v>#N/A</v>
      </c>
      <c r="BL32" s="182" t="e">
        <f>VLOOKUP(AT32,'Summary-output-SLS'!$B:$H,5,0)</f>
        <v>#N/A</v>
      </c>
      <c r="BM32" s="182" t="e">
        <f>VLOOKUP(AT32,'Summary-output-SLS'!$B:$H,6,0)</f>
        <v>#N/A</v>
      </c>
      <c r="BN32" s="182" t="e">
        <f>VLOOKUP(AT32,'Summary-output-SLS'!$B:$H,6,0)</f>
        <v>#N/A</v>
      </c>
      <c r="BO32" s="64"/>
      <c r="BP32" s="182" t="e">
        <f>VLOOKUP(AT32,'Summary-output-ULS'!$B:$H,4,0)</f>
        <v>#N/A</v>
      </c>
      <c r="BR32" s="174" t="e">
        <f t="shared" si="26"/>
        <v>#N/A</v>
      </c>
      <c r="BS32" s="175"/>
      <c r="BT32" s="176"/>
      <c r="BV32" s="188"/>
      <c r="BW32" s="188"/>
      <c r="BX32" s="188"/>
      <c r="BY32" s="188"/>
    </row>
    <row r="33" spans="1:77" x14ac:dyDescent="0.25">
      <c r="A33" s="184">
        <f t="shared" si="27"/>
        <v>107</v>
      </c>
      <c r="B33" s="151" t="str">
        <f>VLOOKUP(A33,'Summary-input'!A:B,2,0)</f>
        <v>L.WALL</v>
      </c>
      <c r="C33" s="179">
        <v>105</v>
      </c>
      <c r="D33" s="75"/>
      <c r="E33" s="147"/>
      <c r="F33" s="152" t="e">
        <f t="shared" si="28"/>
        <v>#N/A</v>
      </c>
      <c r="G33" s="76" t="e">
        <f t="shared" si="29"/>
        <v>#N/A</v>
      </c>
      <c r="H33" s="155" t="e">
        <f t="shared" si="30"/>
        <v>#N/A</v>
      </c>
      <c r="I33" s="152">
        <f t="shared" si="31"/>
        <v>1000</v>
      </c>
      <c r="J33" s="149" t="str">
        <f t="shared" si="32"/>
        <v>H</v>
      </c>
      <c r="K33" s="148">
        <v>40</v>
      </c>
      <c r="L33" s="75" t="str">
        <f t="shared" si="0"/>
        <v/>
      </c>
      <c r="M33" s="75" t="str">
        <f t="shared" si="1"/>
        <v/>
      </c>
      <c r="N33" s="148"/>
      <c r="O33" s="75" t="str">
        <f>IF(R33=0,"","+")</f>
        <v/>
      </c>
      <c r="P33" s="148"/>
      <c r="Q33" s="75" t="str">
        <f t="shared" si="2"/>
        <v/>
      </c>
      <c r="R33" s="153">
        <v>0</v>
      </c>
      <c r="S33" s="76">
        <f t="shared" si="3"/>
        <v>4188.7902047863909</v>
      </c>
      <c r="T33" s="75" t="str">
        <f t="shared" si="4"/>
        <v/>
      </c>
      <c r="U33" s="76">
        <f t="shared" si="5"/>
        <v>0</v>
      </c>
      <c r="V33" s="75" t="str">
        <f>IF(R33=0,"","+")</f>
        <v/>
      </c>
      <c r="W33" s="76">
        <f>IF(P33=0,PI()/4*R33^2*1000/$Z$18,PI()/4*R33^2*P33*1000/$Z$18)</f>
        <v>0</v>
      </c>
      <c r="X33" s="75" t="s">
        <v>22</v>
      </c>
      <c r="Y33" s="154">
        <f t="shared" si="6"/>
        <v>4188.7902047863909</v>
      </c>
      <c r="Z33" s="76">
        <f t="shared" si="7"/>
        <v>897</v>
      </c>
      <c r="AA33" s="151">
        <f t="shared" si="8"/>
        <v>0</v>
      </c>
      <c r="AB33" s="151">
        <f t="shared" si="9"/>
        <v>0</v>
      </c>
      <c r="AC33" s="76">
        <f t="shared" si="10"/>
        <v>897</v>
      </c>
      <c r="AD33" s="177" t="e">
        <f t="shared" si="11"/>
        <v>#N/A</v>
      </c>
      <c r="AE33" s="136">
        <f t="shared" si="12"/>
        <v>0.46697772628610817</v>
      </c>
      <c r="AF33" s="178" t="s">
        <v>43</v>
      </c>
      <c r="AG33" s="84">
        <f t="shared" si="13"/>
        <v>0.43513878646531268</v>
      </c>
      <c r="AH33" s="178" t="e">
        <f t="shared" si="14"/>
        <v>#N/A</v>
      </c>
      <c r="AI33" s="76">
        <f t="shared" si="15"/>
        <v>897000</v>
      </c>
      <c r="AJ33" s="156" t="e">
        <f t="shared" si="16"/>
        <v>#N/A</v>
      </c>
      <c r="AK33" s="75" t="e">
        <f t="shared" si="17"/>
        <v>#N/A</v>
      </c>
      <c r="AL33" s="150" t="e">
        <f t="shared" si="18"/>
        <v>#N/A</v>
      </c>
      <c r="AM33" s="149" t="e">
        <f t="shared" si="33"/>
        <v>#N/A</v>
      </c>
      <c r="AN33" s="76" t="e">
        <f t="shared" si="19"/>
        <v>#N/A</v>
      </c>
      <c r="AO33" s="147" t="e">
        <f t="shared" si="20"/>
        <v>#N/A</v>
      </c>
      <c r="AP33" s="76" t="e">
        <f t="shared" si="21"/>
        <v>#N/A</v>
      </c>
      <c r="AQ33" s="154" t="e">
        <f t="shared" si="22"/>
        <v>#N/A</v>
      </c>
      <c r="AR33" s="150" t="e">
        <f t="shared" si="23"/>
        <v>#N/A</v>
      </c>
      <c r="AS33" s="180" t="e">
        <f t="shared" si="24"/>
        <v>#N/A</v>
      </c>
      <c r="AT33" s="17">
        <v>107</v>
      </c>
      <c r="AU33" s="71">
        <f>VLOOKUP(AT33,'Summary-input'!A:D,4,0)</f>
        <v>1000</v>
      </c>
      <c r="AV33" s="54">
        <f t="shared" si="25"/>
        <v>897</v>
      </c>
      <c r="AW33" s="55"/>
      <c r="AX33" s="55"/>
      <c r="AY33" s="101"/>
      <c r="AZ33" s="102"/>
      <c r="BA33" s="103">
        <v>1</v>
      </c>
      <c r="BB33" s="62"/>
      <c r="BC33" s="64">
        <v>79</v>
      </c>
      <c r="BD33" s="64" t="s">
        <v>59</v>
      </c>
      <c r="BE33" s="64"/>
      <c r="BF33" s="64">
        <v>114</v>
      </c>
      <c r="BG33" s="64"/>
      <c r="BH33" s="102"/>
      <c r="BI33" s="182"/>
      <c r="BJ33" s="182" t="e">
        <f>VLOOKUP(AT33,'Summary-output-ULS'!$B:$H,7,0)</f>
        <v>#N/A</v>
      </c>
      <c r="BK33" s="182" t="e">
        <f>-VLOOKUP(AT33,'Summary-output-ULS'!$B:$H,5,0)</f>
        <v>#N/A</v>
      </c>
      <c r="BL33" s="182" t="e">
        <f>VLOOKUP(AT33,'Summary-output-SLS'!$B:$H,5,0)</f>
        <v>#N/A</v>
      </c>
      <c r="BM33" s="182" t="e">
        <f>VLOOKUP(AT33,'Summary-output-SLS'!$B:$H,6,0)</f>
        <v>#N/A</v>
      </c>
      <c r="BN33" s="182" t="e">
        <f>VLOOKUP(AT33,'Summary-output-SLS'!$B:$H,6,0)</f>
        <v>#N/A</v>
      </c>
      <c r="BO33" s="64"/>
      <c r="BP33" s="182" t="e">
        <f>VLOOKUP(AT33,'Summary-output-ULS'!$B:$H,4,0)</f>
        <v>#N/A</v>
      </c>
      <c r="BR33" s="174" t="e">
        <f t="shared" si="26"/>
        <v>#N/A</v>
      </c>
      <c r="BS33" s="175"/>
      <c r="BT33" s="176"/>
      <c r="BV33" s="188"/>
      <c r="BW33" s="188"/>
      <c r="BX33" s="188"/>
      <c r="BY33" s="188"/>
    </row>
    <row r="34" spans="1:77" x14ac:dyDescent="0.25">
      <c r="A34" s="184">
        <f t="shared" si="27"/>
        <v>108</v>
      </c>
      <c r="B34" s="151" t="str">
        <f>VLOOKUP(A34,'Summary-input'!A:B,2,0)</f>
        <v>L.WALL</v>
      </c>
      <c r="C34" s="179">
        <v>105</v>
      </c>
      <c r="D34" s="75"/>
      <c r="E34" s="147"/>
      <c r="F34" s="152" t="e">
        <f t="shared" si="28"/>
        <v>#N/A</v>
      </c>
      <c r="G34" s="76" t="e">
        <f t="shared" si="29"/>
        <v>#N/A</v>
      </c>
      <c r="H34" s="155" t="e">
        <f t="shared" si="30"/>
        <v>#N/A</v>
      </c>
      <c r="I34" s="152">
        <f t="shared" si="31"/>
        <v>1000</v>
      </c>
      <c r="J34" s="149" t="str">
        <f t="shared" si="32"/>
        <v>H</v>
      </c>
      <c r="K34" s="148">
        <v>40</v>
      </c>
      <c r="L34" s="75" t="str">
        <f t="shared" si="0"/>
        <v/>
      </c>
      <c r="M34" s="75" t="str">
        <f t="shared" si="1"/>
        <v/>
      </c>
      <c r="N34" s="148"/>
      <c r="O34" s="75" t="str">
        <f>IF(R34=0,"","+")</f>
        <v/>
      </c>
      <c r="P34" s="148"/>
      <c r="Q34" s="75" t="str">
        <f t="shared" si="2"/>
        <v/>
      </c>
      <c r="R34" s="153"/>
      <c r="S34" s="76">
        <f t="shared" si="3"/>
        <v>4188.7902047863909</v>
      </c>
      <c r="T34" s="75" t="str">
        <f t="shared" si="4"/>
        <v/>
      </c>
      <c r="U34" s="76">
        <f t="shared" si="5"/>
        <v>0</v>
      </c>
      <c r="V34" s="75" t="str">
        <f>IF(R34=0,"","+")</f>
        <v/>
      </c>
      <c r="W34" s="76">
        <f>IF(P34=0,PI()/4*R34^2*1000/$Z$18,PI()/4*R34^2*P34*1000/$Z$18)</f>
        <v>0</v>
      </c>
      <c r="X34" s="75" t="s">
        <v>22</v>
      </c>
      <c r="Y34" s="154">
        <f t="shared" si="6"/>
        <v>4188.7902047863909</v>
      </c>
      <c r="Z34" s="76">
        <f t="shared" si="7"/>
        <v>897</v>
      </c>
      <c r="AA34" s="151">
        <f t="shared" si="8"/>
        <v>0</v>
      </c>
      <c r="AB34" s="151">
        <f t="shared" si="9"/>
        <v>0</v>
      </c>
      <c r="AC34" s="76">
        <f t="shared" si="10"/>
        <v>897</v>
      </c>
      <c r="AD34" s="177" t="e">
        <f t="shared" si="11"/>
        <v>#N/A</v>
      </c>
      <c r="AE34" s="136">
        <f t="shared" si="12"/>
        <v>0.46697772628610817</v>
      </c>
      <c r="AF34" s="178" t="s">
        <v>43</v>
      </c>
      <c r="AG34" s="84">
        <f t="shared" si="13"/>
        <v>0.43513878646531268</v>
      </c>
      <c r="AH34" s="178" t="e">
        <f t="shared" si="14"/>
        <v>#N/A</v>
      </c>
      <c r="AI34" s="76">
        <f t="shared" si="15"/>
        <v>897000</v>
      </c>
      <c r="AJ34" s="156" t="e">
        <f t="shared" si="16"/>
        <v>#N/A</v>
      </c>
      <c r="AK34" s="75" t="e">
        <f t="shared" si="17"/>
        <v>#N/A</v>
      </c>
      <c r="AL34" s="150" t="e">
        <f t="shared" si="18"/>
        <v>#N/A</v>
      </c>
      <c r="AM34" s="149" t="e">
        <f t="shared" si="33"/>
        <v>#N/A</v>
      </c>
      <c r="AN34" s="76" t="e">
        <f t="shared" si="19"/>
        <v>#N/A</v>
      </c>
      <c r="AO34" s="147" t="e">
        <f t="shared" si="20"/>
        <v>#N/A</v>
      </c>
      <c r="AP34" s="76" t="e">
        <f t="shared" si="21"/>
        <v>#N/A</v>
      </c>
      <c r="AQ34" s="154" t="e">
        <f t="shared" si="22"/>
        <v>#N/A</v>
      </c>
      <c r="AR34" s="150" t="e">
        <f t="shared" si="23"/>
        <v>#N/A</v>
      </c>
      <c r="AS34" s="180" t="e">
        <f t="shared" si="24"/>
        <v>#N/A</v>
      </c>
      <c r="AT34" s="17">
        <v>108</v>
      </c>
      <c r="AU34" s="71">
        <f>VLOOKUP(AT34,'Summary-input'!A:D,4,0)</f>
        <v>1000</v>
      </c>
      <c r="AV34" s="54">
        <f t="shared" si="25"/>
        <v>897</v>
      </c>
      <c r="AW34" s="55"/>
      <c r="AX34" s="55"/>
      <c r="AY34" s="101"/>
      <c r="AZ34" s="102"/>
      <c r="BA34" s="103">
        <v>1</v>
      </c>
      <c r="BB34" s="62"/>
      <c r="BC34" s="64">
        <v>78</v>
      </c>
      <c r="BD34" s="64" t="s">
        <v>59</v>
      </c>
      <c r="BE34" s="64"/>
      <c r="BF34" s="64">
        <v>105</v>
      </c>
      <c r="BG34" s="64"/>
      <c r="BH34" s="102"/>
      <c r="BI34" s="182"/>
      <c r="BJ34" s="182" t="e">
        <f>VLOOKUP(AT34,'Summary-output-ULS'!$B:$H,7,0)</f>
        <v>#N/A</v>
      </c>
      <c r="BK34" s="182" t="e">
        <f>-VLOOKUP(AT34,'Summary-output-ULS'!$B:$H,5,0)</f>
        <v>#N/A</v>
      </c>
      <c r="BL34" s="182" t="e">
        <f>VLOOKUP(AT34,'Summary-output-SLS'!$B:$H,5,0)</f>
        <v>#N/A</v>
      </c>
      <c r="BM34" s="182" t="e">
        <f>VLOOKUP(AT34,'Summary-output-SLS'!$B:$H,6,0)</f>
        <v>#N/A</v>
      </c>
      <c r="BN34" s="182" t="e">
        <f>VLOOKUP(AT34,'Summary-output-SLS'!$B:$H,6,0)</f>
        <v>#N/A</v>
      </c>
      <c r="BO34" s="64"/>
      <c r="BP34" s="182" t="e">
        <f>VLOOKUP(AT34,'Summary-output-ULS'!$B:$H,4,0)</f>
        <v>#N/A</v>
      </c>
      <c r="BR34" s="174" t="e">
        <f t="shared" si="26"/>
        <v>#N/A</v>
      </c>
      <c r="BS34" s="175"/>
      <c r="BT34" s="176"/>
      <c r="BV34" s="188"/>
      <c r="BW34" s="188"/>
      <c r="BX34" s="188"/>
      <c r="BY34" s="188"/>
    </row>
    <row r="35" spans="1:77" x14ac:dyDescent="0.25">
      <c r="A35" s="184">
        <f t="shared" si="27"/>
        <v>109</v>
      </c>
      <c r="B35" s="151" t="str">
        <f>VLOOKUP(A35,'Summary-input'!A:B,2,0)</f>
        <v>L.WALL</v>
      </c>
      <c r="C35" s="179">
        <v>105</v>
      </c>
      <c r="D35" s="75"/>
      <c r="E35" s="147"/>
      <c r="F35" s="152" t="e">
        <f t="shared" si="28"/>
        <v>#N/A</v>
      </c>
      <c r="G35" s="76" t="e">
        <f t="shared" si="29"/>
        <v>#N/A</v>
      </c>
      <c r="H35" s="155" t="e">
        <f t="shared" si="30"/>
        <v>#N/A</v>
      </c>
      <c r="I35" s="152">
        <f t="shared" si="31"/>
        <v>1000</v>
      </c>
      <c r="J35" s="149" t="str">
        <f t="shared" si="32"/>
        <v>H</v>
      </c>
      <c r="K35" s="148">
        <v>40</v>
      </c>
      <c r="L35" s="75" t="str">
        <f t="shared" si="0"/>
        <v/>
      </c>
      <c r="M35" s="75" t="str">
        <f t="shared" si="1"/>
        <v/>
      </c>
      <c r="N35" s="148"/>
      <c r="O35" s="75"/>
      <c r="P35" s="148"/>
      <c r="Q35" s="75" t="str">
        <f t="shared" si="2"/>
        <v/>
      </c>
      <c r="R35" s="153"/>
      <c r="S35" s="76">
        <f t="shared" si="3"/>
        <v>4188.7902047863909</v>
      </c>
      <c r="T35" s="75" t="str">
        <f t="shared" si="4"/>
        <v/>
      </c>
      <c r="U35" s="76">
        <f t="shared" si="5"/>
        <v>0</v>
      </c>
      <c r="V35" s="75"/>
      <c r="W35" s="76"/>
      <c r="X35" s="75" t="s">
        <v>22</v>
      </c>
      <c r="Y35" s="154">
        <f t="shared" si="6"/>
        <v>4188.7902047863909</v>
      </c>
      <c r="Z35" s="76">
        <f t="shared" si="7"/>
        <v>897</v>
      </c>
      <c r="AA35" s="151">
        <f t="shared" si="8"/>
        <v>0</v>
      </c>
      <c r="AB35" s="151">
        <f t="shared" si="9"/>
        <v>0</v>
      </c>
      <c r="AC35" s="76">
        <f t="shared" si="10"/>
        <v>897</v>
      </c>
      <c r="AD35" s="177" t="e">
        <f t="shared" si="11"/>
        <v>#N/A</v>
      </c>
      <c r="AE35" s="136">
        <f t="shared" si="12"/>
        <v>0.46697772628610817</v>
      </c>
      <c r="AF35" s="178" t="s">
        <v>43</v>
      </c>
      <c r="AG35" s="84">
        <f t="shared" si="13"/>
        <v>0.43513878646531268</v>
      </c>
      <c r="AH35" s="178" t="e">
        <f t="shared" si="14"/>
        <v>#N/A</v>
      </c>
      <c r="AI35" s="76">
        <f t="shared" si="15"/>
        <v>897000</v>
      </c>
      <c r="AJ35" s="156" t="e">
        <f t="shared" si="16"/>
        <v>#N/A</v>
      </c>
      <c r="AK35" s="75" t="e">
        <f t="shared" si="17"/>
        <v>#N/A</v>
      </c>
      <c r="AL35" s="150" t="e">
        <f t="shared" si="18"/>
        <v>#N/A</v>
      </c>
      <c r="AM35" s="149" t="e">
        <f t="shared" si="33"/>
        <v>#N/A</v>
      </c>
      <c r="AN35" s="76" t="e">
        <f t="shared" si="19"/>
        <v>#N/A</v>
      </c>
      <c r="AO35" s="147" t="e">
        <f t="shared" si="20"/>
        <v>#N/A</v>
      </c>
      <c r="AP35" s="76" t="e">
        <f t="shared" si="21"/>
        <v>#N/A</v>
      </c>
      <c r="AQ35" s="154" t="e">
        <f t="shared" si="22"/>
        <v>#N/A</v>
      </c>
      <c r="AR35" s="150" t="e">
        <f t="shared" si="23"/>
        <v>#N/A</v>
      </c>
      <c r="AS35" s="180" t="e">
        <f t="shared" si="24"/>
        <v>#N/A</v>
      </c>
      <c r="AT35" s="17">
        <v>109</v>
      </c>
      <c r="AU35" s="71">
        <f>VLOOKUP(AT35,'Summary-input'!A:D,4,0)</f>
        <v>1000</v>
      </c>
      <c r="AV35" s="54">
        <f t="shared" si="25"/>
        <v>897</v>
      </c>
      <c r="AW35" s="55"/>
      <c r="AX35" s="55"/>
      <c r="AY35" s="101"/>
      <c r="AZ35" s="102"/>
      <c r="BA35" s="103">
        <v>1</v>
      </c>
      <c r="BB35" s="62"/>
      <c r="BC35" s="64">
        <v>77</v>
      </c>
      <c r="BD35" s="16" t="s">
        <v>59</v>
      </c>
      <c r="BE35" s="64"/>
      <c r="BF35" s="64">
        <v>103</v>
      </c>
      <c r="BG35" s="64"/>
      <c r="BH35" s="102"/>
      <c r="BI35" s="182"/>
      <c r="BJ35" s="182" t="e">
        <f>VLOOKUP(AT35,'Summary-output-ULS'!$B:$H,7,0)</f>
        <v>#N/A</v>
      </c>
      <c r="BK35" s="182" t="e">
        <f>-VLOOKUP(AT35,'Summary-output-ULS'!$B:$H,5,0)</f>
        <v>#N/A</v>
      </c>
      <c r="BL35" s="182" t="e">
        <f>VLOOKUP(AT35,'Summary-output-SLS'!$B:$H,5,0)</f>
        <v>#N/A</v>
      </c>
      <c r="BM35" s="182" t="e">
        <f>VLOOKUP(AT35,'Summary-output-SLS'!$B:$H,6,0)</f>
        <v>#N/A</v>
      </c>
      <c r="BN35" s="182" t="e">
        <f>VLOOKUP(AT35,'Summary-output-SLS'!$B:$H,6,0)</f>
        <v>#N/A</v>
      </c>
      <c r="BO35" s="64"/>
      <c r="BP35" s="182" t="e">
        <f>VLOOKUP(AT35,'Summary-output-ULS'!$B:$H,4,0)</f>
        <v>#N/A</v>
      </c>
      <c r="BR35" s="174" t="e">
        <f t="shared" si="26"/>
        <v>#N/A</v>
      </c>
      <c r="BS35" s="175"/>
      <c r="BT35" s="176"/>
      <c r="BV35" s="188"/>
      <c r="BW35" s="188"/>
      <c r="BX35" s="188"/>
      <c r="BY35" s="188"/>
    </row>
    <row r="36" spans="1:77" x14ac:dyDescent="0.25">
      <c r="A36" s="184">
        <f t="shared" si="27"/>
        <v>76</v>
      </c>
      <c r="B36" s="151" t="str">
        <f>VLOOKUP(A36,'Summary-input'!A:B,2,0)</f>
        <v>ROOF</v>
      </c>
      <c r="C36" s="179">
        <v>105</v>
      </c>
      <c r="D36" s="75"/>
      <c r="E36" s="147"/>
      <c r="F36" s="152">
        <f t="shared" si="28"/>
        <v>121.30431603380856</v>
      </c>
      <c r="G36" s="76">
        <f t="shared" si="29"/>
        <v>2243.7092913645042</v>
      </c>
      <c r="H36" s="155">
        <f t="shared" si="30"/>
        <v>-863.17150809225461</v>
      </c>
      <c r="I36" s="152">
        <f t="shared" si="31"/>
        <v>1000</v>
      </c>
      <c r="J36" s="149" t="str">
        <f t="shared" si="32"/>
        <v>H</v>
      </c>
      <c r="K36" s="148">
        <v>40</v>
      </c>
      <c r="L36" s="75" t="str">
        <f t="shared" si="0"/>
        <v/>
      </c>
      <c r="M36" s="75" t="str">
        <f t="shared" si="1"/>
        <v/>
      </c>
      <c r="N36" s="148"/>
      <c r="O36" s="75" t="str">
        <f>IF(R36=0,"","+")</f>
        <v/>
      </c>
      <c r="P36" s="148"/>
      <c r="Q36" s="75" t="str">
        <f t="shared" si="2"/>
        <v/>
      </c>
      <c r="R36" s="153">
        <v>0</v>
      </c>
      <c r="S36" s="76">
        <f t="shared" si="3"/>
        <v>4188.7902047863909</v>
      </c>
      <c r="T36" s="75" t="str">
        <f t="shared" si="4"/>
        <v/>
      </c>
      <c r="U36" s="76">
        <f t="shared" si="5"/>
        <v>0</v>
      </c>
      <c r="V36" s="75" t="str">
        <f>IF(R36=0,"","+")</f>
        <v/>
      </c>
      <c r="W36" s="76">
        <f>IF(P36=0,PI()/4*R36^2*1000/$Z$18,PI()/4*R36^2*P36*1000/$Z$18)</f>
        <v>0</v>
      </c>
      <c r="X36" s="75" t="s">
        <v>22</v>
      </c>
      <c r="Y36" s="154">
        <f t="shared" si="6"/>
        <v>4188.7902047863909</v>
      </c>
      <c r="Z36" s="76">
        <f t="shared" si="7"/>
        <v>897</v>
      </c>
      <c r="AA36" s="151">
        <f t="shared" si="8"/>
        <v>0</v>
      </c>
      <c r="AB36" s="151">
        <f t="shared" si="9"/>
        <v>0</v>
      </c>
      <c r="AC36" s="76">
        <f t="shared" si="10"/>
        <v>897</v>
      </c>
      <c r="AD36" s="177">
        <f t="shared" si="11"/>
        <v>0.13523335120825927</v>
      </c>
      <c r="AE36" s="136">
        <f t="shared" si="12"/>
        <v>0.46697772628610817</v>
      </c>
      <c r="AF36" s="178" t="s">
        <v>43</v>
      </c>
      <c r="AG36" s="84">
        <f t="shared" si="13"/>
        <v>0.43513878646531268</v>
      </c>
      <c r="AH36" s="178">
        <f t="shared" si="14"/>
        <v>21.8</v>
      </c>
      <c r="AI36" s="76">
        <f t="shared" si="15"/>
        <v>897000</v>
      </c>
      <c r="AJ36" s="156">
        <f t="shared" si="16"/>
        <v>0.81034100910151741</v>
      </c>
      <c r="AK36" s="75" t="str">
        <f t="shared" si="17"/>
        <v>V ≤ Vc</v>
      </c>
      <c r="AL36" s="150" t="str">
        <f t="shared" si="18"/>
        <v>0</v>
      </c>
      <c r="AM36" s="149">
        <f t="shared" si="33"/>
        <v>0</v>
      </c>
      <c r="AN36" s="76">
        <f t="shared" si="19"/>
        <v>0</v>
      </c>
      <c r="AO36" s="75">
        <f t="shared" si="20"/>
        <v>0</v>
      </c>
      <c r="AP36" s="76">
        <f t="shared" si="21"/>
        <v>0</v>
      </c>
      <c r="AQ36" s="154">
        <f t="shared" si="22"/>
        <v>0</v>
      </c>
      <c r="AR36" s="150" t="str">
        <f t="shared" si="23"/>
        <v>OK</v>
      </c>
      <c r="AS36" s="180" t="str">
        <f t="shared" si="24"/>
        <v>No Stirrups Required</v>
      </c>
      <c r="AT36" s="17">
        <v>76</v>
      </c>
      <c r="AU36" s="71">
        <f>VLOOKUP(AT36,'Summary-input'!A:D,4,0)</f>
        <v>1000</v>
      </c>
      <c r="AV36" s="54">
        <f t="shared" si="25"/>
        <v>897</v>
      </c>
      <c r="AW36" s="55"/>
      <c r="AX36" s="55"/>
      <c r="AY36" s="101"/>
      <c r="AZ36" s="102"/>
      <c r="BA36" s="103">
        <v>1</v>
      </c>
      <c r="BB36" s="62"/>
      <c r="BC36" s="64">
        <v>80</v>
      </c>
      <c r="BD36" s="64" t="s">
        <v>59</v>
      </c>
      <c r="BE36" s="64"/>
      <c r="BF36" s="64">
        <v>105</v>
      </c>
      <c r="BG36" s="64"/>
      <c r="BH36" s="102"/>
      <c r="BI36" s="182"/>
      <c r="BJ36" s="182">
        <f>VLOOKUP(AT36,'Summary-output-ULS'!$B:$H,7,0)</f>
        <v>-121.30431603380856</v>
      </c>
      <c r="BK36" s="182">
        <f>-VLOOKUP(AT36,'Summary-output-ULS'!$B:$H,5,0)</f>
        <v>2243.7092913645042</v>
      </c>
      <c r="BL36" s="182">
        <f>VLOOKUP(AT36,'Summary-output-SLS'!$B:$H,5,0)</f>
        <v>-1644.13268371349</v>
      </c>
      <c r="BM36" s="182">
        <f>VLOOKUP(AT36,'Summary-output-SLS'!$B:$H,6,0)</f>
        <v>-863.17150809225461</v>
      </c>
      <c r="BN36" s="182">
        <f>VLOOKUP(AT36,'Summary-output-SLS'!$B:$H,6,0)</f>
        <v>-863.17150809225461</v>
      </c>
      <c r="BO36" s="64"/>
      <c r="BP36" s="182">
        <f>VLOOKUP(AT36,'Summary-output-ULS'!$B:$H,4,0)</f>
        <v>103</v>
      </c>
      <c r="BR36" s="174">
        <f t="shared" si="26"/>
        <v>726.87588516406106</v>
      </c>
      <c r="BS36" s="175"/>
      <c r="BT36" s="176"/>
      <c r="BV36" s="188"/>
      <c r="BW36" s="188"/>
      <c r="BX36" s="188"/>
      <c r="BY36" s="188"/>
    </row>
    <row r="37" spans="1:77" x14ac:dyDescent="0.25">
      <c r="A37" s="184">
        <f t="shared" si="27"/>
        <v>77</v>
      </c>
      <c r="B37" s="151" t="str">
        <f>VLOOKUP(A37,'Summary-input'!A:B,2,0)</f>
        <v>ROOF</v>
      </c>
      <c r="C37" s="179">
        <v>103</v>
      </c>
      <c r="D37" s="75"/>
      <c r="E37" s="147"/>
      <c r="F37" s="152">
        <f t="shared" si="28"/>
        <v>121.30431603380957</v>
      </c>
      <c r="G37" s="76">
        <f t="shared" si="29"/>
        <v>2207.9228004117699</v>
      </c>
      <c r="H37" s="155">
        <f t="shared" si="30"/>
        <v>-763.00756697009592</v>
      </c>
      <c r="I37" s="152">
        <f t="shared" si="31"/>
        <v>1000</v>
      </c>
      <c r="J37" s="149" t="str">
        <f t="shared" si="32"/>
        <v>H</v>
      </c>
      <c r="K37" s="148">
        <v>40</v>
      </c>
      <c r="L37" s="75" t="str">
        <f t="shared" si="0"/>
        <v/>
      </c>
      <c r="M37" s="75" t="str">
        <f t="shared" si="1"/>
        <v/>
      </c>
      <c r="N37" s="148"/>
      <c r="O37" s="75" t="str">
        <f>IF(R37=0,"","+")</f>
        <v/>
      </c>
      <c r="P37" s="148"/>
      <c r="Q37" s="75" t="str">
        <f t="shared" si="2"/>
        <v/>
      </c>
      <c r="R37" s="153">
        <v>0</v>
      </c>
      <c r="S37" s="76">
        <f t="shared" si="3"/>
        <v>4188.7902047863909</v>
      </c>
      <c r="T37" s="75" t="str">
        <f t="shared" si="4"/>
        <v/>
      </c>
      <c r="U37" s="76">
        <f t="shared" si="5"/>
        <v>0</v>
      </c>
      <c r="V37" s="75" t="str">
        <f>IF(R37=0,"","+")</f>
        <v/>
      </c>
      <c r="W37" s="76">
        <f>IF(P37=0,PI()/4*R37^2*1000/$Z$18,PI()/4*R37^2*P37*1000/$Z$18)</f>
        <v>0</v>
      </c>
      <c r="X37" s="75" t="s">
        <v>22</v>
      </c>
      <c r="Y37" s="154">
        <f t="shared" si="6"/>
        <v>4188.7902047863909</v>
      </c>
      <c r="Z37" s="76">
        <f t="shared" si="7"/>
        <v>897</v>
      </c>
      <c r="AA37" s="151">
        <f t="shared" si="8"/>
        <v>0</v>
      </c>
      <c r="AB37" s="151">
        <f t="shared" si="9"/>
        <v>0</v>
      </c>
      <c r="AC37" s="76">
        <f t="shared" si="10"/>
        <v>897</v>
      </c>
      <c r="AD37" s="177">
        <f t="shared" si="11"/>
        <v>0.13523335120826038</v>
      </c>
      <c r="AE37" s="136">
        <f t="shared" si="12"/>
        <v>0.46697772628610817</v>
      </c>
      <c r="AF37" s="178" t="s">
        <v>43</v>
      </c>
      <c r="AG37" s="84">
        <f t="shared" si="13"/>
        <v>0.43513878646531268</v>
      </c>
      <c r="AH37" s="178">
        <f t="shared" si="14"/>
        <v>21.8</v>
      </c>
      <c r="AI37" s="76">
        <f t="shared" si="15"/>
        <v>897000</v>
      </c>
      <c r="AJ37" s="156">
        <f t="shared" si="16"/>
        <v>0.80435664606594304</v>
      </c>
      <c r="AK37" s="75" t="str">
        <f t="shared" si="17"/>
        <v>V ≤ Vc</v>
      </c>
      <c r="AL37" s="150" t="str">
        <f t="shared" si="18"/>
        <v>0</v>
      </c>
      <c r="AM37" s="149">
        <f t="shared" si="33"/>
        <v>0</v>
      </c>
      <c r="AN37" s="76">
        <f t="shared" si="19"/>
        <v>0</v>
      </c>
      <c r="AO37" s="75">
        <f t="shared" si="20"/>
        <v>0</v>
      </c>
      <c r="AP37" s="76">
        <f t="shared" si="21"/>
        <v>0</v>
      </c>
      <c r="AQ37" s="154">
        <f t="shared" si="22"/>
        <v>0</v>
      </c>
      <c r="AR37" s="150" t="str">
        <f t="shared" si="23"/>
        <v>OK</v>
      </c>
      <c r="AS37" s="180" t="str">
        <f t="shared" si="24"/>
        <v>No Stirrups Required</v>
      </c>
      <c r="AT37" s="17">
        <v>77</v>
      </c>
      <c r="AU37" s="71">
        <f>VLOOKUP(AT37,'Summary-input'!A:D,4,0)</f>
        <v>1000</v>
      </c>
      <c r="AV37" s="54">
        <f t="shared" si="25"/>
        <v>897</v>
      </c>
      <c r="AW37" s="55"/>
      <c r="AX37" s="55"/>
      <c r="AY37" s="101"/>
      <c r="AZ37" s="102"/>
      <c r="BA37" s="103">
        <v>1</v>
      </c>
      <c r="BB37" s="62"/>
      <c r="BC37" s="64">
        <v>80</v>
      </c>
      <c r="BD37" s="64" t="s">
        <v>59</v>
      </c>
      <c r="BE37" s="64"/>
      <c r="BF37" s="64">
        <v>105</v>
      </c>
      <c r="BG37" s="64"/>
      <c r="BH37" s="102"/>
      <c r="BI37" s="182"/>
      <c r="BJ37" s="182">
        <f>VLOOKUP(AT37,'Summary-output-ULS'!$B:$H,7,0)</f>
        <v>-121.30431603380957</v>
      </c>
      <c r="BK37" s="182">
        <f>-VLOOKUP(AT37,'Summary-output-ULS'!$B:$H,5,0)</f>
        <v>2207.9228004117699</v>
      </c>
      <c r="BL37" s="182">
        <f>VLOOKUP(AT37,'Summary-output-SLS'!$B:$H,5,0)</f>
        <v>-1617.6241718966603</v>
      </c>
      <c r="BM37" s="182">
        <f>VLOOKUP(AT37,'Summary-output-SLS'!$B:$H,6,0)</f>
        <v>-763.00756697009592</v>
      </c>
      <c r="BN37" s="182">
        <f>VLOOKUP(AT37,'Summary-output-SLS'!$B:$H,6,0)</f>
        <v>-763.00756697009592</v>
      </c>
      <c r="BO37" s="64"/>
      <c r="BP37" s="182">
        <f>VLOOKUP(AT37,'Summary-output-ULS'!$B:$H,4,0)</f>
        <v>103</v>
      </c>
      <c r="BR37" s="174">
        <f t="shared" si="26"/>
        <v>721.50791152115085</v>
      </c>
      <c r="BS37" s="175"/>
      <c r="BT37" s="176"/>
      <c r="BV37" s="188"/>
      <c r="BW37" s="188"/>
      <c r="BX37" s="188"/>
      <c r="BY37" s="188"/>
    </row>
    <row r="38" spans="1:77" x14ac:dyDescent="0.25">
      <c r="A38" s="184">
        <f t="shared" si="27"/>
        <v>78</v>
      </c>
      <c r="B38" s="151" t="str">
        <f>VLOOKUP(A38,'Summary-input'!A:B,2,0)</f>
        <v>ROOF</v>
      </c>
      <c r="C38" s="179">
        <v>103</v>
      </c>
      <c r="D38" s="75"/>
      <c r="E38" s="147"/>
      <c r="F38" s="152">
        <f t="shared" si="28"/>
        <v>121.3043160338035</v>
      </c>
      <c r="G38" s="76">
        <f t="shared" si="29"/>
        <v>2172.1363094590029</v>
      </c>
      <c r="H38" s="155">
        <f t="shared" si="30"/>
        <v>-662.84362584793485</v>
      </c>
      <c r="I38" s="152">
        <f t="shared" si="31"/>
        <v>1000</v>
      </c>
      <c r="J38" s="149" t="str">
        <f t="shared" si="32"/>
        <v>H</v>
      </c>
      <c r="K38" s="148">
        <v>40</v>
      </c>
      <c r="L38" s="75" t="str">
        <f t="shared" si="0"/>
        <v/>
      </c>
      <c r="M38" s="75" t="str">
        <f t="shared" si="1"/>
        <v/>
      </c>
      <c r="N38" s="148"/>
      <c r="O38" s="75" t="str">
        <f>IF(R38=0,"","+")</f>
        <v/>
      </c>
      <c r="P38" s="148"/>
      <c r="Q38" s="75" t="str">
        <f t="shared" si="2"/>
        <v/>
      </c>
      <c r="R38" s="153">
        <v>0</v>
      </c>
      <c r="S38" s="76">
        <f t="shared" si="3"/>
        <v>4188.7902047863909</v>
      </c>
      <c r="T38" s="75" t="str">
        <f t="shared" si="4"/>
        <v/>
      </c>
      <c r="U38" s="76">
        <f t="shared" si="5"/>
        <v>0</v>
      </c>
      <c r="V38" s="75" t="str">
        <f>IF(R38=0,"","+")</f>
        <v/>
      </c>
      <c r="W38" s="76">
        <f>IF(P38=0,PI()/4*R38^2*1000/$Z$18,PI()/4*R38^2*P38*1000/$Z$18)</f>
        <v>0</v>
      </c>
      <c r="X38" s="75" t="s">
        <v>22</v>
      </c>
      <c r="Y38" s="154">
        <f t="shared" si="6"/>
        <v>4188.7902047863909</v>
      </c>
      <c r="Z38" s="76">
        <f t="shared" si="7"/>
        <v>897</v>
      </c>
      <c r="AA38" s="151">
        <f t="shared" si="8"/>
        <v>0</v>
      </c>
      <c r="AB38" s="151">
        <f t="shared" si="9"/>
        <v>0</v>
      </c>
      <c r="AC38" s="76">
        <f t="shared" si="10"/>
        <v>897</v>
      </c>
      <c r="AD38" s="177">
        <f t="shared" si="11"/>
        <v>0.13523335120825364</v>
      </c>
      <c r="AE38" s="136">
        <f t="shared" si="12"/>
        <v>0.46697772628610817</v>
      </c>
      <c r="AF38" s="178" t="s">
        <v>43</v>
      </c>
      <c r="AG38" s="84">
        <f t="shared" si="13"/>
        <v>0.43513878646531268</v>
      </c>
      <c r="AH38" s="178">
        <f t="shared" si="14"/>
        <v>21.8</v>
      </c>
      <c r="AI38" s="76">
        <f t="shared" si="15"/>
        <v>897000</v>
      </c>
      <c r="AJ38" s="156">
        <f t="shared" si="16"/>
        <v>0.79837228303036323</v>
      </c>
      <c r="AK38" s="75" t="str">
        <f t="shared" si="17"/>
        <v>V ≤ Vc</v>
      </c>
      <c r="AL38" s="150" t="str">
        <f t="shared" si="18"/>
        <v>0</v>
      </c>
      <c r="AM38" s="149">
        <f t="shared" si="33"/>
        <v>0</v>
      </c>
      <c r="AN38" s="76">
        <f t="shared" si="19"/>
        <v>0</v>
      </c>
      <c r="AO38" s="75">
        <f t="shared" si="20"/>
        <v>0</v>
      </c>
      <c r="AP38" s="76">
        <f t="shared" si="21"/>
        <v>0</v>
      </c>
      <c r="AQ38" s="154">
        <f t="shared" si="22"/>
        <v>0</v>
      </c>
      <c r="AR38" s="150" t="str">
        <f t="shared" si="23"/>
        <v>OK</v>
      </c>
      <c r="AS38" s="180" t="str">
        <f t="shared" si="24"/>
        <v>No Stirrups Required</v>
      </c>
      <c r="AT38" s="17">
        <v>78</v>
      </c>
      <c r="AU38" s="71">
        <f>VLOOKUP(AT38,'Summary-input'!A:D,4,0)</f>
        <v>1000</v>
      </c>
      <c r="AV38" s="54">
        <f t="shared" si="25"/>
        <v>897</v>
      </c>
      <c r="AW38" s="55"/>
      <c r="AX38" s="55"/>
      <c r="AY38" s="101"/>
      <c r="AZ38" s="102"/>
      <c r="BA38" s="103">
        <v>1</v>
      </c>
      <c r="BB38" s="62"/>
      <c r="BC38" s="64">
        <v>80</v>
      </c>
      <c r="BD38" s="64" t="s">
        <v>59</v>
      </c>
      <c r="BE38" s="64"/>
      <c r="BF38" s="64">
        <v>101</v>
      </c>
      <c r="BG38" s="64"/>
      <c r="BH38" s="102"/>
      <c r="BI38" s="182"/>
      <c r="BJ38" s="182">
        <f>VLOOKUP(AT38,'Summary-output-ULS'!$B:$H,7,0)</f>
        <v>-121.3043160338035</v>
      </c>
      <c r="BK38" s="182">
        <f>-VLOOKUP(AT38,'Summary-output-ULS'!$B:$H,5,0)</f>
        <v>2172.1363094590029</v>
      </c>
      <c r="BL38" s="182">
        <f>VLOOKUP(AT38,'Summary-output-SLS'!$B:$H,5,0)</f>
        <v>-1591.1156600797983</v>
      </c>
      <c r="BM38" s="182">
        <f>VLOOKUP(AT38,'Summary-output-SLS'!$B:$H,6,0)</f>
        <v>-662.84362584793485</v>
      </c>
      <c r="BN38" s="182">
        <f>VLOOKUP(AT38,'Summary-output-SLS'!$B:$H,6,0)</f>
        <v>-662.84362584793485</v>
      </c>
      <c r="BO38" s="64"/>
      <c r="BP38" s="182">
        <f>VLOOKUP(AT38,'Summary-output-ULS'!$B:$H,4,0)</f>
        <v>103</v>
      </c>
      <c r="BR38" s="174">
        <f t="shared" si="26"/>
        <v>716.13993787823586</v>
      </c>
      <c r="BS38" s="175"/>
      <c r="BT38" s="176"/>
      <c r="BV38" s="188"/>
      <c r="BW38" s="188"/>
      <c r="BX38" s="188"/>
      <c r="BY38" s="188"/>
    </row>
    <row r="39" spans="1:77" x14ac:dyDescent="0.25">
      <c r="A39" s="184">
        <f t="shared" si="27"/>
        <v>79</v>
      </c>
      <c r="B39" s="151" t="str">
        <f>VLOOKUP(A39,'Summary-input'!A:B,2,0)</f>
        <v>ROOF</v>
      </c>
      <c r="C39" s="179">
        <v>103</v>
      </c>
      <c r="D39" s="75"/>
      <c r="E39" s="147"/>
      <c r="F39" s="152">
        <f t="shared" si="28"/>
        <v>121.30431603380957</v>
      </c>
      <c r="G39" s="76">
        <f t="shared" si="29"/>
        <v>2136.3498185063008</v>
      </c>
      <c r="H39" s="155">
        <f t="shared" si="30"/>
        <v>-562.67968472577627</v>
      </c>
      <c r="I39" s="152">
        <f t="shared" si="31"/>
        <v>1000</v>
      </c>
      <c r="J39" s="149" t="str">
        <f t="shared" si="32"/>
        <v>H</v>
      </c>
      <c r="K39" s="148">
        <v>40</v>
      </c>
      <c r="L39" s="75" t="str">
        <f t="shared" si="0"/>
        <v/>
      </c>
      <c r="M39" s="75" t="str">
        <f t="shared" si="1"/>
        <v/>
      </c>
      <c r="N39" s="148"/>
      <c r="O39" s="75" t="str">
        <f>IF(R39=0,"","+")</f>
        <v/>
      </c>
      <c r="P39" s="148"/>
      <c r="Q39" s="75" t="str">
        <f t="shared" si="2"/>
        <v/>
      </c>
      <c r="R39" s="153">
        <v>0</v>
      </c>
      <c r="S39" s="76">
        <f t="shared" si="3"/>
        <v>4188.7902047863909</v>
      </c>
      <c r="T39" s="75" t="str">
        <f t="shared" si="4"/>
        <v/>
      </c>
      <c r="U39" s="76">
        <f t="shared" si="5"/>
        <v>0</v>
      </c>
      <c r="V39" s="75" t="str">
        <f>IF(R39=0,"","+")</f>
        <v/>
      </c>
      <c r="W39" s="76">
        <f>IF(P39=0,PI()/4*R39^2*1000/$Z$18,PI()/4*R39^2*P39*1000/$Z$18)</f>
        <v>0</v>
      </c>
      <c r="X39" s="75" t="s">
        <v>22</v>
      </c>
      <c r="Y39" s="154">
        <f t="shared" si="6"/>
        <v>4188.7902047863909</v>
      </c>
      <c r="Z39" s="76">
        <f t="shared" si="7"/>
        <v>897</v>
      </c>
      <c r="AA39" s="151">
        <f t="shared" si="8"/>
        <v>0</v>
      </c>
      <c r="AB39" s="151">
        <f t="shared" si="9"/>
        <v>0</v>
      </c>
      <c r="AC39" s="76">
        <f t="shared" si="10"/>
        <v>897</v>
      </c>
      <c r="AD39" s="177">
        <f t="shared" si="11"/>
        <v>0.13523335120826038</v>
      </c>
      <c r="AE39" s="136">
        <f t="shared" si="12"/>
        <v>0.46697772628610817</v>
      </c>
      <c r="AF39" s="178" t="s">
        <v>43</v>
      </c>
      <c r="AG39" s="84">
        <f t="shared" si="13"/>
        <v>0.43513878646531268</v>
      </c>
      <c r="AH39" s="178">
        <f t="shared" si="14"/>
        <v>21.8</v>
      </c>
      <c r="AI39" s="76">
        <f t="shared" si="15"/>
        <v>897000</v>
      </c>
      <c r="AJ39" s="156">
        <f t="shared" si="16"/>
        <v>0.7923879199947943</v>
      </c>
      <c r="AK39" s="75" t="str">
        <f t="shared" si="17"/>
        <v>V ≤ Vc</v>
      </c>
      <c r="AL39" s="150" t="str">
        <f t="shared" si="18"/>
        <v>0</v>
      </c>
      <c r="AM39" s="149">
        <f t="shared" si="33"/>
        <v>0</v>
      </c>
      <c r="AN39" s="76">
        <f t="shared" si="19"/>
        <v>0</v>
      </c>
      <c r="AO39" s="147">
        <f t="shared" si="20"/>
        <v>0</v>
      </c>
      <c r="AP39" s="76">
        <f t="shared" si="21"/>
        <v>0</v>
      </c>
      <c r="AQ39" s="154">
        <f t="shared" si="22"/>
        <v>0</v>
      </c>
      <c r="AR39" s="150" t="str">
        <f t="shared" si="23"/>
        <v>OK</v>
      </c>
      <c r="AS39" s="180" t="str">
        <f t="shared" si="24"/>
        <v>No Stirrups Required</v>
      </c>
      <c r="AT39" s="17">
        <v>79</v>
      </c>
      <c r="AU39" s="71">
        <f>VLOOKUP(AT39,'Summary-input'!A:D,4,0)</f>
        <v>1000</v>
      </c>
      <c r="AV39" s="54">
        <f t="shared" si="25"/>
        <v>897</v>
      </c>
      <c r="AW39" s="55"/>
      <c r="AX39" s="55"/>
      <c r="AY39" s="101"/>
      <c r="AZ39" s="102"/>
      <c r="BA39" s="103">
        <v>1</v>
      </c>
      <c r="BB39" s="62"/>
      <c r="BC39" s="64">
        <v>79</v>
      </c>
      <c r="BD39" s="64" t="s">
        <v>59</v>
      </c>
      <c r="BE39" s="64"/>
      <c r="BF39" s="64">
        <v>114</v>
      </c>
      <c r="BG39" s="64"/>
      <c r="BH39" s="102"/>
      <c r="BI39" s="182"/>
      <c r="BJ39" s="182">
        <f>VLOOKUP(AT39,'Summary-output-ULS'!$B:$H,7,0)</f>
        <v>-121.30431603380957</v>
      </c>
      <c r="BK39" s="182">
        <f>-VLOOKUP(AT39,'Summary-output-ULS'!$B:$H,5,0)</f>
        <v>2136.3498185063008</v>
      </c>
      <c r="BL39" s="182">
        <f>VLOOKUP(AT39,'Summary-output-SLS'!$B:$H,5,0)</f>
        <v>-1564.607148262904</v>
      </c>
      <c r="BM39" s="182">
        <f>VLOOKUP(AT39,'Summary-output-SLS'!$B:$H,6,0)</f>
        <v>-562.67968472577627</v>
      </c>
      <c r="BN39" s="182">
        <f>VLOOKUP(AT39,'Summary-output-SLS'!$B:$H,6,0)</f>
        <v>-562.67968472577627</v>
      </c>
      <c r="BO39" s="64"/>
      <c r="BP39" s="182">
        <f>VLOOKUP(AT39,'Summary-output-ULS'!$B:$H,4,0)</f>
        <v>103</v>
      </c>
      <c r="BR39" s="174">
        <f t="shared" si="26"/>
        <v>710.77196423533042</v>
      </c>
      <c r="BS39" s="175"/>
      <c r="BT39" s="176"/>
      <c r="BV39" s="188"/>
      <c r="BW39" s="188"/>
      <c r="BX39" s="188"/>
      <c r="BY39" s="188"/>
    </row>
    <row r="40" spans="1:77" x14ac:dyDescent="0.25">
      <c r="A40" s="184">
        <f t="shared" si="27"/>
        <v>80</v>
      </c>
      <c r="B40" s="151" t="str">
        <f>VLOOKUP(A40,'Summary-input'!A:B,2,0)</f>
        <v>ROOF</v>
      </c>
      <c r="C40" s="179">
        <v>103</v>
      </c>
      <c r="D40" s="75"/>
      <c r="E40" s="147"/>
      <c r="F40" s="152">
        <f t="shared" si="28"/>
        <v>121.30431603380755</v>
      </c>
      <c r="G40" s="76">
        <f t="shared" si="29"/>
        <v>2100.5633275535665</v>
      </c>
      <c r="H40" s="155">
        <f t="shared" si="30"/>
        <v>-462.51574360361633</v>
      </c>
      <c r="I40" s="152">
        <f t="shared" si="31"/>
        <v>1000</v>
      </c>
      <c r="J40" s="149" t="str">
        <f t="shared" si="32"/>
        <v>H</v>
      </c>
      <c r="K40" s="148">
        <v>40</v>
      </c>
      <c r="L40" s="75" t="str">
        <f t="shared" si="0"/>
        <v/>
      </c>
      <c r="M40" s="75" t="str">
        <f t="shared" si="1"/>
        <v/>
      </c>
      <c r="N40" s="148"/>
      <c r="O40" s="75" t="str">
        <f>IF(R40=0,"","+")</f>
        <v/>
      </c>
      <c r="P40" s="148"/>
      <c r="Q40" s="75" t="str">
        <f t="shared" si="2"/>
        <v/>
      </c>
      <c r="R40" s="153"/>
      <c r="S40" s="76">
        <f t="shared" si="3"/>
        <v>4188.7902047863909</v>
      </c>
      <c r="T40" s="75" t="str">
        <f t="shared" si="4"/>
        <v/>
      </c>
      <c r="U40" s="76">
        <f t="shared" si="5"/>
        <v>0</v>
      </c>
      <c r="V40" s="75" t="str">
        <f>IF(R40=0,"","+")</f>
        <v/>
      </c>
      <c r="W40" s="76">
        <f>IF(P40=0,PI()/4*R40^2*1000/$Z$18,PI()/4*R40^2*P40*1000/$Z$18)</f>
        <v>0</v>
      </c>
      <c r="X40" s="75" t="s">
        <v>22</v>
      </c>
      <c r="Y40" s="154">
        <f t="shared" si="6"/>
        <v>4188.7902047863909</v>
      </c>
      <c r="Z40" s="76">
        <f t="shared" si="7"/>
        <v>897</v>
      </c>
      <c r="AA40" s="151">
        <f t="shared" si="8"/>
        <v>0</v>
      </c>
      <c r="AB40" s="151">
        <f t="shared" si="9"/>
        <v>0</v>
      </c>
      <c r="AC40" s="76">
        <f t="shared" si="10"/>
        <v>897</v>
      </c>
      <c r="AD40" s="177">
        <f t="shared" si="11"/>
        <v>0.13523335120825813</v>
      </c>
      <c r="AE40" s="136">
        <f t="shared" si="12"/>
        <v>0.46697772628610817</v>
      </c>
      <c r="AF40" s="178" t="s">
        <v>43</v>
      </c>
      <c r="AG40" s="84">
        <f t="shared" si="13"/>
        <v>0.43513878646531268</v>
      </c>
      <c r="AH40" s="178">
        <f t="shared" si="14"/>
        <v>21.8</v>
      </c>
      <c r="AI40" s="76">
        <f t="shared" si="15"/>
        <v>897000</v>
      </c>
      <c r="AJ40" s="156">
        <f t="shared" si="16"/>
        <v>0.78640355695922004</v>
      </c>
      <c r="AK40" s="75" t="str">
        <f t="shared" si="17"/>
        <v>V ≤ Vc</v>
      </c>
      <c r="AL40" s="150" t="str">
        <f t="shared" si="18"/>
        <v>0</v>
      </c>
      <c r="AM40" s="149">
        <f t="shared" si="33"/>
        <v>0</v>
      </c>
      <c r="AN40" s="76">
        <f t="shared" si="19"/>
        <v>0</v>
      </c>
      <c r="AO40" s="147">
        <f t="shared" si="20"/>
        <v>0</v>
      </c>
      <c r="AP40" s="76">
        <f t="shared" si="21"/>
        <v>0</v>
      </c>
      <c r="AQ40" s="154">
        <f t="shared" si="22"/>
        <v>0</v>
      </c>
      <c r="AR40" s="150" t="str">
        <f t="shared" si="23"/>
        <v>OK</v>
      </c>
      <c r="AS40" s="180" t="str">
        <f t="shared" si="24"/>
        <v>No Stirrups Required</v>
      </c>
      <c r="AT40" s="17">
        <v>80</v>
      </c>
      <c r="AU40" s="71">
        <f>VLOOKUP(AT40,'Summary-input'!A:D,4,0)</f>
        <v>1000</v>
      </c>
      <c r="AV40" s="54">
        <f t="shared" si="25"/>
        <v>897</v>
      </c>
      <c r="AW40" s="55"/>
      <c r="AX40" s="55"/>
      <c r="AY40" s="101"/>
      <c r="AZ40" s="102"/>
      <c r="BA40" s="103">
        <v>1</v>
      </c>
      <c r="BB40" s="62"/>
      <c r="BC40" s="64">
        <v>78</v>
      </c>
      <c r="BD40" s="64" t="s">
        <v>59</v>
      </c>
      <c r="BE40" s="64"/>
      <c r="BF40" s="64">
        <v>105</v>
      </c>
      <c r="BG40" s="64"/>
      <c r="BH40" s="102"/>
      <c r="BI40" s="182"/>
      <c r="BJ40" s="182">
        <f>VLOOKUP(AT40,'Summary-output-ULS'!$B:$H,7,0)</f>
        <v>-121.30431603380755</v>
      </c>
      <c r="BK40" s="182">
        <f>-VLOOKUP(AT40,'Summary-output-ULS'!$B:$H,5,0)</f>
        <v>2100.5633275535665</v>
      </c>
      <c r="BL40" s="182">
        <f>VLOOKUP(AT40,'Summary-output-SLS'!$B:$H,5,0)</f>
        <v>-1538.0986364460746</v>
      </c>
      <c r="BM40" s="182">
        <f>VLOOKUP(AT40,'Summary-output-SLS'!$B:$H,6,0)</f>
        <v>-462.51574360361633</v>
      </c>
      <c r="BN40" s="182">
        <f>VLOOKUP(AT40,'Summary-output-SLS'!$B:$H,6,0)</f>
        <v>-462.51574360361633</v>
      </c>
      <c r="BO40" s="64"/>
      <c r="BP40" s="182">
        <f>VLOOKUP(AT40,'Summary-output-ULS'!$B:$H,4,0)</f>
        <v>103</v>
      </c>
      <c r="BR40" s="174">
        <f t="shared" si="26"/>
        <v>705.40399059242031</v>
      </c>
      <c r="BS40" s="175"/>
      <c r="BT40" s="176"/>
      <c r="BV40" s="188"/>
      <c r="BW40" s="188"/>
      <c r="BX40" s="188"/>
      <c r="BY40" s="188"/>
    </row>
    <row r="41" spans="1:77" x14ac:dyDescent="0.25">
      <c r="A41" s="184">
        <f t="shared" si="27"/>
        <v>81</v>
      </c>
      <c r="B41" s="151" t="str">
        <f>VLOOKUP(A41,'Summary-input'!A:B,2,0)</f>
        <v>ROOF</v>
      </c>
      <c r="C41" s="179">
        <v>103</v>
      </c>
      <c r="D41" s="75"/>
      <c r="E41" s="147"/>
      <c r="F41" s="152">
        <f t="shared" si="28"/>
        <v>121.30431603380856</v>
      </c>
      <c r="G41" s="76">
        <f t="shared" si="29"/>
        <v>2064.7768366007999</v>
      </c>
      <c r="H41" s="155">
        <f t="shared" si="30"/>
        <v>-362.3518024814561</v>
      </c>
      <c r="I41" s="152">
        <f t="shared" si="31"/>
        <v>1000</v>
      </c>
      <c r="J41" s="149" t="str">
        <f t="shared" si="32"/>
        <v>H</v>
      </c>
      <c r="K41" s="148">
        <v>40</v>
      </c>
      <c r="L41" s="75" t="str">
        <f t="shared" si="0"/>
        <v/>
      </c>
      <c r="M41" s="75" t="str">
        <f t="shared" si="1"/>
        <v/>
      </c>
      <c r="N41" s="148"/>
      <c r="O41" s="75"/>
      <c r="P41" s="148"/>
      <c r="Q41" s="75" t="str">
        <f t="shared" si="2"/>
        <v/>
      </c>
      <c r="R41" s="153"/>
      <c r="S41" s="76">
        <f t="shared" si="3"/>
        <v>4188.7902047863909</v>
      </c>
      <c r="T41" s="75" t="str">
        <f t="shared" si="4"/>
        <v/>
      </c>
      <c r="U41" s="76">
        <f t="shared" si="5"/>
        <v>0</v>
      </c>
      <c r="V41" s="75"/>
      <c r="W41" s="76"/>
      <c r="X41" s="75" t="s">
        <v>22</v>
      </c>
      <c r="Y41" s="154">
        <f t="shared" si="6"/>
        <v>4188.7902047863909</v>
      </c>
      <c r="Z41" s="76">
        <f t="shared" si="7"/>
        <v>897</v>
      </c>
      <c r="AA41" s="151">
        <f t="shared" si="8"/>
        <v>0</v>
      </c>
      <c r="AB41" s="151">
        <f t="shared" si="9"/>
        <v>0</v>
      </c>
      <c r="AC41" s="76">
        <f t="shared" si="10"/>
        <v>897</v>
      </c>
      <c r="AD41" s="177">
        <f t="shared" si="11"/>
        <v>0.13523335120825927</v>
      </c>
      <c r="AE41" s="136">
        <f t="shared" si="12"/>
        <v>0.46697772628610817</v>
      </c>
      <c r="AF41" s="178" t="s">
        <v>43</v>
      </c>
      <c r="AG41" s="84">
        <f t="shared" si="13"/>
        <v>0.43513878646531268</v>
      </c>
      <c r="AH41" s="178">
        <f t="shared" si="14"/>
        <v>21.8</v>
      </c>
      <c r="AI41" s="76">
        <f t="shared" si="15"/>
        <v>897000</v>
      </c>
      <c r="AJ41" s="156">
        <f t="shared" si="16"/>
        <v>0.78041919392364045</v>
      </c>
      <c r="AK41" s="75" t="str">
        <f t="shared" si="17"/>
        <v>V ≤ Vc</v>
      </c>
      <c r="AL41" s="150" t="str">
        <f t="shared" si="18"/>
        <v>0</v>
      </c>
      <c r="AM41" s="149">
        <f t="shared" si="33"/>
        <v>0</v>
      </c>
      <c r="AN41" s="76">
        <f t="shared" si="19"/>
        <v>0</v>
      </c>
      <c r="AO41" s="147">
        <f t="shared" si="20"/>
        <v>0</v>
      </c>
      <c r="AP41" s="76">
        <f t="shared" si="21"/>
        <v>0</v>
      </c>
      <c r="AQ41" s="154">
        <f t="shared" si="22"/>
        <v>0</v>
      </c>
      <c r="AR41" s="150" t="str">
        <f t="shared" si="23"/>
        <v>OK</v>
      </c>
      <c r="AS41" s="180" t="str">
        <f t="shared" si="24"/>
        <v>No Stirrups Required</v>
      </c>
      <c r="AT41" s="17">
        <v>81</v>
      </c>
      <c r="AU41" s="71">
        <f>VLOOKUP(AT41,'Summary-input'!A:D,4,0)</f>
        <v>1000</v>
      </c>
      <c r="AV41" s="54">
        <f t="shared" si="25"/>
        <v>897</v>
      </c>
      <c r="AW41" s="55"/>
      <c r="AX41" s="55"/>
      <c r="AY41" s="101"/>
      <c r="AZ41" s="102"/>
      <c r="BA41" s="103">
        <v>1</v>
      </c>
      <c r="BB41" s="62"/>
      <c r="BC41" s="64">
        <v>77</v>
      </c>
      <c r="BD41" s="16" t="s">
        <v>59</v>
      </c>
      <c r="BE41" s="64"/>
      <c r="BF41" s="64">
        <v>103</v>
      </c>
      <c r="BG41" s="64"/>
      <c r="BH41" s="102"/>
      <c r="BI41" s="182"/>
      <c r="BJ41" s="182">
        <f>VLOOKUP(AT41,'Summary-output-ULS'!$B:$H,7,0)</f>
        <v>-121.30431603380856</v>
      </c>
      <c r="BK41" s="182">
        <f>-VLOOKUP(AT41,'Summary-output-ULS'!$B:$H,5,0)</f>
        <v>2064.7768366007999</v>
      </c>
      <c r="BL41" s="182">
        <f>VLOOKUP(AT41,'Summary-output-SLS'!$B:$H,5,0)</f>
        <v>-1511.5901246292128</v>
      </c>
      <c r="BM41" s="182">
        <f>VLOOKUP(AT41,'Summary-output-SLS'!$B:$H,6,0)</f>
        <v>-362.3518024814561</v>
      </c>
      <c r="BN41" s="182">
        <f>VLOOKUP(AT41,'Summary-output-SLS'!$B:$H,6,0)</f>
        <v>-362.3518024814561</v>
      </c>
      <c r="BO41" s="64"/>
      <c r="BP41" s="182">
        <f>VLOOKUP(AT41,'Summary-output-ULS'!$B:$H,4,0)</f>
        <v>103</v>
      </c>
      <c r="BR41" s="174">
        <f t="shared" si="26"/>
        <v>700.03601694950544</v>
      </c>
      <c r="BS41" s="175"/>
      <c r="BT41" s="176"/>
      <c r="BV41" s="188"/>
      <c r="BW41" s="188"/>
      <c r="BX41" s="188"/>
      <c r="BY41" s="188"/>
    </row>
    <row r="42" spans="1:77" x14ac:dyDescent="0.25">
      <c r="A42" s="184">
        <f t="shared" si="27"/>
        <v>82</v>
      </c>
      <c r="B42" s="151" t="str">
        <f>VLOOKUP(A42,'Summary-input'!A:B,2,0)</f>
        <v>ROOF</v>
      </c>
      <c r="C42" s="179">
        <v>103</v>
      </c>
      <c r="D42" s="75"/>
      <c r="E42" s="147"/>
      <c r="F42" s="152">
        <f t="shared" si="28"/>
        <v>121.30431603380705</v>
      </c>
      <c r="G42" s="76">
        <f t="shared" si="29"/>
        <v>2028.9903456480331</v>
      </c>
      <c r="H42" s="155">
        <f t="shared" si="30"/>
        <v>-262.18786135929616</v>
      </c>
      <c r="I42" s="152">
        <f t="shared" si="31"/>
        <v>1000</v>
      </c>
      <c r="J42" s="149" t="str">
        <f t="shared" si="32"/>
        <v>H</v>
      </c>
      <c r="K42" s="148">
        <v>40</v>
      </c>
      <c r="L42" s="75" t="str">
        <f t="shared" si="0"/>
        <v/>
      </c>
      <c r="M42" s="75" t="str">
        <f t="shared" si="1"/>
        <v/>
      </c>
      <c r="N42" s="148"/>
      <c r="O42" s="75" t="str">
        <f>IF(R42=0,"","+")</f>
        <v/>
      </c>
      <c r="P42" s="148"/>
      <c r="Q42" s="75" t="str">
        <f t="shared" si="2"/>
        <v/>
      </c>
      <c r="R42" s="153">
        <v>0</v>
      </c>
      <c r="S42" s="76">
        <f t="shared" si="3"/>
        <v>4188.7902047863909</v>
      </c>
      <c r="T42" s="75" t="str">
        <f t="shared" si="4"/>
        <v/>
      </c>
      <c r="U42" s="76">
        <f t="shared" si="5"/>
        <v>0</v>
      </c>
      <c r="V42" s="75" t="str">
        <f>IF(R42=0,"","+")</f>
        <v/>
      </c>
      <c r="W42" s="76">
        <f>IF(P42=0,PI()/4*R42^2*1000/$Z$18,PI()/4*R42^2*P42*1000/$Z$18)</f>
        <v>0</v>
      </c>
      <c r="X42" s="75" t="s">
        <v>22</v>
      </c>
      <c r="Y42" s="154">
        <f t="shared" si="6"/>
        <v>4188.7902047863909</v>
      </c>
      <c r="Z42" s="76">
        <f t="shared" si="7"/>
        <v>897</v>
      </c>
      <c r="AA42" s="151">
        <f t="shared" si="8"/>
        <v>0</v>
      </c>
      <c r="AB42" s="151">
        <f t="shared" si="9"/>
        <v>0</v>
      </c>
      <c r="AC42" s="76">
        <f t="shared" si="10"/>
        <v>897</v>
      </c>
      <c r="AD42" s="177">
        <f t="shared" si="11"/>
        <v>0.13523335120825758</v>
      </c>
      <c r="AE42" s="136">
        <f t="shared" si="12"/>
        <v>0.46697772628610817</v>
      </c>
      <c r="AF42" s="178" t="s">
        <v>43</v>
      </c>
      <c r="AG42" s="84">
        <f t="shared" si="13"/>
        <v>0.43513878646531268</v>
      </c>
      <c r="AH42" s="178">
        <f t="shared" si="14"/>
        <v>21.8</v>
      </c>
      <c r="AI42" s="76">
        <f t="shared" si="15"/>
        <v>897000</v>
      </c>
      <c r="AJ42" s="156">
        <f t="shared" si="16"/>
        <v>0.77443483088806064</v>
      </c>
      <c r="AK42" s="75" t="str">
        <f t="shared" si="17"/>
        <v>V ≤ Vc</v>
      </c>
      <c r="AL42" s="150" t="str">
        <f t="shared" si="18"/>
        <v>0</v>
      </c>
      <c r="AM42" s="149">
        <f t="shared" si="33"/>
        <v>0</v>
      </c>
      <c r="AN42" s="76">
        <f t="shared" si="19"/>
        <v>0</v>
      </c>
      <c r="AO42" s="75">
        <f t="shared" si="20"/>
        <v>0</v>
      </c>
      <c r="AP42" s="76">
        <f t="shared" si="21"/>
        <v>0</v>
      </c>
      <c r="AQ42" s="154">
        <f t="shared" si="22"/>
        <v>0</v>
      </c>
      <c r="AR42" s="150" t="str">
        <f t="shared" si="23"/>
        <v>OK</v>
      </c>
      <c r="AS42" s="180" t="str">
        <f t="shared" si="24"/>
        <v>No Stirrups Required</v>
      </c>
      <c r="AT42" s="17">
        <v>82</v>
      </c>
      <c r="AU42" s="71">
        <f>VLOOKUP(AT42,'Summary-input'!A:D,4,0)</f>
        <v>1000</v>
      </c>
      <c r="AV42" s="54">
        <f t="shared" si="25"/>
        <v>897</v>
      </c>
      <c r="AW42" s="55"/>
      <c r="AX42" s="55"/>
      <c r="AY42" s="101"/>
      <c r="AZ42" s="102"/>
      <c r="BA42" s="103">
        <v>1</v>
      </c>
      <c r="BB42" s="62"/>
      <c r="BC42" s="64">
        <v>80</v>
      </c>
      <c r="BD42" s="64" t="s">
        <v>59</v>
      </c>
      <c r="BE42" s="64"/>
      <c r="BF42" s="64">
        <v>105</v>
      </c>
      <c r="BG42" s="64"/>
      <c r="BH42" s="102"/>
      <c r="BI42" s="182"/>
      <c r="BJ42" s="182">
        <f>VLOOKUP(AT42,'Summary-output-ULS'!$B:$H,7,0)</f>
        <v>-121.30431603380705</v>
      </c>
      <c r="BK42" s="182">
        <f>-VLOOKUP(AT42,'Summary-output-ULS'!$B:$H,5,0)</f>
        <v>2028.9903456480331</v>
      </c>
      <c r="BL42" s="182">
        <f>VLOOKUP(AT42,'Summary-output-SLS'!$B:$H,5,0)</f>
        <v>-1485.0816128123508</v>
      </c>
      <c r="BM42" s="182">
        <f>VLOOKUP(AT42,'Summary-output-SLS'!$B:$H,6,0)</f>
        <v>-262.18786135929616</v>
      </c>
      <c r="BN42" s="182">
        <f>VLOOKUP(AT42,'Summary-output-SLS'!$B:$H,6,0)</f>
        <v>-262.18786135929616</v>
      </c>
      <c r="BO42" s="64"/>
      <c r="BP42" s="182">
        <f>VLOOKUP(AT42,'Summary-output-ULS'!$B:$H,4,0)</f>
        <v>103</v>
      </c>
      <c r="BR42" s="174">
        <f t="shared" si="26"/>
        <v>694.66804330659045</v>
      </c>
      <c r="BS42" s="175"/>
      <c r="BT42" s="176"/>
      <c r="BV42" s="188"/>
      <c r="BW42" s="188"/>
      <c r="BX42" s="188"/>
      <c r="BY42" s="188"/>
    </row>
    <row r="43" spans="1:77" x14ac:dyDescent="0.25">
      <c r="A43" s="184">
        <f t="shared" si="27"/>
        <v>83</v>
      </c>
      <c r="B43" s="151" t="str">
        <f>VLOOKUP(A43,'Summary-input'!A:B,2,0)</f>
        <v>ROOF</v>
      </c>
      <c r="C43" s="179">
        <v>103</v>
      </c>
      <c r="D43" s="75"/>
      <c r="E43" s="147"/>
      <c r="F43" s="152">
        <f t="shared" si="28"/>
        <v>1815.474590159673</v>
      </c>
      <c r="G43" s="76">
        <f t="shared" si="29"/>
        <v>991.86727941207369</v>
      </c>
      <c r="H43" s="155">
        <f t="shared" si="30"/>
        <v>-1281.0129125671672</v>
      </c>
      <c r="I43" s="152">
        <f t="shared" si="31"/>
        <v>1000</v>
      </c>
      <c r="J43" s="149" t="str">
        <f t="shared" si="32"/>
        <v>H</v>
      </c>
      <c r="K43" s="148">
        <v>40</v>
      </c>
      <c r="L43" s="75" t="str">
        <f t="shared" si="0"/>
        <v/>
      </c>
      <c r="M43" s="75" t="str">
        <f t="shared" si="1"/>
        <v/>
      </c>
      <c r="N43" s="148"/>
      <c r="O43" s="75" t="str">
        <f>IF(R43=0,"","+")</f>
        <v/>
      </c>
      <c r="P43" s="148"/>
      <c r="Q43" s="75" t="str">
        <f t="shared" si="2"/>
        <v/>
      </c>
      <c r="R43" s="153">
        <v>0</v>
      </c>
      <c r="S43" s="76">
        <f t="shared" si="3"/>
        <v>4188.7902047863909</v>
      </c>
      <c r="T43" s="75" t="str">
        <f t="shared" si="4"/>
        <v/>
      </c>
      <c r="U43" s="76">
        <f t="shared" si="5"/>
        <v>0</v>
      </c>
      <c r="V43" s="75" t="str">
        <f>IF(R43=0,"","+")</f>
        <v/>
      </c>
      <c r="W43" s="76">
        <f>IF(P43=0,PI()/4*R43^2*1000/$Z$18,PI()/4*R43^2*P43*1000/$Z$18)</f>
        <v>0</v>
      </c>
      <c r="X43" s="75" t="s">
        <v>22</v>
      </c>
      <c r="Y43" s="154">
        <f t="shared" si="6"/>
        <v>4188.7902047863909</v>
      </c>
      <c r="Z43" s="76">
        <f t="shared" si="7"/>
        <v>897</v>
      </c>
      <c r="AA43" s="151">
        <f t="shared" si="8"/>
        <v>0</v>
      </c>
      <c r="AB43" s="151">
        <f t="shared" si="9"/>
        <v>0</v>
      </c>
      <c r="AC43" s="76">
        <f t="shared" si="10"/>
        <v>897</v>
      </c>
      <c r="AD43" s="177">
        <f t="shared" si="11"/>
        <v>2.0239404572571607</v>
      </c>
      <c r="AE43" s="136">
        <f t="shared" si="12"/>
        <v>0.46697772628610817</v>
      </c>
      <c r="AF43" s="178" t="s">
        <v>43</v>
      </c>
      <c r="AG43" s="84">
        <f t="shared" si="13"/>
        <v>0.43513878646531268</v>
      </c>
      <c r="AH43" s="178">
        <f t="shared" si="14"/>
        <v>21.8</v>
      </c>
      <c r="AI43" s="76">
        <f t="shared" si="15"/>
        <v>897000</v>
      </c>
      <c r="AJ43" s="156">
        <f t="shared" si="16"/>
        <v>0.60100288001248225</v>
      </c>
      <c r="AK43" s="75" t="str">
        <f t="shared" si="17"/>
        <v>V &gt; Vc</v>
      </c>
      <c r="AL43" s="150">
        <f t="shared" si="18"/>
        <v>2068.7693157171275</v>
      </c>
      <c r="AM43" s="149" t="str">
        <f t="shared" si="33"/>
        <v>H</v>
      </c>
      <c r="AN43" s="76">
        <f t="shared" si="19"/>
        <v>13</v>
      </c>
      <c r="AO43" s="75" t="str">
        <f t="shared" si="20"/>
        <v>-</v>
      </c>
      <c r="AP43" s="76">
        <f t="shared" si="21"/>
        <v>150</v>
      </c>
      <c r="AQ43" s="154">
        <f t="shared" si="22"/>
        <v>2949.606435870417</v>
      </c>
      <c r="AR43" s="150" t="str">
        <f t="shared" si="23"/>
        <v>OK</v>
      </c>
      <c r="AS43" s="180" t="str">
        <f t="shared" si="24"/>
        <v>Stirrups Sufficient</v>
      </c>
      <c r="AT43" s="17">
        <v>83</v>
      </c>
      <c r="AU43" s="71">
        <f>VLOOKUP(AT43,'Summary-input'!A:D,4,0)</f>
        <v>1000</v>
      </c>
      <c r="AV43" s="54">
        <f t="shared" si="25"/>
        <v>897</v>
      </c>
      <c r="AW43" s="55"/>
      <c r="AX43" s="55"/>
      <c r="AY43" s="101"/>
      <c r="AZ43" s="102"/>
      <c r="BA43" s="103">
        <v>1</v>
      </c>
      <c r="BB43" s="62"/>
      <c r="BC43" s="64">
        <v>80</v>
      </c>
      <c r="BD43" s="64" t="s">
        <v>59</v>
      </c>
      <c r="BE43" s="64"/>
      <c r="BF43" s="64">
        <v>105</v>
      </c>
      <c r="BG43" s="64"/>
      <c r="BH43" s="102"/>
      <c r="BI43" s="182"/>
      <c r="BJ43" s="182">
        <f>VLOOKUP(AT43,'Summary-output-ULS'!$B:$H,7,0)</f>
        <v>-1815.474590159673</v>
      </c>
      <c r="BK43" s="182">
        <f>-VLOOKUP(AT43,'Summary-output-ULS'!$B:$H,5,0)</f>
        <v>991.86727941207369</v>
      </c>
      <c r="BL43" s="182">
        <f>VLOOKUP(AT43,'Summary-output-SLS'!$B:$H,5,0)</f>
        <v>-921.34387857355182</v>
      </c>
      <c r="BM43" s="182">
        <f>VLOOKUP(AT43,'Summary-output-SLS'!$B:$H,6,0)</f>
        <v>-1281.0129125671672</v>
      </c>
      <c r="BN43" s="182">
        <f>VLOOKUP(AT43,'Summary-output-SLS'!$B:$H,6,0)</f>
        <v>-1281.0129125671672</v>
      </c>
      <c r="BO43" s="64"/>
      <c r="BP43" s="182">
        <f>VLOOKUP(AT43,'Summary-output-ULS'!$B:$H,4,0)</f>
        <v>106</v>
      </c>
      <c r="BR43" s="174">
        <f t="shared" si="26"/>
        <v>539.09958337119656</v>
      </c>
      <c r="BS43" s="175"/>
      <c r="BT43" s="176"/>
      <c r="BV43" s="188"/>
      <c r="BW43" s="188"/>
      <c r="BX43" s="188"/>
      <c r="BY43" s="188"/>
    </row>
    <row r="44" spans="1:77" x14ac:dyDescent="0.25">
      <c r="A44" s="184">
        <f t="shared" si="27"/>
        <v>84</v>
      </c>
      <c r="B44" s="151" t="str">
        <f>VLOOKUP(A44,'Summary-input'!A:B,2,0)</f>
        <v>ROOF</v>
      </c>
      <c r="C44" s="179">
        <v>103</v>
      </c>
      <c r="D44" s="75"/>
      <c r="E44" s="147"/>
      <c r="F44" s="152">
        <f t="shared" si="28"/>
        <v>1286.9855310119915</v>
      </c>
      <c r="G44" s="76">
        <f t="shared" si="29"/>
        <v>1051.5847019871471</v>
      </c>
      <c r="H44" s="155">
        <f t="shared" si="30"/>
        <v>-24.672398224458707</v>
      </c>
      <c r="I44" s="152">
        <f t="shared" si="31"/>
        <v>1000</v>
      </c>
      <c r="J44" s="149" t="str">
        <f t="shared" si="32"/>
        <v>H</v>
      </c>
      <c r="K44" s="148">
        <v>40</v>
      </c>
      <c r="L44" s="75" t="str">
        <f t="shared" ref="L44:L49" si="34">IF(N44=0,"","+")</f>
        <v/>
      </c>
      <c r="M44" s="75" t="str">
        <f t="shared" ref="M44:M49" si="35">IF(N44=0,"","T")</f>
        <v/>
      </c>
      <c r="N44" s="148"/>
      <c r="O44" s="75" t="str">
        <f>IF(R44=0,"","+")</f>
        <v/>
      </c>
      <c r="P44" s="148"/>
      <c r="Q44" s="75" t="str">
        <f t="shared" ref="Q44:Q49" si="36">IF(R44=0,"","T")</f>
        <v/>
      </c>
      <c r="R44" s="153">
        <v>0</v>
      </c>
      <c r="S44" s="76">
        <f t="shared" ref="S44:S49" si="37">PI()/4*K44^2*1000/$Z$16</f>
        <v>4188.7902047863909</v>
      </c>
      <c r="T44" s="75" t="str">
        <f t="shared" ref="T44:T49" si="38">IF(N44=0,"","+")</f>
        <v/>
      </c>
      <c r="U44" s="76">
        <f t="shared" ref="U44:U49" si="39">PI()/4*N44^2*1000/$Z$17</f>
        <v>0</v>
      </c>
      <c r="V44" s="75" t="str">
        <f>IF(R44=0,"","+")</f>
        <v/>
      </c>
      <c r="W44" s="76">
        <f>IF(P44=0,PI()/4*R44^2*1000/$Z$18,PI()/4*R44^2*P44*1000/$Z$18)</f>
        <v>0</v>
      </c>
      <c r="X44" s="75" t="s">
        <v>22</v>
      </c>
      <c r="Y44" s="154">
        <f t="shared" ref="Y44:Y49" si="40">VALUE(S44)+VALUE(U44)+VALUE(W44)</f>
        <v>4188.7902047863909</v>
      </c>
      <c r="Z44" s="76">
        <f t="shared" ref="Z44:Z49" si="41">(I44-($G$16+$Z$14+K44/2))</f>
        <v>897</v>
      </c>
      <c r="AA44" s="151">
        <f t="shared" ref="AA44:AA49" si="42">IF(N44=0,0,(I44-($G$15+$Z$14+K44/2+$AD$16)))</f>
        <v>0</v>
      </c>
      <c r="AB44" s="151">
        <f t="shared" ref="AB44:AB49" si="43">IF(R44=0,0,(I44-($G$15+$Z$14+K44/2+$AD$16+$AD$17)))</f>
        <v>0</v>
      </c>
      <c r="AC44" s="76">
        <f t="shared" ref="AC44:AC49" si="44">(Z44*S44+AA44*U44+AB44*W44)/Y44</f>
        <v>897</v>
      </c>
      <c r="AD44" s="177">
        <f t="shared" ref="AD44:AD49" si="45">F44/AC44/$H$12*1000</f>
        <v>1.434766478274238</v>
      </c>
      <c r="AE44" s="136">
        <f t="shared" ref="AE44:AE49" si="46">Y44/AC44/$H$12*100</f>
        <v>0.46697772628610817</v>
      </c>
      <c r="AF44" s="178" t="s">
        <v>43</v>
      </c>
      <c r="AG44" s="84">
        <f t="shared" ref="AG44:AG49" si="47">(0.18/1.5)*MIN(2,1+SQRT(200/AC44))*(100*MIN(0.02,Y44/$H$12/AC44)*$S$14)^(1/3)</f>
        <v>0.43513878646531268</v>
      </c>
      <c r="AH44" s="178">
        <f t="shared" ref="AH44:AH49" si="48">MAX(21.8,MIN(45,180/PI()*0.5*ASIN(F44*1000/(0.18*$H$12*AC44*(1-$S$14/250)*$S$14))))</f>
        <v>21.8</v>
      </c>
      <c r="AI44" s="76">
        <f t="shared" ref="AI44:AI49" si="49">$H$12*AC44</f>
        <v>897000</v>
      </c>
      <c r="AJ44" s="156">
        <f t="shared" ref="AJ44:AJ49" si="50">MAX(0,AG44+0.15*MIN((0.2*$S$14/1.5*0.9),G44/AI44*1000),0.035*MIN(2,1+SQRT(200/AC44))^(3/2)*SQRT($S$14))</f>
        <v>0.61098907107854794</v>
      </c>
      <c r="AK44" s="75" t="str">
        <f t="shared" si="17"/>
        <v>V &gt; Vc</v>
      </c>
      <c r="AL44" s="150">
        <f t="shared" ref="AL44:AL49" si="51">IF($AD44&lt;$AJ44,"0",IF($AD44&lt;MIN($AJ$16,$AJ$17),MAX(0.08*SQRT($S$14)/$S$16*$H$12*1000,F44/0.9*1.15/AC44/$S$16*TAN(AH44/180*PI())*10^6),"NG"))</f>
        <v>1466.5455472419221</v>
      </c>
      <c r="AM44" s="149" t="str">
        <f t="shared" si="33"/>
        <v>H</v>
      </c>
      <c r="AN44" s="76">
        <f t="shared" ref="AN44:AN49" si="52">IF(OR(AL44="0",AL44="Larger Section"),0,$Z$14)</f>
        <v>13</v>
      </c>
      <c r="AO44" s="75" t="str">
        <f t="shared" ref="AO44:AO49" si="53">IF(AP44=0,0,"-")</f>
        <v>-</v>
      </c>
      <c r="AP44" s="76">
        <f t="shared" ref="AP44:AP49" si="54">IF(OR(AL44="0",AL44="Larger Section"),0,IF((PI()*AN44^2/4)*(1000/$AG$14)/300*1000&lt;AL44,150,300))</f>
        <v>300</v>
      </c>
      <c r="AQ44" s="154">
        <f t="shared" ref="AQ44:AQ49" si="55">IF(AP44=0,0,(PI()*AN44^2/4)*(1000/$AG$14)/AP44*1000)</f>
        <v>1474.8032179352085</v>
      </c>
      <c r="AR44" s="150" t="str">
        <f t="shared" ref="AR44:AR49" si="56">IF(AD44&gt;MIN($AJ$16,$AJ$17),"NOT OK",IF(AL44="0","OK",IF(AQ44&gt;=AL44,"OK","NOT OK")))</f>
        <v>OK</v>
      </c>
      <c r="AS44" s="180" t="str">
        <f t="shared" ref="AS44:AS49" si="57">IF(AD44&gt;MIN($AJ$16,$AJ$17),"Larger section needed",IF(AL44="0","No Stirrups Required",IF(AQ44&gt;=AL44,"Stirrups Sufficient","Stirrups Not Sufficient")))</f>
        <v>Stirrups Sufficient</v>
      </c>
      <c r="AT44" s="17">
        <v>84</v>
      </c>
      <c r="AU44" s="71">
        <f>VLOOKUP(AT44,'Summary-input'!A:D,4,0)</f>
        <v>1000</v>
      </c>
      <c r="AV44" s="54">
        <f t="shared" ref="AV44:AV49" si="58">IF(AT44=0," ",AC44)</f>
        <v>897</v>
      </c>
      <c r="AW44" s="55"/>
      <c r="AX44" s="55"/>
      <c r="AY44" s="101"/>
      <c r="AZ44" s="102"/>
      <c r="BA44" s="103">
        <v>1</v>
      </c>
      <c r="BB44" s="62"/>
      <c r="BC44" s="64">
        <v>80</v>
      </c>
      <c r="BD44" s="64" t="s">
        <v>59</v>
      </c>
      <c r="BE44" s="64"/>
      <c r="BF44" s="64">
        <v>101</v>
      </c>
      <c r="BG44" s="64"/>
      <c r="BH44" s="102"/>
      <c r="BI44" s="182"/>
      <c r="BJ44" s="182">
        <f>VLOOKUP(AT44,'Summary-output-ULS'!$B:$H,7,0)</f>
        <v>-1286.9855310119915</v>
      </c>
      <c r="BK44" s="182">
        <f>-VLOOKUP(AT44,'Summary-output-ULS'!$B:$H,5,0)</f>
        <v>1051.5847019871471</v>
      </c>
      <c r="BL44" s="182">
        <f>VLOOKUP(AT44,'Summary-output-SLS'!$B:$H,5,0)</f>
        <v>-981.06130114862538</v>
      </c>
      <c r="BM44" s="182">
        <f>VLOOKUP(AT44,'Summary-output-SLS'!$B:$H,6,0)</f>
        <v>-24.672398224458707</v>
      </c>
      <c r="BN44" s="182">
        <f>VLOOKUP(AT44,'Summary-output-SLS'!$B:$H,6,0)</f>
        <v>-24.672398224458707</v>
      </c>
      <c r="BO44" s="64"/>
      <c r="BP44" s="182">
        <f>VLOOKUP(AT44,'Summary-output-ULS'!$B:$H,4,0)</f>
        <v>106</v>
      </c>
      <c r="BR44" s="174">
        <f t="shared" ref="BR44:BR49" si="59">+AJ44*AI44/1000</f>
        <v>548.0571967574574</v>
      </c>
      <c r="BS44" s="175"/>
      <c r="BT44" s="176"/>
      <c r="BV44" s="188"/>
      <c r="BW44" s="188"/>
      <c r="BX44" s="188"/>
      <c r="BY44" s="188"/>
    </row>
    <row r="45" spans="1:77" x14ac:dyDescent="0.25">
      <c r="A45" s="184">
        <f t="shared" si="27"/>
        <v>85</v>
      </c>
      <c r="B45" s="151" t="str">
        <f>VLOOKUP(A45,'Summary-input'!A:B,2,0)</f>
        <v>ROOF</v>
      </c>
      <c r="C45" s="179">
        <v>103</v>
      </c>
      <c r="D45" s="75"/>
      <c r="E45" s="147"/>
      <c r="F45" s="152">
        <f t="shared" si="28"/>
        <v>787.88541608749119</v>
      </c>
      <c r="G45" s="76">
        <f t="shared" si="29"/>
        <v>1024.9583745622226</v>
      </c>
      <c r="H45" s="155">
        <f t="shared" si="30"/>
        <v>810.23779870696478</v>
      </c>
      <c r="I45" s="152">
        <f t="shared" si="31"/>
        <v>1000</v>
      </c>
      <c r="J45" s="149" t="str">
        <f t="shared" si="32"/>
        <v>H</v>
      </c>
      <c r="K45" s="148">
        <v>40</v>
      </c>
      <c r="L45" s="75" t="str">
        <f t="shared" si="34"/>
        <v/>
      </c>
      <c r="M45" s="75" t="str">
        <f t="shared" si="35"/>
        <v/>
      </c>
      <c r="N45" s="148"/>
      <c r="O45" s="75" t="str">
        <f>IF(R45=0,"","+")</f>
        <v/>
      </c>
      <c r="P45" s="148"/>
      <c r="Q45" s="75" t="str">
        <f t="shared" si="36"/>
        <v/>
      </c>
      <c r="R45" s="153">
        <v>0</v>
      </c>
      <c r="S45" s="76">
        <f t="shared" si="37"/>
        <v>4188.7902047863909</v>
      </c>
      <c r="T45" s="75" t="str">
        <f t="shared" si="38"/>
        <v/>
      </c>
      <c r="U45" s="76">
        <f t="shared" si="39"/>
        <v>0</v>
      </c>
      <c r="V45" s="75" t="str">
        <f>IF(R45=0,"","+")</f>
        <v/>
      </c>
      <c r="W45" s="76">
        <f>IF(P45=0,PI()/4*R45^2*1000/$Z$18,PI()/4*R45^2*P45*1000/$Z$18)</f>
        <v>0</v>
      </c>
      <c r="X45" s="75" t="s">
        <v>22</v>
      </c>
      <c r="Y45" s="154">
        <f t="shared" si="40"/>
        <v>4188.7902047863909</v>
      </c>
      <c r="Z45" s="76">
        <f t="shared" si="41"/>
        <v>897</v>
      </c>
      <c r="AA45" s="151">
        <f t="shared" si="42"/>
        <v>0</v>
      </c>
      <c r="AB45" s="151">
        <f t="shared" si="43"/>
        <v>0</v>
      </c>
      <c r="AC45" s="76">
        <f t="shared" si="44"/>
        <v>897</v>
      </c>
      <c r="AD45" s="177">
        <f t="shared" si="45"/>
        <v>0.87835609374302248</v>
      </c>
      <c r="AE45" s="136">
        <f t="shared" si="46"/>
        <v>0.46697772628610817</v>
      </c>
      <c r="AF45" s="178" t="s">
        <v>43</v>
      </c>
      <c r="AG45" s="84">
        <f t="shared" si="47"/>
        <v>0.43513878646531268</v>
      </c>
      <c r="AH45" s="178">
        <f t="shared" si="48"/>
        <v>21.8</v>
      </c>
      <c r="AI45" s="76">
        <f t="shared" si="49"/>
        <v>897000</v>
      </c>
      <c r="AJ45" s="156">
        <f t="shared" si="50"/>
        <v>0.60653650796401215</v>
      </c>
      <c r="AK45" s="75" t="str">
        <f t="shared" si="17"/>
        <v>V &gt; Vc</v>
      </c>
      <c r="AL45" s="150">
        <f t="shared" si="51"/>
        <v>905.09667991878098</v>
      </c>
      <c r="AM45" s="149" t="str">
        <f t="shared" si="33"/>
        <v>H</v>
      </c>
      <c r="AN45" s="76">
        <f t="shared" si="52"/>
        <v>13</v>
      </c>
      <c r="AO45" s="147" t="str">
        <f t="shared" si="53"/>
        <v>-</v>
      </c>
      <c r="AP45" s="76">
        <f t="shared" si="54"/>
        <v>300</v>
      </c>
      <c r="AQ45" s="154">
        <f t="shared" si="55"/>
        <v>1474.8032179352085</v>
      </c>
      <c r="AR45" s="150" t="str">
        <f t="shared" si="56"/>
        <v>OK</v>
      </c>
      <c r="AS45" s="180" t="str">
        <f t="shared" si="57"/>
        <v>Stirrups Sufficient</v>
      </c>
      <c r="AT45" s="17">
        <v>85</v>
      </c>
      <c r="AU45" s="71">
        <f>VLOOKUP(AT45,'Summary-input'!A:D,4,0)</f>
        <v>1000</v>
      </c>
      <c r="AV45" s="54">
        <f t="shared" si="58"/>
        <v>897</v>
      </c>
      <c r="AW45" s="55"/>
      <c r="AX45" s="55"/>
      <c r="AY45" s="101"/>
      <c r="AZ45" s="102"/>
      <c r="BA45" s="103">
        <v>1</v>
      </c>
      <c r="BB45" s="62"/>
      <c r="BC45" s="64">
        <v>79</v>
      </c>
      <c r="BD45" s="64" t="s">
        <v>59</v>
      </c>
      <c r="BE45" s="64"/>
      <c r="BF45" s="64">
        <v>114</v>
      </c>
      <c r="BG45" s="64"/>
      <c r="BH45" s="102"/>
      <c r="BI45" s="182"/>
      <c r="BJ45" s="182">
        <f>VLOOKUP(AT45,'Summary-output-ULS'!$B:$H,7,0)</f>
        <v>-787.88541608749119</v>
      </c>
      <c r="BK45" s="182">
        <f>-VLOOKUP(AT45,'Summary-output-ULS'!$B:$H,5,0)</f>
        <v>1024.9583745622226</v>
      </c>
      <c r="BL45" s="182">
        <f>VLOOKUP(AT45,'Summary-output-SLS'!$B:$H,5,0)</f>
        <v>-954.43497372369984</v>
      </c>
      <c r="BM45" s="182">
        <f>VLOOKUP(AT45,'Summary-output-SLS'!$B:$H,6,0)</f>
        <v>810.23779870696478</v>
      </c>
      <c r="BN45" s="182">
        <f>VLOOKUP(AT45,'Summary-output-SLS'!$B:$H,6,0)</f>
        <v>810.23779870696478</v>
      </c>
      <c r="BO45" s="64"/>
      <c r="BP45" s="182">
        <f>VLOOKUP(AT45,'Summary-output-ULS'!$B:$H,4,0)</f>
        <v>106</v>
      </c>
      <c r="BR45" s="174">
        <f t="shared" si="59"/>
        <v>544.0632476437188</v>
      </c>
      <c r="BS45" s="175"/>
      <c r="BT45" s="176"/>
      <c r="BV45" s="188"/>
      <c r="BW45" s="188"/>
      <c r="BX45" s="188"/>
      <c r="BY45" s="188"/>
    </row>
    <row r="46" spans="1:77" x14ac:dyDescent="0.25">
      <c r="A46" s="184">
        <f t="shared" si="27"/>
        <v>86</v>
      </c>
      <c r="B46" s="151" t="str">
        <f>VLOOKUP(A46,'Summary-input'!A:B,2,0)</f>
        <v>ROOF</v>
      </c>
      <c r="C46" s="179">
        <v>105</v>
      </c>
      <c r="D46" s="75"/>
      <c r="E46" s="147"/>
      <c r="F46" s="152">
        <f t="shared" si="28"/>
        <v>472.52287024937067</v>
      </c>
      <c r="G46" s="76">
        <f t="shared" si="29"/>
        <v>1722.0684651116624</v>
      </c>
      <c r="H46" s="155">
        <f t="shared" si="30"/>
        <v>1452.1957165323702</v>
      </c>
      <c r="I46" s="152">
        <f t="shared" si="31"/>
        <v>1000</v>
      </c>
      <c r="J46" s="149" t="str">
        <f t="shared" si="32"/>
        <v>H</v>
      </c>
      <c r="K46" s="148">
        <v>40</v>
      </c>
      <c r="L46" s="75" t="str">
        <f t="shared" si="34"/>
        <v/>
      </c>
      <c r="M46" s="75" t="str">
        <f t="shared" si="35"/>
        <v/>
      </c>
      <c r="N46" s="148"/>
      <c r="O46" s="75" t="str">
        <f>IF(R46=0,"","+")</f>
        <v/>
      </c>
      <c r="P46" s="148"/>
      <c r="Q46" s="75" t="str">
        <f t="shared" si="36"/>
        <v/>
      </c>
      <c r="R46" s="153"/>
      <c r="S46" s="76">
        <f t="shared" si="37"/>
        <v>4188.7902047863909</v>
      </c>
      <c r="T46" s="75" t="str">
        <f t="shared" si="38"/>
        <v/>
      </c>
      <c r="U46" s="76">
        <f t="shared" si="39"/>
        <v>0</v>
      </c>
      <c r="V46" s="75" t="str">
        <f>IF(R46=0,"","+")</f>
        <v/>
      </c>
      <c r="W46" s="76">
        <f>IF(P46=0,PI()/4*R46^2*1000/$Z$18,PI()/4*R46^2*P46*1000/$Z$18)</f>
        <v>0</v>
      </c>
      <c r="X46" s="75" t="s">
        <v>22</v>
      </c>
      <c r="Y46" s="154">
        <f t="shared" si="40"/>
        <v>4188.7902047863909</v>
      </c>
      <c r="Z46" s="76">
        <f t="shared" si="41"/>
        <v>897</v>
      </c>
      <c r="AA46" s="151">
        <f t="shared" si="42"/>
        <v>0</v>
      </c>
      <c r="AB46" s="151">
        <f t="shared" si="43"/>
        <v>0</v>
      </c>
      <c r="AC46" s="76">
        <f t="shared" si="44"/>
        <v>897</v>
      </c>
      <c r="AD46" s="177">
        <f t="shared" si="45"/>
        <v>0.52678134921891939</v>
      </c>
      <c r="AE46" s="136">
        <f t="shared" si="46"/>
        <v>0.46697772628610817</v>
      </c>
      <c r="AF46" s="178" t="s">
        <v>43</v>
      </c>
      <c r="AG46" s="84">
        <f t="shared" si="47"/>
        <v>0.43513878646531268</v>
      </c>
      <c r="AH46" s="178">
        <f t="shared" si="48"/>
        <v>21.8</v>
      </c>
      <c r="AI46" s="76">
        <f t="shared" si="49"/>
        <v>897000</v>
      </c>
      <c r="AJ46" s="156">
        <f t="shared" si="50"/>
        <v>0.72311010170137657</v>
      </c>
      <c r="AK46" s="75" t="str">
        <f t="shared" si="17"/>
        <v>V ≤ Vc</v>
      </c>
      <c r="AL46" s="150" t="str">
        <f t="shared" si="51"/>
        <v>0</v>
      </c>
      <c r="AM46" s="149">
        <f t="shared" si="33"/>
        <v>0</v>
      </c>
      <c r="AN46" s="76">
        <f t="shared" si="52"/>
        <v>0</v>
      </c>
      <c r="AO46" s="147">
        <f t="shared" si="53"/>
        <v>0</v>
      </c>
      <c r="AP46" s="76">
        <f t="shared" si="54"/>
        <v>0</v>
      </c>
      <c r="AQ46" s="154">
        <f t="shared" si="55"/>
        <v>0</v>
      </c>
      <c r="AR46" s="150" t="str">
        <f t="shared" si="56"/>
        <v>OK</v>
      </c>
      <c r="AS46" s="180" t="str">
        <f t="shared" si="57"/>
        <v>No Stirrups Required</v>
      </c>
      <c r="AT46" s="17">
        <v>86</v>
      </c>
      <c r="AU46" s="71">
        <f>VLOOKUP(AT46,'Summary-input'!A:D,4,0)</f>
        <v>1000</v>
      </c>
      <c r="AV46" s="54">
        <f t="shared" si="58"/>
        <v>897</v>
      </c>
      <c r="AW46" s="55"/>
      <c r="AX46" s="55"/>
      <c r="AY46" s="101"/>
      <c r="AZ46" s="102"/>
      <c r="BA46" s="103">
        <v>1</v>
      </c>
      <c r="BB46" s="62"/>
      <c r="BC46" s="64">
        <v>78</v>
      </c>
      <c r="BD46" s="64" t="s">
        <v>59</v>
      </c>
      <c r="BE46" s="64"/>
      <c r="BF46" s="64">
        <v>105</v>
      </c>
      <c r="BG46" s="64"/>
      <c r="BH46" s="102"/>
      <c r="BI46" s="182"/>
      <c r="BJ46" s="182">
        <f>VLOOKUP(AT46,'Summary-output-ULS'!$B:$H,7,0)</f>
        <v>472.52287024937067</v>
      </c>
      <c r="BK46" s="182">
        <f>-VLOOKUP(AT46,'Summary-output-ULS'!$B:$H,5,0)</f>
        <v>1722.0684651116624</v>
      </c>
      <c r="BL46" s="182">
        <f>VLOOKUP(AT46,'Summary-output-SLS'!$B:$H,5,0)</f>
        <v>-1262.9498402118695</v>
      </c>
      <c r="BM46" s="182">
        <f>VLOOKUP(AT46,'Summary-output-SLS'!$B:$H,6,0)</f>
        <v>1452.1957165323702</v>
      </c>
      <c r="BN46" s="182">
        <f>VLOOKUP(AT46,'Summary-output-SLS'!$B:$H,6,0)</f>
        <v>1452.1957165323702</v>
      </c>
      <c r="BO46" s="64"/>
      <c r="BP46" s="182">
        <f>VLOOKUP(AT46,'Summary-output-ULS'!$B:$H,4,0)</f>
        <v>103</v>
      </c>
      <c r="BR46" s="174">
        <f t="shared" si="59"/>
        <v>648.62976122613486</v>
      </c>
      <c r="BS46" s="175"/>
      <c r="BT46" s="176"/>
      <c r="BV46" s="188"/>
      <c r="BW46" s="188"/>
      <c r="BX46" s="188"/>
      <c r="BY46" s="188"/>
    </row>
    <row r="47" spans="1:77" x14ac:dyDescent="0.25">
      <c r="A47" s="184">
        <f t="shared" si="27"/>
        <v>87</v>
      </c>
      <c r="B47" s="151" t="str">
        <f>VLOOKUP(A47,'Summary-input'!A:B,2,0)</f>
        <v>ROOF</v>
      </c>
      <c r="C47" s="179">
        <v>105</v>
      </c>
      <c r="D47" s="75"/>
      <c r="E47" s="147"/>
      <c r="F47" s="152">
        <f t="shared" si="28"/>
        <v>852.31566708976038</v>
      </c>
      <c r="G47" s="76">
        <f t="shared" si="29"/>
        <v>1686.1229230880076</v>
      </c>
      <c r="H47" s="155">
        <f t="shared" si="30"/>
        <v>902.8650703105518</v>
      </c>
      <c r="I47" s="152">
        <f t="shared" si="31"/>
        <v>1000</v>
      </c>
      <c r="J47" s="149" t="str">
        <f t="shared" si="32"/>
        <v>H</v>
      </c>
      <c r="K47" s="148">
        <v>40</v>
      </c>
      <c r="L47" s="75" t="str">
        <f t="shared" si="34"/>
        <v/>
      </c>
      <c r="M47" s="75" t="str">
        <f t="shared" si="35"/>
        <v/>
      </c>
      <c r="N47" s="148"/>
      <c r="O47" s="75"/>
      <c r="P47" s="148"/>
      <c r="Q47" s="75" t="str">
        <f t="shared" si="36"/>
        <v/>
      </c>
      <c r="R47" s="153"/>
      <c r="S47" s="76">
        <f t="shared" si="37"/>
        <v>4188.7902047863909</v>
      </c>
      <c r="T47" s="75" t="str">
        <f t="shared" si="38"/>
        <v/>
      </c>
      <c r="U47" s="76">
        <f t="shared" si="39"/>
        <v>0</v>
      </c>
      <c r="V47" s="75"/>
      <c r="W47" s="76"/>
      <c r="X47" s="75" t="s">
        <v>22</v>
      </c>
      <c r="Y47" s="154">
        <f t="shared" si="40"/>
        <v>4188.7902047863909</v>
      </c>
      <c r="Z47" s="76">
        <f t="shared" si="41"/>
        <v>897</v>
      </c>
      <c r="AA47" s="151">
        <f t="shared" si="42"/>
        <v>0</v>
      </c>
      <c r="AB47" s="151">
        <f t="shared" si="43"/>
        <v>0</v>
      </c>
      <c r="AC47" s="76">
        <f t="shared" si="44"/>
        <v>897</v>
      </c>
      <c r="AD47" s="177">
        <f t="shared" si="45"/>
        <v>0.95018469017810525</v>
      </c>
      <c r="AE47" s="136">
        <f t="shared" si="46"/>
        <v>0.46697772628610817</v>
      </c>
      <c r="AF47" s="178" t="s">
        <v>43</v>
      </c>
      <c r="AG47" s="84">
        <f t="shared" si="47"/>
        <v>0.43513878646531268</v>
      </c>
      <c r="AH47" s="178">
        <f t="shared" si="48"/>
        <v>21.8</v>
      </c>
      <c r="AI47" s="76">
        <f t="shared" si="49"/>
        <v>897000</v>
      </c>
      <c r="AJ47" s="156">
        <f t="shared" si="50"/>
        <v>0.71709914149675202</v>
      </c>
      <c r="AK47" s="75" t="str">
        <f t="shared" si="17"/>
        <v>V &gt; Vc</v>
      </c>
      <c r="AL47" s="150">
        <f t="shared" si="51"/>
        <v>971.23061316170322</v>
      </c>
      <c r="AM47" s="149" t="str">
        <f t="shared" si="33"/>
        <v>H</v>
      </c>
      <c r="AN47" s="76">
        <f t="shared" si="52"/>
        <v>13</v>
      </c>
      <c r="AO47" s="147" t="str">
        <f t="shared" si="53"/>
        <v>-</v>
      </c>
      <c r="AP47" s="76">
        <f t="shared" si="54"/>
        <v>300</v>
      </c>
      <c r="AQ47" s="154">
        <f t="shared" si="55"/>
        <v>1474.8032179352085</v>
      </c>
      <c r="AR47" s="150" t="str">
        <f t="shared" si="56"/>
        <v>OK</v>
      </c>
      <c r="AS47" s="180" t="str">
        <f t="shared" si="57"/>
        <v>Stirrups Sufficient</v>
      </c>
      <c r="AT47" s="17">
        <v>87</v>
      </c>
      <c r="AU47" s="71">
        <f>VLOOKUP(AT47,'Summary-input'!A:D,4,0)</f>
        <v>1000</v>
      </c>
      <c r="AV47" s="54">
        <f t="shared" si="58"/>
        <v>897</v>
      </c>
      <c r="AW47" s="55"/>
      <c r="AX47" s="55"/>
      <c r="AY47" s="101"/>
      <c r="AZ47" s="102"/>
      <c r="BA47" s="103">
        <v>1</v>
      </c>
      <c r="BB47" s="62"/>
      <c r="BC47" s="64">
        <v>77</v>
      </c>
      <c r="BD47" s="16" t="s">
        <v>59</v>
      </c>
      <c r="BE47" s="64"/>
      <c r="BF47" s="64">
        <v>103</v>
      </c>
      <c r="BG47" s="64"/>
      <c r="BH47" s="102"/>
      <c r="BI47" s="182"/>
      <c r="BJ47" s="182">
        <f>VLOOKUP(AT47,'Summary-output-ULS'!$B:$H,7,0)</f>
        <v>852.31566708976038</v>
      </c>
      <c r="BK47" s="182">
        <f>-VLOOKUP(AT47,'Summary-output-ULS'!$B:$H,5,0)</f>
        <v>1686.1229230880076</v>
      </c>
      <c r="BL47" s="182">
        <f>VLOOKUP(AT47,'Summary-output-SLS'!$B:$H,5,0)</f>
        <v>-1236.3235127869423</v>
      </c>
      <c r="BM47" s="182">
        <f>VLOOKUP(AT47,'Summary-output-SLS'!$B:$H,6,0)</f>
        <v>902.8650703105518</v>
      </c>
      <c r="BN47" s="182">
        <f>VLOOKUP(AT47,'Summary-output-SLS'!$B:$H,6,0)</f>
        <v>902.8650703105518</v>
      </c>
      <c r="BO47" s="64"/>
      <c r="BP47" s="182">
        <f>VLOOKUP(AT47,'Summary-output-ULS'!$B:$H,4,0)</f>
        <v>103</v>
      </c>
      <c r="BR47" s="174">
        <f t="shared" si="59"/>
        <v>643.23792992258655</v>
      </c>
      <c r="BS47" s="175"/>
      <c r="BT47" s="176"/>
      <c r="BV47" s="188"/>
      <c r="BW47" s="188"/>
      <c r="BX47" s="188"/>
      <c r="BY47" s="188"/>
    </row>
    <row r="48" spans="1:77" x14ac:dyDescent="0.25">
      <c r="A48" s="184">
        <f t="shared" si="27"/>
        <v>120</v>
      </c>
      <c r="B48" s="151" t="str">
        <f>VLOOKUP(A48,'Summary-input'!A:B,2,0)</f>
        <v>I.WALL</v>
      </c>
      <c r="C48" s="179">
        <v>105</v>
      </c>
      <c r="D48" s="75"/>
      <c r="E48" s="147"/>
      <c r="F48" s="152" t="e">
        <f t="shared" si="28"/>
        <v>#N/A</v>
      </c>
      <c r="G48" s="76" t="e">
        <f t="shared" si="29"/>
        <v>#N/A</v>
      </c>
      <c r="H48" s="155" t="e">
        <f t="shared" si="30"/>
        <v>#N/A</v>
      </c>
      <c r="I48" s="152">
        <f t="shared" si="31"/>
        <v>600</v>
      </c>
      <c r="J48" s="149" t="str">
        <f t="shared" si="32"/>
        <v>H</v>
      </c>
      <c r="K48" s="148">
        <v>40</v>
      </c>
      <c r="L48" s="75" t="str">
        <f t="shared" si="34"/>
        <v/>
      </c>
      <c r="M48" s="75" t="str">
        <f t="shared" si="35"/>
        <v/>
      </c>
      <c r="N48" s="148"/>
      <c r="O48" s="75" t="str">
        <f t="shared" ref="O48:O53" si="60">IF(R48=0,"","+")</f>
        <v/>
      </c>
      <c r="P48" s="148"/>
      <c r="Q48" s="75" t="str">
        <f t="shared" si="36"/>
        <v/>
      </c>
      <c r="R48" s="153">
        <v>0</v>
      </c>
      <c r="S48" s="76">
        <f t="shared" si="37"/>
        <v>4188.7902047863909</v>
      </c>
      <c r="T48" s="75" t="str">
        <f t="shared" si="38"/>
        <v/>
      </c>
      <c r="U48" s="76">
        <f t="shared" si="39"/>
        <v>0</v>
      </c>
      <c r="V48" s="75" t="str">
        <f t="shared" ref="V48:V53" si="61">IF(R48=0,"","+")</f>
        <v/>
      </c>
      <c r="W48" s="76">
        <f t="shared" ref="W48:W53" si="62">IF(P48=0,PI()/4*R48^2*1000/$Z$18,PI()/4*R48^2*P48*1000/$Z$18)</f>
        <v>0</v>
      </c>
      <c r="X48" s="75" t="s">
        <v>22</v>
      </c>
      <c r="Y48" s="154">
        <f t="shared" si="40"/>
        <v>4188.7902047863909</v>
      </c>
      <c r="Z48" s="76">
        <f t="shared" si="41"/>
        <v>497</v>
      </c>
      <c r="AA48" s="151">
        <f t="shared" si="42"/>
        <v>0</v>
      </c>
      <c r="AB48" s="151">
        <f t="shared" si="43"/>
        <v>0</v>
      </c>
      <c r="AC48" s="76">
        <f t="shared" si="44"/>
        <v>497</v>
      </c>
      <c r="AD48" s="177" t="e">
        <f t="shared" si="45"/>
        <v>#N/A</v>
      </c>
      <c r="AE48" s="136">
        <f t="shared" si="46"/>
        <v>0.84281493054052126</v>
      </c>
      <c r="AF48" s="178" t="s">
        <v>43</v>
      </c>
      <c r="AG48" s="84">
        <f t="shared" si="47"/>
        <v>0.58815270244667417</v>
      </c>
      <c r="AH48" s="178" t="e">
        <f t="shared" si="48"/>
        <v>#N/A</v>
      </c>
      <c r="AI48" s="76">
        <f t="shared" si="49"/>
        <v>497000</v>
      </c>
      <c r="AJ48" s="156" t="e">
        <f t="shared" si="50"/>
        <v>#N/A</v>
      </c>
      <c r="AK48" s="75" t="e">
        <f t="shared" si="17"/>
        <v>#N/A</v>
      </c>
      <c r="AL48" s="150" t="e">
        <f t="shared" si="51"/>
        <v>#N/A</v>
      </c>
      <c r="AM48" s="149" t="e">
        <f t="shared" si="33"/>
        <v>#N/A</v>
      </c>
      <c r="AN48" s="76" t="e">
        <f t="shared" si="52"/>
        <v>#N/A</v>
      </c>
      <c r="AO48" s="75" t="e">
        <f t="shared" si="53"/>
        <v>#N/A</v>
      </c>
      <c r="AP48" s="76" t="e">
        <f t="shared" si="54"/>
        <v>#N/A</v>
      </c>
      <c r="AQ48" s="154" t="e">
        <f t="shared" si="55"/>
        <v>#N/A</v>
      </c>
      <c r="AR48" s="150" t="e">
        <f t="shared" si="56"/>
        <v>#N/A</v>
      </c>
      <c r="AS48" s="180" t="e">
        <f t="shared" si="57"/>
        <v>#N/A</v>
      </c>
      <c r="AT48" s="17">
        <v>120</v>
      </c>
      <c r="AU48" s="71">
        <f>VLOOKUP(AT48,'Summary-input'!A:D,4,0)</f>
        <v>600</v>
      </c>
      <c r="AV48" s="54">
        <f t="shared" si="58"/>
        <v>497</v>
      </c>
      <c r="AW48" s="55"/>
      <c r="AX48" s="55"/>
      <c r="AY48" s="101"/>
      <c r="AZ48" s="102"/>
      <c r="BA48" s="103">
        <v>1</v>
      </c>
      <c r="BB48" s="62"/>
      <c r="BC48" s="64">
        <v>80</v>
      </c>
      <c r="BD48" s="64" t="s">
        <v>59</v>
      </c>
      <c r="BE48" s="64"/>
      <c r="BF48" s="64">
        <v>105</v>
      </c>
      <c r="BG48" s="64"/>
      <c r="BH48" s="102"/>
      <c r="BI48" s="182"/>
      <c r="BJ48" s="182" t="e">
        <f>VLOOKUP(AT48,'Summary-output-ULS'!$B:$H,7,0)</f>
        <v>#N/A</v>
      </c>
      <c r="BK48" s="182" t="e">
        <f>-VLOOKUP(AT48,'Summary-output-ULS'!$B:$H,5,0)</f>
        <v>#N/A</v>
      </c>
      <c r="BL48" s="182" t="e">
        <f>VLOOKUP(AT48,'Summary-output-SLS'!$B:$H,5,0)</f>
        <v>#N/A</v>
      </c>
      <c r="BM48" s="182" t="e">
        <f>VLOOKUP(AT48,'Summary-output-SLS'!$B:$H,6,0)</f>
        <v>#N/A</v>
      </c>
      <c r="BN48" s="182" t="e">
        <f>VLOOKUP(AT48,'Summary-output-SLS'!$B:$H,6,0)</f>
        <v>#N/A</v>
      </c>
      <c r="BO48" s="64"/>
      <c r="BP48" s="182" t="e">
        <f>VLOOKUP(AT48,'Summary-output-ULS'!$B:$H,4,0)</f>
        <v>#N/A</v>
      </c>
      <c r="BR48" s="174" t="e">
        <f t="shared" si="59"/>
        <v>#N/A</v>
      </c>
      <c r="BS48" s="175"/>
      <c r="BT48" s="176"/>
      <c r="BV48" s="188"/>
      <c r="BW48" s="188"/>
      <c r="BX48" s="188"/>
      <c r="BY48" s="188"/>
    </row>
    <row r="49" spans="1:77" x14ac:dyDescent="0.25">
      <c r="A49" s="184">
        <f t="shared" si="27"/>
        <v>121</v>
      </c>
      <c r="B49" s="151" t="str">
        <f>VLOOKUP(A49,'Summary-input'!A:B,2,0)</f>
        <v>I.WALL</v>
      </c>
      <c r="C49" s="179">
        <v>105</v>
      </c>
      <c r="D49" s="75"/>
      <c r="E49" s="147"/>
      <c r="F49" s="152" t="e">
        <f t="shared" si="28"/>
        <v>#N/A</v>
      </c>
      <c r="G49" s="76" t="e">
        <f t="shared" si="29"/>
        <v>#N/A</v>
      </c>
      <c r="H49" s="155" t="e">
        <f t="shared" si="30"/>
        <v>#N/A</v>
      </c>
      <c r="I49" s="152">
        <f t="shared" si="31"/>
        <v>600</v>
      </c>
      <c r="J49" s="149" t="str">
        <f t="shared" si="32"/>
        <v>H</v>
      </c>
      <c r="K49" s="148">
        <v>40</v>
      </c>
      <c r="L49" s="75" t="str">
        <f t="shared" si="34"/>
        <v/>
      </c>
      <c r="M49" s="75" t="str">
        <f t="shared" si="35"/>
        <v/>
      </c>
      <c r="N49" s="148"/>
      <c r="O49" s="75" t="str">
        <f t="shared" si="60"/>
        <v/>
      </c>
      <c r="P49" s="148"/>
      <c r="Q49" s="75" t="str">
        <f t="shared" si="36"/>
        <v/>
      </c>
      <c r="R49" s="153">
        <v>0</v>
      </c>
      <c r="S49" s="76">
        <f t="shared" si="37"/>
        <v>4188.7902047863909</v>
      </c>
      <c r="T49" s="75" t="str">
        <f t="shared" si="38"/>
        <v/>
      </c>
      <c r="U49" s="76">
        <f t="shared" si="39"/>
        <v>0</v>
      </c>
      <c r="V49" s="75" t="str">
        <f t="shared" si="61"/>
        <v/>
      </c>
      <c r="W49" s="76">
        <f t="shared" si="62"/>
        <v>0</v>
      </c>
      <c r="X49" s="75" t="s">
        <v>22</v>
      </c>
      <c r="Y49" s="154">
        <f t="shared" si="40"/>
        <v>4188.7902047863909</v>
      </c>
      <c r="Z49" s="76">
        <f t="shared" si="41"/>
        <v>497</v>
      </c>
      <c r="AA49" s="151">
        <f t="shared" si="42"/>
        <v>0</v>
      </c>
      <c r="AB49" s="151">
        <f t="shared" si="43"/>
        <v>0</v>
      </c>
      <c r="AC49" s="76">
        <f t="shared" si="44"/>
        <v>497</v>
      </c>
      <c r="AD49" s="177" t="e">
        <f t="shared" si="45"/>
        <v>#N/A</v>
      </c>
      <c r="AE49" s="136">
        <f t="shared" si="46"/>
        <v>0.84281493054052126</v>
      </c>
      <c r="AF49" s="178" t="s">
        <v>43</v>
      </c>
      <c r="AG49" s="84">
        <f t="shared" si="47"/>
        <v>0.58815270244667417</v>
      </c>
      <c r="AH49" s="178" t="e">
        <f t="shared" si="48"/>
        <v>#N/A</v>
      </c>
      <c r="AI49" s="76">
        <f t="shared" si="49"/>
        <v>497000</v>
      </c>
      <c r="AJ49" s="156" t="e">
        <f t="shared" si="50"/>
        <v>#N/A</v>
      </c>
      <c r="AK49" s="75" t="e">
        <f t="shared" si="17"/>
        <v>#N/A</v>
      </c>
      <c r="AL49" s="150" t="e">
        <f t="shared" si="51"/>
        <v>#N/A</v>
      </c>
      <c r="AM49" s="149" t="e">
        <f t="shared" si="33"/>
        <v>#N/A</v>
      </c>
      <c r="AN49" s="76" t="e">
        <f t="shared" si="52"/>
        <v>#N/A</v>
      </c>
      <c r="AO49" s="75" t="e">
        <f t="shared" si="53"/>
        <v>#N/A</v>
      </c>
      <c r="AP49" s="76" t="e">
        <f t="shared" si="54"/>
        <v>#N/A</v>
      </c>
      <c r="AQ49" s="154" t="e">
        <f t="shared" si="55"/>
        <v>#N/A</v>
      </c>
      <c r="AR49" s="150" t="e">
        <f t="shared" si="56"/>
        <v>#N/A</v>
      </c>
      <c r="AS49" s="180" t="e">
        <f t="shared" si="57"/>
        <v>#N/A</v>
      </c>
      <c r="AT49" s="17">
        <v>121</v>
      </c>
      <c r="AU49" s="71">
        <f>VLOOKUP(AT49,'Summary-input'!A:D,4,0)</f>
        <v>600</v>
      </c>
      <c r="AV49" s="54">
        <f t="shared" si="58"/>
        <v>497</v>
      </c>
      <c r="AW49" s="55"/>
      <c r="AX49" s="55"/>
      <c r="AY49" s="101"/>
      <c r="AZ49" s="102"/>
      <c r="BA49" s="103">
        <v>1</v>
      </c>
      <c r="BB49" s="62"/>
      <c r="BC49" s="64">
        <v>80</v>
      </c>
      <c r="BD49" s="64" t="s">
        <v>59</v>
      </c>
      <c r="BE49" s="64"/>
      <c r="BF49" s="64">
        <v>105</v>
      </c>
      <c r="BG49" s="64"/>
      <c r="BH49" s="102"/>
      <c r="BI49" s="182"/>
      <c r="BJ49" s="182" t="e">
        <f>VLOOKUP(AT49,'Summary-output-ULS'!$B:$H,7,0)</f>
        <v>#N/A</v>
      </c>
      <c r="BK49" s="182" t="e">
        <f>-VLOOKUP(AT49,'Summary-output-ULS'!$B:$H,5,0)</f>
        <v>#N/A</v>
      </c>
      <c r="BL49" s="182" t="e">
        <f>VLOOKUP(AT49,'Summary-output-SLS'!$B:$H,5,0)</f>
        <v>#N/A</v>
      </c>
      <c r="BM49" s="182" t="e">
        <f>VLOOKUP(AT49,'Summary-output-SLS'!$B:$H,6,0)</f>
        <v>#N/A</v>
      </c>
      <c r="BN49" s="182" t="e">
        <f>VLOOKUP(AT49,'Summary-output-SLS'!$B:$H,6,0)</f>
        <v>#N/A</v>
      </c>
      <c r="BO49" s="64"/>
      <c r="BP49" s="182" t="e">
        <f>VLOOKUP(AT49,'Summary-output-ULS'!$B:$H,4,0)</f>
        <v>#N/A</v>
      </c>
      <c r="BR49" s="174" t="e">
        <f t="shared" si="59"/>
        <v>#N/A</v>
      </c>
      <c r="BS49" s="175"/>
      <c r="BT49" s="176"/>
      <c r="BV49" s="188"/>
      <c r="BW49" s="188"/>
      <c r="BX49" s="188"/>
      <c r="BY49" s="188"/>
    </row>
    <row r="50" spans="1:77" x14ac:dyDescent="0.25">
      <c r="A50" s="184">
        <f t="shared" si="27"/>
        <v>122</v>
      </c>
      <c r="B50" s="151" t="str">
        <f>VLOOKUP(A50,'Summary-input'!A:B,2,0)</f>
        <v>I.WALL</v>
      </c>
      <c r="C50" s="179">
        <v>103</v>
      </c>
      <c r="D50" s="75"/>
      <c r="E50" s="147"/>
      <c r="F50" s="152" t="e">
        <f t="shared" si="28"/>
        <v>#N/A</v>
      </c>
      <c r="G50" s="76" t="e">
        <f t="shared" si="29"/>
        <v>#N/A</v>
      </c>
      <c r="H50" s="155" t="e">
        <f t="shared" si="30"/>
        <v>#N/A</v>
      </c>
      <c r="I50" s="152">
        <f t="shared" si="31"/>
        <v>600</v>
      </c>
      <c r="J50" s="149" t="str">
        <f t="shared" si="32"/>
        <v>H</v>
      </c>
      <c r="K50" s="148">
        <v>40</v>
      </c>
      <c r="L50" s="75" t="str">
        <f t="shared" ref="L50:L73" si="63">IF(N50=0,"","+")</f>
        <v/>
      </c>
      <c r="M50" s="75" t="str">
        <f t="shared" ref="M50:M73" si="64">IF(N50=0,"","T")</f>
        <v/>
      </c>
      <c r="N50" s="148"/>
      <c r="O50" s="75" t="str">
        <f t="shared" si="60"/>
        <v/>
      </c>
      <c r="P50" s="148"/>
      <c r="Q50" s="75" t="str">
        <f t="shared" ref="Q50:Q73" si="65">IF(R50=0,"","T")</f>
        <v/>
      </c>
      <c r="R50" s="153">
        <v>0</v>
      </c>
      <c r="S50" s="76">
        <f t="shared" ref="S50:S73" si="66">PI()/4*K50^2*1000/$Z$16</f>
        <v>4188.7902047863909</v>
      </c>
      <c r="T50" s="75" t="str">
        <f t="shared" ref="T50:T73" si="67">IF(N50=0,"","+")</f>
        <v/>
      </c>
      <c r="U50" s="76">
        <f t="shared" ref="U50:U73" si="68">PI()/4*N50^2*1000/$Z$17</f>
        <v>0</v>
      </c>
      <c r="V50" s="75" t="str">
        <f t="shared" si="61"/>
        <v/>
      </c>
      <c r="W50" s="76">
        <f t="shared" si="62"/>
        <v>0</v>
      </c>
      <c r="X50" s="75" t="s">
        <v>22</v>
      </c>
      <c r="Y50" s="154">
        <f t="shared" ref="Y50:Y73" si="69">VALUE(S50)+VALUE(U50)+VALUE(W50)</f>
        <v>4188.7902047863909</v>
      </c>
      <c r="Z50" s="76">
        <f t="shared" ref="Z50:Z73" si="70">(I50-($G$16+$Z$14+K50/2))</f>
        <v>497</v>
      </c>
      <c r="AA50" s="151">
        <f t="shared" ref="AA50:AA73" si="71">IF(N50=0,0,(I50-($G$15+$Z$14+K50/2+$AD$16)))</f>
        <v>0</v>
      </c>
      <c r="AB50" s="151">
        <f t="shared" ref="AB50:AB73" si="72">IF(R50=0,0,(I50-($G$15+$Z$14+K50/2+$AD$16+$AD$17)))</f>
        <v>0</v>
      </c>
      <c r="AC50" s="76">
        <f t="shared" ref="AC50:AC73" si="73">(Z50*S50+AA50*U50+AB50*W50)/Y50</f>
        <v>497</v>
      </c>
      <c r="AD50" s="177" t="e">
        <f t="shared" ref="AD50:AD73" si="74">F50/AC50/$H$12*1000</f>
        <v>#N/A</v>
      </c>
      <c r="AE50" s="136">
        <f t="shared" ref="AE50:AE73" si="75">Y50/AC50/$H$12*100</f>
        <v>0.84281493054052126</v>
      </c>
      <c r="AF50" s="178" t="s">
        <v>43</v>
      </c>
      <c r="AG50" s="84">
        <f t="shared" ref="AG50:AG73" si="76">(0.18/1.5)*MIN(2,1+SQRT(200/AC50))*(100*MIN(0.02,Y50/$H$12/AC50)*$S$14)^(1/3)</f>
        <v>0.58815270244667417</v>
      </c>
      <c r="AH50" s="178" t="e">
        <f t="shared" ref="AH50:AH73" si="77">MAX(21.8,MIN(45,180/PI()*0.5*ASIN(F50*1000/(0.18*$H$12*AC50*(1-$S$14/250)*$S$14))))</f>
        <v>#N/A</v>
      </c>
      <c r="AI50" s="76">
        <f t="shared" ref="AI50:AI73" si="78">$H$12*AC50</f>
        <v>497000</v>
      </c>
      <c r="AJ50" s="156" t="e">
        <f t="shared" ref="AJ50:AJ73" si="79">MAX(0,AG50+0.15*MIN((0.2*$S$14/1.5*0.9),G50/AI50*1000),0.035*MIN(2,1+SQRT(200/AC50))^(3/2)*SQRT($S$14))</f>
        <v>#N/A</v>
      </c>
      <c r="AK50" s="75" t="e">
        <f t="shared" si="17"/>
        <v>#N/A</v>
      </c>
      <c r="AL50" s="150" t="e">
        <f t="shared" ref="AL50:AL73" si="80">IF($AD50&lt;$AJ50,"0",IF($AD50&lt;MIN($AJ$16,$AJ$17),MAX(0.08*SQRT($S$14)/$S$16*$H$12*1000,F50/0.9*1.15/AC50/$S$16*TAN(AH50/180*PI())*10^6),"NG"))</f>
        <v>#N/A</v>
      </c>
      <c r="AM50" s="149" t="e">
        <f t="shared" si="33"/>
        <v>#N/A</v>
      </c>
      <c r="AN50" s="76" t="e">
        <f t="shared" ref="AN50:AN73" si="81">IF(OR(AL50="0",AL50="Larger Section"),0,$Z$14)</f>
        <v>#N/A</v>
      </c>
      <c r="AO50" s="75" t="e">
        <f t="shared" ref="AO50:AO73" si="82">IF(AP50=0,0,"-")</f>
        <v>#N/A</v>
      </c>
      <c r="AP50" s="76" t="e">
        <f t="shared" ref="AP50:AP73" si="83">IF(OR(AL50="0",AL50="Larger Section"),0,IF((PI()*AN50^2/4)*(1000/$AG$14)/300*1000&lt;AL50,150,300))</f>
        <v>#N/A</v>
      </c>
      <c r="AQ50" s="154" t="e">
        <f t="shared" ref="AQ50:AQ73" si="84">IF(AP50=0,0,(PI()*AN50^2/4)*(1000/$AG$14)/AP50*1000)</f>
        <v>#N/A</v>
      </c>
      <c r="AR50" s="150" t="e">
        <f t="shared" ref="AR50:AR73" si="85">IF(AD50&gt;MIN($AJ$16,$AJ$17),"NOT OK",IF(AL50="0","OK",IF(AQ50&gt;=AL50,"OK","NOT OK")))</f>
        <v>#N/A</v>
      </c>
      <c r="AS50" s="180" t="e">
        <f t="shared" ref="AS50:AS73" si="86">IF(AD50&gt;MIN($AJ$16,$AJ$17),"Larger section needed",IF(AL50="0","No Stirrups Required",IF(AQ50&gt;=AL50,"Stirrups Sufficient","Stirrups Not Sufficient")))</f>
        <v>#N/A</v>
      </c>
      <c r="AT50" s="17">
        <v>122</v>
      </c>
      <c r="AU50" s="71">
        <f>VLOOKUP(AT50,'Summary-input'!A:D,4,0)</f>
        <v>600</v>
      </c>
      <c r="AV50" s="54">
        <f t="shared" ref="AV50:AV73" si="87">IF(AT50=0," ",AC50)</f>
        <v>497</v>
      </c>
      <c r="AW50" s="55"/>
      <c r="AX50" s="55"/>
      <c r="AY50" s="101"/>
      <c r="AZ50" s="102"/>
      <c r="BA50" s="103">
        <v>1</v>
      </c>
      <c r="BB50" s="62"/>
      <c r="BC50" s="64">
        <v>80</v>
      </c>
      <c r="BD50" s="64" t="s">
        <v>59</v>
      </c>
      <c r="BE50" s="64"/>
      <c r="BF50" s="64">
        <v>105</v>
      </c>
      <c r="BG50" s="64"/>
      <c r="BH50" s="102"/>
      <c r="BI50" s="182"/>
      <c r="BJ50" s="182" t="e">
        <f>VLOOKUP(AT50,'Summary-output-ULS'!$B:$H,7,0)</f>
        <v>#N/A</v>
      </c>
      <c r="BK50" s="182" t="e">
        <f>-VLOOKUP(AT50,'Summary-output-ULS'!$B:$H,5,0)</f>
        <v>#N/A</v>
      </c>
      <c r="BL50" s="182" t="e">
        <f>VLOOKUP(AT50,'Summary-output-SLS'!$B:$H,5,0)</f>
        <v>#N/A</v>
      </c>
      <c r="BM50" s="182" t="e">
        <f>VLOOKUP(AT50,'Summary-output-SLS'!$B:$H,6,0)</f>
        <v>#N/A</v>
      </c>
      <c r="BN50" s="182" t="e">
        <f>VLOOKUP(AT50,'Summary-output-SLS'!$B:$H,6,0)</f>
        <v>#N/A</v>
      </c>
      <c r="BO50" s="64"/>
      <c r="BP50" s="182" t="e">
        <f>VLOOKUP(AT50,'Summary-output-ULS'!$B:$H,4,0)</f>
        <v>#N/A</v>
      </c>
      <c r="BR50" s="174" t="e">
        <f t="shared" ref="BR50:BR73" si="88">+AJ50*AI50/1000</f>
        <v>#N/A</v>
      </c>
      <c r="BS50" s="175"/>
      <c r="BT50" s="176"/>
      <c r="BV50" s="188"/>
      <c r="BW50" s="188"/>
      <c r="BX50" s="188"/>
      <c r="BY50" s="188"/>
    </row>
    <row r="51" spans="1:77" x14ac:dyDescent="0.25">
      <c r="A51" s="184">
        <f t="shared" si="27"/>
        <v>123</v>
      </c>
      <c r="B51" s="151" t="str">
        <f>VLOOKUP(A51,'Summary-input'!A:B,2,0)</f>
        <v>I.WALL</v>
      </c>
      <c r="C51" s="179">
        <v>103</v>
      </c>
      <c r="D51" s="75"/>
      <c r="E51" s="147"/>
      <c r="F51" s="152" t="e">
        <f t="shared" si="28"/>
        <v>#N/A</v>
      </c>
      <c r="G51" s="76" t="e">
        <f t="shared" si="29"/>
        <v>#N/A</v>
      </c>
      <c r="H51" s="155" t="e">
        <f t="shared" si="30"/>
        <v>#N/A</v>
      </c>
      <c r="I51" s="152">
        <f t="shared" si="31"/>
        <v>600</v>
      </c>
      <c r="J51" s="149" t="str">
        <f t="shared" si="32"/>
        <v>H</v>
      </c>
      <c r="K51" s="148">
        <v>40</v>
      </c>
      <c r="L51" s="75" t="str">
        <f t="shared" si="63"/>
        <v/>
      </c>
      <c r="M51" s="75" t="str">
        <f t="shared" si="64"/>
        <v/>
      </c>
      <c r="N51" s="148"/>
      <c r="O51" s="75" t="str">
        <f t="shared" si="60"/>
        <v/>
      </c>
      <c r="P51" s="148"/>
      <c r="Q51" s="75" t="str">
        <f t="shared" si="65"/>
        <v/>
      </c>
      <c r="R51" s="153">
        <v>0</v>
      </c>
      <c r="S51" s="76">
        <f t="shared" si="66"/>
        <v>4188.7902047863909</v>
      </c>
      <c r="T51" s="75" t="str">
        <f t="shared" si="67"/>
        <v/>
      </c>
      <c r="U51" s="76">
        <f t="shared" si="68"/>
        <v>0</v>
      </c>
      <c r="V51" s="75" t="str">
        <f t="shared" si="61"/>
        <v/>
      </c>
      <c r="W51" s="76">
        <f t="shared" si="62"/>
        <v>0</v>
      </c>
      <c r="X51" s="75" t="s">
        <v>22</v>
      </c>
      <c r="Y51" s="154">
        <f t="shared" si="69"/>
        <v>4188.7902047863909</v>
      </c>
      <c r="Z51" s="76">
        <f t="shared" si="70"/>
        <v>497</v>
      </c>
      <c r="AA51" s="151">
        <f t="shared" si="71"/>
        <v>0</v>
      </c>
      <c r="AB51" s="151">
        <f t="shared" si="72"/>
        <v>0</v>
      </c>
      <c r="AC51" s="76">
        <f t="shared" si="73"/>
        <v>497</v>
      </c>
      <c r="AD51" s="177" t="e">
        <f t="shared" si="74"/>
        <v>#N/A</v>
      </c>
      <c r="AE51" s="136">
        <f t="shared" si="75"/>
        <v>0.84281493054052126</v>
      </c>
      <c r="AF51" s="178" t="s">
        <v>43</v>
      </c>
      <c r="AG51" s="84">
        <f t="shared" si="76"/>
        <v>0.58815270244667417</v>
      </c>
      <c r="AH51" s="178" t="e">
        <f t="shared" si="77"/>
        <v>#N/A</v>
      </c>
      <c r="AI51" s="76">
        <f t="shared" si="78"/>
        <v>497000</v>
      </c>
      <c r="AJ51" s="156" t="e">
        <f t="shared" si="79"/>
        <v>#N/A</v>
      </c>
      <c r="AK51" s="75" t="e">
        <f t="shared" si="17"/>
        <v>#N/A</v>
      </c>
      <c r="AL51" s="150" t="e">
        <f t="shared" si="80"/>
        <v>#N/A</v>
      </c>
      <c r="AM51" s="149" t="e">
        <f t="shared" si="33"/>
        <v>#N/A</v>
      </c>
      <c r="AN51" s="76" t="e">
        <f t="shared" si="81"/>
        <v>#N/A</v>
      </c>
      <c r="AO51" s="75" t="e">
        <f t="shared" si="82"/>
        <v>#N/A</v>
      </c>
      <c r="AP51" s="76" t="e">
        <f t="shared" si="83"/>
        <v>#N/A</v>
      </c>
      <c r="AQ51" s="154" t="e">
        <f t="shared" si="84"/>
        <v>#N/A</v>
      </c>
      <c r="AR51" s="150" t="e">
        <f t="shared" si="85"/>
        <v>#N/A</v>
      </c>
      <c r="AS51" s="180" t="e">
        <f t="shared" si="86"/>
        <v>#N/A</v>
      </c>
      <c r="AT51" s="17">
        <v>123</v>
      </c>
      <c r="AU51" s="71">
        <f>VLOOKUP(AT51,'Summary-input'!A:D,4,0)</f>
        <v>600</v>
      </c>
      <c r="AV51" s="54">
        <f t="shared" si="87"/>
        <v>497</v>
      </c>
      <c r="AW51" s="55"/>
      <c r="AX51" s="55"/>
      <c r="AY51" s="101"/>
      <c r="AZ51" s="102"/>
      <c r="BA51" s="103">
        <v>1</v>
      </c>
      <c r="BB51" s="62"/>
      <c r="BC51" s="64">
        <v>80</v>
      </c>
      <c r="BD51" s="64" t="s">
        <v>59</v>
      </c>
      <c r="BE51" s="64"/>
      <c r="BF51" s="64">
        <v>101</v>
      </c>
      <c r="BG51" s="64"/>
      <c r="BH51" s="102"/>
      <c r="BI51" s="182"/>
      <c r="BJ51" s="182" t="e">
        <f>VLOOKUP(AT51,'Summary-output-ULS'!$B:$H,7,0)</f>
        <v>#N/A</v>
      </c>
      <c r="BK51" s="182" t="e">
        <f>-VLOOKUP(AT51,'Summary-output-ULS'!$B:$H,5,0)</f>
        <v>#N/A</v>
      </c>
      <c r="BL51" s="182" t="e">
        <f>VLOOKUP(AT51,'Summary-output-SLS'!$B:$H,5,0)</f>
        <v>#N/A</v>
      </c>
      <c r="BM51" s="182" t="e">
        <f>VLOOKUP(AT51,'Summary-output-SLS'!$B:$H,6,0)</f>
        <v>#N/A</v>
      </c>
      <c r="BN51" s="182" t="e">
        <f>VLOOKUP(AT51,'Summary-output-SLS'!$B:$H,6,0)</f>
        <v>#N/A</v>
      </c>
      <c r="BO51" s="64"/>
      <c r="BP51" s="182" t="e">
        <f>VLOOKUP(AT51,'Summary-output-ULS'!$B:$H,4,0)</f>
        <v>#N/A</v>
      </c>
      <c r="BR51" s="174" t="e">
        <f t="shared" si="88"/>
        <v>#N/A</v>
      </c>
      <c r="BS51" s="175"/>
      <c r="BT51" s="176"/>
      <c r="BV51" s="188"/>
      <c r="BW51" s="188"/>
      <c r="BX51" s="188"/>
      <c r="BY51" s="188"/>
    </row>
    <row r="52" spans="1:77" x14ac:dyDescent="0.25">
      <c r="A52" s="184">
        <f t="shared" si="27"/>
        <v>124</v>
      </c>
      <c r="B52" s="151" t="str">
        <f>VLOOKUP(A52,'Summary-input'!A:B,2,0)</f>
        <v>I.WALL</v>
      </c>
      <c r="C52" s="179">
        <v>103</v>
      </c>
      <c r="D52" s="75"/>
      <c r="E52" s="147"/>
      <c r="F52" s="152" t="e">
        <f t="shared" si="28"/>
        <v>#N/A</v>
      </c>
      <c r="G52" s="76" t="e">
        <f t="shared" si="29"/>
        <v>#N/A</v>
      </c>
      <c r="H52" s="155" t="e">
        <f t="shared" si="30"/>
        <v>#N/A</v>
      </c>
      <c r="I52" s="152">
        <f t="shared" si="31"/>
        <v>600</v>
      </c>
      <c r="J52" s="149" t="str">
        <f t="shared" si="32"/>
        <v>H</v>
      </c>
      <c r="K52" s="148">
        <v>40</v>
      </c>
      <c r="L52" s="75" t="str">
        <f t="shared" si="63"/>
        <v/>
      </c>
      <c r="M52" s="75" t="str">
        <f t="shared" si="64"/>
        <v/>
      </c>
      <c r="N52" s="148"/>
      <c r="O52" s="75" t="str">
        <f t="shared" si="60"/>
        <v/>
      </c>
      <c r="P52" s="148"/>
      <c r="Q52" s="75" t="str">
        <f t="shared" si="65"/>
        <v/>
      </c>
      <c r="R52" s="153">
        <v>0</v>
      </c>
      <c r="S52" s="76">
        <f t="shared" si="66"/>
        <v>4188.7902047863909</v>
      </c>
      <c r="T52" s="75" t="str">
        <f t="shared" si="67"/>
        <v/>
      </c>
      <c r="U52" s="76">
        <f t="shared" si="68"/>
        <v>0</v>
      </c>
      <c r="V52" s="75" t="str">
        <f t="shared" si="61"/>
        <v/>
      </c>
      <c r="W52" s="76">
        <f t="shared" si="62"/>
        <v>0</v>
      </c>
      <c r="X52" s="75" t="s">
        <v>22</v>
      </c>
      <c r="Y52" s="154">
        <f t="shared" si="69"/>
        <v>4188.7902047863909</v>
      </c>
      <c r="Z52" s="76">
        <f t="shared" si="70"/>
        <v>497</v>
      </c>
      <c r="AA52" s="151">
        <f t="shared" si="71"/>
        <v>0</v>
      </c>
      <c r="AB52" s="151">
        <f t="shared" si="72"/>
        <v>0</v>
      </c>
      <c r="AC52" s="76">
        <f t="shared" si="73"/>
        <v>497</v>
      </c>
      <c r="AD52" s="177" t="e">
        <f t="shared" si="74"/>
        <v>#N/A</v>
      </c>
      <c r="AE52" s="136">
        <f t="shared" si="75"/>
        <v>0.84281493054052126</v>
      </c>
      <c r="AF52" s="178" t="s">
        <v>43</v>
      </c>
      <c r="AG52" s="84">
        <f t="shared" si="76"/>
        <v>0.58815270244667417</v>
      </c>
      <c r="AH52" s="178" t="e">
        <f t="shared" si="77"/>
        <v>#N/A</v>
      </c>
      <c r="AI52" s="76">
        <f t="shared" si="78"/>
        <v>497000</v>
      </c>
      <c r="AJ52" s="156" t="e">
        <f t="shared" si="79"/>
        <v>#N/A</v>
      </c>
      <c r="AK52" s="75" t="e">
        <f t="shared" si="17"/>
        <v>#N/A</v>
      </c>
      <c r="AL52" s="150" t="e">
        <f t="shared" si="80"/>
        <v>#N/A</v>
      </c>
      <c r="AM52" s="149" t="e">
        <f t="shared" si="33"/>
        <v>#N/A</v>
      </c>
      <c r="AN52" s="76" t="e">
        <f t="shared" si="81"/>
        <v>#N/A</v>
      </c>
      <c r="AO52" s="147" t="e">
        <f t="shared" si="82"/>
        <v>#N/A</v>
      </c>
      <c r="AP52" s="76" t="e">
        <f t="shared" si="83"/>
        <v>#N/A</v>
      </c>
      <c r="AQ52" s="154" t="e">
        <f t="shared" si="84"/>
        <v>#N/A</v>
      </c>
      <c r="AR52" s="150" t="e">
        <f t="shared" si="85"/>
        <v>#N/A</v>
      </c>
      <c r="AS52" s="180" t="e">
        <f t="shared" si="86"/>
        <v>#N/A</v>
      </c>
      <c r="AT52" s="17">
        <v>124</v>
      </c>
      <c r="AU52" s="71">
        <f>VLOOKUP(AT52,'Summary-input'!A:D,4,0)</f>
        <v>600</v>
      </c>
      <c r="AV52" s="54">
        <f t="shared" si="87"/>
        <v>497</v>
      </c>
      <c r="AW52" s="55"/>
      <c r="AX52" s="55"/>
      <c r="AY52" s="101"/>
      <c r="AZ52" s="102"/>
      <c r="BA52" s="103">
        <v>1</v>
      </c>
      <c r="BB52" s="62"/>
      <c r="BC52" s="64">
        <v>79</v>
      </c>
      <c r="BD52" s="64" t="s">
        <v>59</v>
      </c>
      <c r="BE52" s="64"/>
      <c r="BF52" s="64">
        <v>114</v>
      </c>
      <c r="BG52" s="64"/>
      <c r="BH52" s="102"/>
      <c r="BI52" s="182"/>
      <c r="BJ52" s="182" t="e">
        <f>VLOOKUP(AT52,'Summary-output-ULS'!$B:$H,7,0)</f>
        <v>#N/A</v>
      </c>
      <c r="BK52" s="182" t="e">
        <f>-VLOOKUP(AT52,'Summary-output-ULS'!$B:$H,5,0)</f>
        <v>#N/A</v>
      </c>
      <c r="BL52" s="182" t="e">
        <f>VLOOKUP(AT52,'Summary-output-SLS'!$B:$H,5,0)</f>
        <v>#N/A</v>
      </c>
      <c r="BM52" s="182" t="e">
        <f>VLOOKUP(AT52,'Summary-output-SLS'!$B:$H,6,0)</f>
        <v>#N/A</v>
      </c>
      <c r="BN52" s="182" t="e">
        <f>VLOOKUP(AT52,'Summary-output-SLS'!$B:$H,6,0)</f>
        <v>#N/A</v>
      </c>
      <c r="BO52" s="64"/>
      <c r="BP52" s="182" t="e">
        <f>VLOOKUP(AT52,'Summary-output-ULS'!$B:$H,4,0)</f>
        <v>#N/A</v>
      </c>
      <c r="BR52" s="174" t="e">
        <f t="shared" si="88"/>
        <v>#N/A</v>
      </c>
      <c r="BS52" s="175"/>
      <c r="BT52" s="176"/>
      <c r="BV52" s="188"/>
      <c r="BW52" s="188"/>
      <c r="BX52" s="188"/>
      <c r="BY52" s="188"/>
    </row>
    <row r="53" spans="1:77" x14ac:dyDescent="0.25">
      <c r="A53" s="184">
        <f t="shared" si="27"/>
        <v>125</v>
      </c>
      <c r="B53" s="151" t="str">
        <f>VLOOKUP(A53,'Summary-input'!A:B,2,0)</f>
        <v>I.WALL</v>
      </c>
      <c r="C53" s="179">
        <v>103</v>
      </c>
      <c r="D53" s="75"/>
      <c r="E53" s="147"/>
      <c r="F53" s="152" t="e">
        <f t="shared" si="28"/>
        <v>#N/A</v>
      </c>
      <c r="G53" s="76" t="e">
        <f t="shared" si="29"/>
        <v>#N/A</v>
      </c>
      <c r="H53" s="155" t="e">
        <f t="shared" si="30"/>
        <v>#N/A</v>
      </c>
      <c r="I53" s="152">
        <f t="shared" si="31"/>
        <v>600</v>
      </c>
      <c r="J53" s="149" t="str">
        <f t="shared" si="32"/>
        <v>H</v>
      </c>
      <c r="K53" s="148">
        <v>40</v>
      </c>
      <c r="L53" s="75" t="str">
        <f t="shared" si="63"/>
        <v/>
      </c>
      <c r="M53" s="75" t="str">
        <f t="shared" si="64"/>
        <v/>
      </c>
      <c r="N53" s="148"/>
      <c r="O53" s="75" t="str">
        <f t="shared" si="60"/>
        <v/>
      </c>
      <c r="P53" s="148"/>
      <c r="Q53" s="75" t="str">
        <f t="shared" si="65"/>
        <v/>
      </c>
      <c r="R53" s="153"/>
      <c r="S53" s="76">
        <f t="shared" si="66"/>
        <v>4188.7902047863909</v>
      </c>
      <c r="T53" s="75" t="str">
        <f t="shared" si="67"/>
        <v/>
      </c>
      <c r="U53" s="76">
        <f t="shared" si="68"/>
        <v>0</v>
      </c>
      <c r="V53" s="75" t="str">
        <f t="shared" si="61"/>
        <v/>
      </c>
      <c r="W53" s="76">
        <f t="shared" si="62"/>
        <v>0</v>
      </c>
      <c r="X53" s="75" t="s">
        <v>22</v>
      </c>
      <c r="Y53" s="154">
        <f t="shared" si="69"/>
        <v>4188.7902047863909</v>
      </c>
      <c r="Z53" s="76">
        <f t="shared" si="70"/>
        <v>497</v>
      </c>
      <c r="AA53" s="151">
        <f t="shared" si="71"/>
        <v>0</v>
      </c>
      <c r="AB53" s="151">
        <f t="shared" si="72"/>
        <v>0</v>
      </c>
      <c r="AC53" s="76">
        <f t="shared" si="73"/>
        <v>497</v>
      </c>
      <c r="AD53" s="177" t="e">
        <f t="shared" si="74"/>
        <v>#N/A</v>
      </c>
      <c r="AE53" s="136">
        <f t="shared" si="75"/>
        <v>0.84281493054052126</v>
      </c>
      <c r="AF53" s="178" t="s">
        <v>43</v>
      </c>
      <c r="AG53" s="84">
        <f t="shared" si="76"/>
        <v>0.58815270244667417</v>
      </c>
      <c r="AH53" s="178" t="e">
        <f t="shared" si="77"/>
        <v>#N/A</v>
      </c>
      <c r="AI53" s="76">
        <f t="shared" si="78"/>
        <v>497000</v>
      </c>
      <c r="AJ53" s="156" t="e">
        <f t="shared" si="79"/>
        <v>#N/A</v>
      </c>
      <c r="AK53" s="75" t="e">
        <f t="shared" si="17"/>
        <v>#N/A</v>
      </c>
      <c r="AL53" s="150" t="e">
        <f t="shared" si="80"/>
        <v>#N/A</v>
      </c>
      <c r="AM53" s="149" t="e">
        <f t="shared" si="33"/>
        <v>#N/A</v>
      </c>
      <c r="AN53" s="76" t="e">
        <f t="shared" si="81"/>
        <v>#N/A</v>
      </c>
      <c r="AO53" s="147" t="e">
        <f t="shared" si="82"/>
        <v>#N/A</v>
      </c>
      <c r="AP53" s="76" t="e">
        <f t="shared" si="83"/>
        <v>#N/A</v>
      </c>
      <c r="AQ53" s="154" t="e">
        <f t="shared" si="84"/>
        <v>#N/A</v>
      </c>
      <c r="AR53" s="150" t="e">
        <f t="shared" si="85"/>
        <v>#N/A</v>
      </c>
      <c r="AS53" s="180" t="e">
        <f t="shared" si="86"/>
        <v>#N/A</v>
      </c>
      <c r="AT53" s="17">
        <v>125</v>
      </c>
      <c r="AU53" s="71">
        <f>VLOOKUP(AT53,'Summary-input'!A:D,4,0)</f>
        <v>600</v>
      </c>
      <c r="AV53" s="54">
        <f t="shared" si="87"/>
        <v>497</v>
      </c>
      <c r="AW53" s="55"/>
      <c r="AX53" s="55"/>
      <c r="AY53" s="101"/>
      <c r="AZ53" s="102"/>
      <c r="BA53" s="103">
        <v>1</v>
      </c>
      <c r="BB53" s="62"/>
      <c r="BC53" s="64">
        <v>78</v>
      </c>
      <c r="BD53" s="64" t="s">
        <v>59</v>
      </c>
      <c r="BE53" s="64"/>
      <c r="BF53" s="64">
        <v>105</v>
      </c>
      <c r="BG53" s="64"/>
      <c r="BH53" s="102"/>
      <c r="BI53" s="182"/>
      <c r="BJ53" s="182" t="e">
        <f>VLOOKUP(AT53,'Summary-output-ULS'!$B:$H,7,0)</f>
        <v>#N/A</v>
      </c>
      <c r="BK53" s="182" t="e">
        <f>-VLOOKUP(AT53,'Summary-output-ULS'!$B:$H,5,0)</f>
        <v>#N/A</v>
      </c>
      <c r="BL53" s="182" t="e">
        <f>VLOOKUP(AT53,'Summary-output-SLS'!$B:$H,5,0)</f>
        <v>#N/A</v>
      </c>
      <c r="BM53" s="182" t="e">
        <f>VLOOKUP(AT53,'Summary-output-SLS'!$B:$H,6,0)</f>
        <v>#N/A</v>
      </c>
      <c r="BN53" s="182" t="e">
        <f>VLOOKUP(AT53,'Summary-output-SLS'!$B:$H,6,0)</f>
        <v>#N/A</v>
      </c>
      <c r="BO53" s="64"/>
      <c r="BP53" s="182" t="e">
        <f>VLOOKUP(AT53,'Summary-output-ULS'!$B:$H,4,0)</f>
        <v>#N/A</v>
      </c>
      <c r="BR53" s="174" t="e">
        <f t="shared" si="88"/>
        <v>#N/A</v>
      </c>
      <c r="BS53" s="175"/>
      <c r="BT53" s="176"/>
      <c r="BV53" s="188"/>
      <c r="BW53" s="188"/>
      <c r="BX53" s="188"/>
      <c r="BY53" s="188"/>
    </row>
    <row r="54" spans="1:77" x14ac:dyDescent="0.25">
      <c r="A54" s="184">
        <f t="shared" si="27"/>
        <v>126</v>
      </c>
      <c r="B54" s="151" t="str">
        <f>VLOOKUP(A54,'Summary-input'!A:B,2,0)</f>
        <v>I.WALL</v>
      </c>
      <c r="C54" s="179">
        <v>103</v>
      </c>
      <c r="D54" s="75"/>
      <c r="E54" s="147"/>
      <c r="F54" s="152" t="e">
        <f t="shared" si="28"/>
        <v>#N/A</v>
      </c>
      <c r="G54" s="76" t="e">
        <f t="shared" si="29"/>
        <v>#N/A</v>
      </c>
      <c r="H54" s="155" t="e">
        <f t="shared" si="30"/>
        <v>#N/A</v>
      </c>
      <c r="I54" s="152">
        <f t="shared" si="31"/>
        <v>600</v>
      </c>
      <c r="J54" s="149" t="str">
        <f t="shared" si="32"/>
        <v>H</v>
      </c>
      <c r="K54" s="148">
        <v>40</v>
      </c>
      <c r="L54" s="75" t="str">
        <f t="shared" si="63"/>
        <v/>
      </c>
      <c r="M54" s="75" t="str">
        <f t="shared" si="64"/>
        <v/>
      </c>
      <c r="N54" s="148"/>
      <c r="O54" s="75"/>
      <c r="P54" s="148"/>
      <c r="Q54" s="75" t="str">
        <f t="shared" si="65"/>
        <v/>
      </c>
      <c r="R54" s="153"/>
      <c r="S54" s="76">
        <f t="shared" si="66"/>
        <v>4188.7902047863909</v>
      </c>
      <c r="T54" s="75" t="str">
        <f t="shared" si="67"/>
        <v/>
      </c>
      <c r="U54" s="76">
        <f t="shared" si="68"/>
        <v>0</v>
      </c>
      <c r="V54" s="75"/>
      <c r="W54" s="76"/>
      <c r="X54" s="75" t="s">
        <v>22</v>
      </c>
      <c r="Y54" s="154">
        <f t="shared" si="69"/>
        <v>4188.7902047863909</v>
      </c>
      <c r="Z54" s="76">
        <f t="shared" si="70"/>
        <v>497</v>
      </c>
      <c r="AA54" s="151">
        <f t="shared" si="71"/>
        <v>0</v>
      </c>
      <c r="AB54" s="151">
        <f t="shared" si="72"/>
        <v>0</v>
      </c>
      <c r="AC54" s="76">
        <f t="shared" si="73"/>
        <v>497</v>
      </c>
      <c r="AD54" s="177" t="e">
        <f t="shared" si="74"/>
        <v>#N/A</v>
      </c>
      <c r="AE54" s="136">
        <f t="shared" si="75"/>
        <v>0.84281493054052126</v>
      </c>
      <c r="AF54" s="178" t="s">
        <v>43</v>
      </c>
      <c r="AG54" s="84">
        <f t="shared" si="76"/>
        <v>0.58815270244667417</v>
      </c>
      <c r="AH54" s="178" t="e">
        <f t="shared" si="77"/>
        <v>#N/A</v>
      </c>
      <c r="AI54" s="76">
        <f t="shared" si="78"/>
        <v>497000</v>
      </c>
      <c r="AJ54" s="156" t="e">
        <f t="shared" si="79"/>
        <v>#N/A</v>
      </c>
      <c r="AK54" s="75" t="e">
        <f t="shared" si="17"/>
        <v>#N/A</v>
      </c>
      <c r="AL54" s="150" t="e">
        <f t="shared" si="80"/>
        <v>#N/A</v>
      </c>
      <c r="AM54" s="149" t="e">
        <f t="shared" si="33"/>
        <v>#N/A</v>
      </c>
      <c r="AN54" s="76" t="e">
        <f t="shared" si="81"/>
        <v>#N/A</v>
      </c>
      <c r="AO54" s="147" t="e">
        <f t="shared" si="82"/>
        <v>#N/A</v>
      </c>
      <c r="AP54" s="76" t="e">
        <f t="shared" si="83"/>
        <v>#N/A</v>
      </c>
      <c r="AQ54" s="154" t="e">
        <f t="shared" si="84"/>
        <v>#N/A</v>
      </c>
      <c r="AR54" s="150" t="e">
        <f t="shared" si="85"/>
        <v>#N/A</v>
      </c>
      <c r="AS54" s="180" t="e">
        <f t="shared" si="86"/>
        <v>#N/A</v>
      </c>
      <c r="AT54" s="17">
        <v>126</v>
      </c>
      <c r="AU54" s="71">
        <f>VLOOKUP(AT54,'Summary-input'!A:D,4,0)</f>
        <v>600</v>
      </c>
      <c r="AV54" s="54">
        <f t="shared" si="87"/>
        <v>497</v>
      </c>
      <c r="AW54" s="55"/>
      <c r="AX54" s="55"/>
      <c r="AY54" s="101"/>
      <c r="AZ54" s="102"/>
      <c r="BA54" s="103">
        <v>1</v>
      </c>
      <c r="BB54" s="62"/>
      <c r="BC54" s="64">
        <v>77</v>
      </c>
      <c r="BD54" s="16" t="s">
        <v>59</v>
      </c>
      <c r="BE54" s="64"/>
      <c r="BF54" s="64">
        <v>103</v>
      </c>
      <c r="BG54" s="64"/>
      <c r="BH54" s="102"/>
      <c r="BI54" s="182"/>
      <c r="BJ54" s="182" t="e">
        <f>VLOOKUP(AT54,'Summary-output-ULS'!$B:$H,7,0)</f>
        <v>#N/A</v>
      </c>
      <c r="BK54" s="182" t="e">
        <f>-VLOOKUP(AT54,'Summary-output-ULS'!$B:$H,5,0)</f>
        <v>#N/A</v>
      </c>
      <c r="BL54" s="182" t="e">
        <f>VLOOKUP(AT54,'Summary-output-SLS'!$B:$H,5,0)</f>
        <v>#N/A</v>
      </c>
      <c r="BM54" s="182" t="e">
        <f>VLOOKUP(AT54,'Summary-output-SLS'!$B:$H,6,0)</f>
        <v>#N/A</v>
      </c>
      <c r="BN54" s="182" t="e">
        <f>VLOOKUP(AT54,'Summary-output-SLS'!$B:$H,6,0)</f>
        <v>#N/A</v>
      </c>
      <c r="BO54" s="64"/>
      <c r="BP54" s="182" t="e">
        <f>VLOOKUP(AT54,'Summary-output-ULS'!$B:$H,4,0)</f>
        <v>#N/A</v>
      </c>
      <c r="BR54" s="174" t="e">
        <f t="shared" si="88"/>
        <v>#N/A</v>
      </c>
      <c r="BS54" s="175"/>
      <c r="BT54" s="176"/>
      <c r="BV54" s="188"/>
      <c r="BW54" s="188"/>
      <c r="BX54" s="188"/>
      <c r="BY54" s="188"/>
    </row>
    <row r="55" spans="1:77" x14ac:dyDescent="0.25">
      <c r="A55" s="184">
        <f t="shared" si="27"/>
        <v>127</v>
      </c>
      <c r="B55" s="151" t="str">
        <f>VLOOKUP(A55,'Summary-input'!A:B,2,0)</f>
        <v>I.WALL</v>
      </c>
      <c r="C55" s="179">
        <v>103</v>
      </c>
      <c r="D55" s="75"/>
      <c r="E55" s="147"/>
      <c r="F55" s="152" t="e">
        <f t="shared" si="28"/>
        <v>#N/A</v>
      </c>
      <c r="G55" s="76" t="e">
        <f t="shared" si="29"/>
        <v>#N/A</v>
      </c>
      <c r="H55" s="155" t="e">
        <f t="shared" si="30"/>
        <v>#N/A</v>
      </c>
      <c r="I55" s="152">
        <f t="shared" si="31"/>
        <v>600</v>
      </c>
      <c r="J55" s="149" t="str">
        <f t="shared" si="32"/>
        <v>H</v>
      </c>
      <c r="K55" s="148">
        <v>40</v>
      </c>
      <c r="L55" s="75" t="str">
        <f t="shared" si="63"/>
        <v/>
      </c>
      <c r="M55" s="75" t="str">
        <f t="shared" si="64"/>
        <v/>
      </c>
      <c r="N55" s="148"/>
      <c r="O55" s="75" t="str">
        <f>IF(R55=0,"","+")</f>
        <v/>
      </c>
      <c r="P55" s="148"/>
      <c r="Q55" s="75" t="str">
        <f t="shared" si="65"/>
        <v/>
      </c>
      <c r="R55" s="153">
        <v>0</v>
      </c>
      <c r="S55" s="76">
        <f t="shared" si="66"/>
        <v>4188.7902047863909</v>
      </c>
      <c r="T55" s="75" t="str">
        <f t="shared" si="67"/>
        <v/>
      </c>
      <c r="U55" s="76">
        <f t="shared" si="68"/>
        <v>0</v>
      </c>
      <c r="V55" s="75" t="str">
        <f>IF(R55=0,"","+")</f>
        <v/>
      </c>
      <c r="W55" s="76">
        <f>IF(P55=0,PI()/4*R55^2*1000/$Z$18,PI()/4*R55^2*P55*1000/$Z$18)</f>
        <v>0</v>
      </c>
      <c r="X55" s="75" t="s">
        <v>22</v>
      </c>
      <c r="Y55" s="154">
        <f t="shared" si="69"/>
        <v>4188.7902047863909</v>
      </c>
      <c r="Z55" s="76">
        <f t="shared" si="70"/>
        <v>497</v>
      </c>
      <c r="AA55" s="151">
        <f t="shared" si="71"/>
        <v>0</v>
      </c>
      <c r="AB55" s="151">
        <f t="shared" si="72"/>
        <v>0</v>
      </c>
      <c r="AC55" s="76">
        <f t="shared" si="73"/>
        <v>497</v>
      </c>
      <c r="AD55" s="177" t="e">
        <f t="shared" si="74"/>
        <v>#N/A</v>
      </c>
      <c r="AE55" s="136">
        <f t="shared" si="75"/>
        <v>0.84281493054052126</v>
      </c>
      <c r="AF55" s="178" t="s">
        <v>43</v>
      </c>
      <c r="AG55" s="84">
        <f t="shared" si="76"/>
        <v>0.58815270244667417</v>
      </c>
      <c r="AH55" s="178" t="e">
        <f t="shared" si="77"/>
        <v>#N/A</v>
      </c>
      <c r="AI55" s="76">
        <f t="shared" si="78"/>
        <v>497000</v>
      </c>
      <c r="AJ55" s="156" t="e">
        <f t="shared" si="79"/>
        <v>#N/A</v>
      </c>
      <c r="AK55" s="75" t="e">
        <f t="shared" si="17"/>
        <v>#N/A</v>
      </c>
      <c r="AL55" s="150" t="e">
        <f t="shared" si="80"/>
        <v>#N/A</v>
      </c>
      <c r="AM55" s="149" t="e">
        <f t="shared" si="33"/>
        <v>#N/A</v>
      </c>
      <c r="AN55" s="76" t="e">
        <f t="shared" si="81"/>
        <v>#N/A</v>
      </c>
      <c r="AO55" s="75" t="e">
        <f t="shared" si="82"/>
        <v>#N/A</v>
      </c>
      <c r="AP55" s="76" t="e">
        <f t="shared" si="83"/>
        <v>#N/A</v>
      </c>
      <c r="AQ55" s="154" t="e">
        <f t="shared" si="84"/>
        <v>#N/A</v>
      </c>
      <c r="AR55" s="150" t="e">
        <f t="shared" si="85"/>
        <v>#N/A</v>
      </c>
      <c r="AS55" s="180" t="e">
        <f t="shared" si="86"/>
        <v>#N/A</v>
      </c>
      <c r="AT55" s="17">
        <v>127</v>
      </c>
      <c r="AU55" s="71">
        <f>VLOOKUP(AT55,'Summary-input'!A:D,4,0)</f>
        <v>600</v>
      </c>
      <c r="AV55" s="54">
        <f t="shared" si="87"/>
        <v>497</v>
      </c>
      <c r="AW55" s="55"/>
      <c r="AX55" s="55"/>
      <c r="AY55" s="101"/>
      <c r="AZ55" s="102"/>
      <c r="BA55" s="103">
        <v>1</v>
      </c>
      <c r="BB55" s="62"/>
      <c r="BC55" s="64">
        <v>80</v>
      </c>
      <c r="BD55" s="64" t="s">
        <v>59</v>
      </c>
      <c r="BE55" s="64"/>
      <c r="BF55" s="64">
        <v>105</v>
      </c>
      <c r="BG55" s="64"/>
      <c r="BH55" s="102"/>
      <c r="BI55" s="182"/>
      <c r="BJ55" s="182" t="e">
        <f>VLOOKUP(AT55,'Summary-output-ULS'!$B:$H,7,0)</f>
        <v>#N/A</v>
      </c>
      <c r="BK55" s="182" t="e">
        <f>-VLOOKUP(AT55,'Summary-output-ULS'!$B:$H,5,0)</f>
        <v>#N/A</v>
      </c>
      <c r="BL55" s="182" t="e">
        <f>VLOOKUP(AT55,'Summary-output-SLS'!$B:$H,5,0)</f>
        <v>#N/A</v>
      </c>
      <c r="BM55" s="182" t="e">
        <f>VLOOKUP(AT55,'Summary-output-SLS'!$B:$H,6,0)</f>
        <v>#N/A</v>
      </c>
      <c r="BN55" s="182" t="e">
        <f>VLOOKUP(AT55,'Summary-output-SLS'!$B:$H,6,0)</f>
        <v>#N/A</v>
      </c>
      <c r="BO55" s="64"/>
      <c r="BP55" s="182" t="e">
        <f>VLOOKUP(AT55,'Summary-output-ULS'!$B:$H,4,0)</f>
        <v>#N/A</v>
      </c>
      <c r="BR55" s="174" t="e">
        <f t="shared" si="88"/>
        <v>#N/A</v>
      </c>
      <c r="BS55" s="175"/>
      <c r="BT55" s="176"/>
      <c r="BV55" s="188"/>
      <c r="BW55" s="188"/>
      <c r="BX55" s="188"/>
      <c r="BY55" s="188"/>
    </row>
    <row r="56" spans="1:77" x14ac:dyDescent="0.25">
      <c r="A56" s="184">
        <f t="shared" si="27"/>
        <v>128</v>
      </c>
      <c r="B56" s="151" t="str">
        <f>VLOOKUP(A56,'Summary-input'!A:B,2,0)</f>
        <v>I.WALL</v>
      </c>
      <c r="C56" s="179">
        <v>103</v>
      </c>
      <c r="D56" s="75"/>
      <c r="E56" s="147"/>
      <c r="F56" s="152" t="e">
        <f t="shared" si="28"/>
        <v>#N/A</v>
      </c>
      <c r="G56" s="76" t="e">
        <f t="shared" si="29"/>
        <v>#N/A</v>
      </c>
      <c r="H56" s="155" t="e">
        <f t="shared" si="30"/>
        <v>#N/A</v>
      </c>
      <c r="I56" s="152">
        <f t="shared" si="31"/>
        <v>600</v>
      </c>
      <c r="J56" s="149" t="str">
        <f t="shared" si="32"/>
        <v>H</v>
      </c>
      <c r="K56" s="148">
        <v>40</v>
      </c>
      <c r="L56" s="75" t="str">
        <f t="shared" si="63"/>
        <v/>
      </c>
      <c r="M56" s="75" t="str">
        <f t="shared" si="64"/>
        <v/>
      </c>
      <c r="N56" s="148"/>
      <c r="O56" s="75" t="str">
        <f>IF(R56=0,"","+")</f>
        <v/>
      </c>
      <c r="P56" s="148"/>
      <c r="Q56" s="75" t="str">
        <f t="shared" si="65"/>
        <v/>
      </c>
      <c r="R56" s="153">
        <v>0</v>
      </c>
      <c r="S56" s="76">
        <f t="shared" si="66"/>
        <v>4188.7902047863909</v>
      </c>
      <c r="T56" s="75" t="str">
        <f t="shared" si="67"/>
        <v/>
      </c>
      <c r="U56" s="76">
        <f t="shared" si="68"/>
        <v>0</v>
      </c>
      <c r="V56" s="75" t="str">
        <f>IF(R56=0,"","+")</f>
        <v/>
      </c>
      <c r="W56" s="76">
        <f>IF(P56=0,PI()/4*R56^2*1000/$Z$18,PI()/4*R56^2*P56*1000/$Z$18)</f>
        <v>0</v>
      </c>
      <c r="X56" s="75" t="s">
        <v>22</v>
      </c>
      <c r="Y56" s="154">
        <f t="shared" si="69"/>
        <v>4188.7902047863909</v>
      </c>
      <c r="Z56" s="76">
        <f t="shared" si="70"/>
        <v>497</v>
      </c>
      <c r="AA56" s="151">
        <f t="shared" si="71"/>
        <v>0</v>
      </c>
      <c r="AB56" s="151">
        <f t="shared" si="72"/>
        <v>0</v>
      </c>
      <c r="AC56" s="76">
        <f t="shared" si="73"/>
        <v>497</v>
      </c>
      <c r="AD56" s="177" t="e">
        <f t="shared" si="74"/>
        <v>#N/A</v>
      </c>
      <c r="AE56" s="136">
        <f t="shared" si="75"/>
        <v>0.84281493054052126</v>
      </c>
      <c r="AF56" s="178" t="s">
        <v>43</v>
      </c>
      <c r="AG56" s="84">
        <f t="shared" si="76"/>
        <v>0.58815270244667417</v>
      </c>
      <c r="AH56" s="178" t="e">
        <f t="shared" si="77"/>
        <v>#N/A</v>
      </c>
      <c r="AI56" s="76">
        <f t="shared" si="78"/>
        <v>497000</v>
      </c>
      <c r="AJ56" s="156" t="e">
        <f t="shared" si="79"/>
        <v>#N/A</v>
      </c>
      <c r="AK56" s="75" t="e">
        <f t="shared" si="17"/>
        <v>#N/A</v>
      </c>
      <c r="AL56" s="150" t="e">
        <f t="shared" si="80"/>
        <v>#N/A</v>
      </c>
      <c r="AM56" s="149" t="e">
        <f t="shared" si="33"/>
        <v>#N/A</v>
      </c>
      <c r="AN56" s="76" t="e">
        <f t="shared" si="81"/>
        <v>#N/A</v>
      </c>
      <c r="AO56" s="75" t="e">
        <f t="shared" si="82"/>
        <v>#N/A</v>
      </c>
      <c r="AP56" s="76" t="e">
        <f t="shared" si="83"/>
        <v>#N/A</v>
      </c>
      <c r="AQ56" s="154" t="e">
        <f t="shared" si="84"/>
        <v>#N/A</v>
      </c>
      <c r="AR56" s="150" t="e">
        <f t="shared" si="85"/>
        <v>#N/A</v>
      </c>
      <c r="AS56" s="180" t="e">
        <f t="shared" si="86"/>
        <v>#N/A</v>
      </c>
      <c r="AT56" s="17">
        <v>128</v>
      </c>
      <c r="AU56" s="71">
        <f>VLOOKUP(AT56,'Summary-input'!A:D,4,0)</f>
        <v>600</v>
      </c>
      <c r="AV56" s="54">
        <f t="shared" si="87"/>
        <v>497</v>
      </c>
      <c r="AW56" s="55"/>
      <c r="AX56" s="55"/>
      <c r="AY56" s="101"/>
      <c r="AZ56" s="102"/>
      <c r="BA56" s="103">
        <v>1</v>
      </c>
      <c r="BB56" s="62"/>
      <c r="BC56" s="64">
        <v>80</v>
      </c>
      <c r="BD56" s="64" t="s">
        <v>59</v>
      </c>
      <c r="BE56" s="64"/>
      <c r="BF56" s="64">
        <v>105</v>
      </c>
      <c r="BG56" s="64"/>
      <c r="BH56" s="102"/>
      <c r="BI56" s="182"/>
      <c r="BJ56" s="182" t="e">
        <f>VLOOKUP(AT56,'Summary-output-ULS'!$B:$H,7,0)</f>
        <v>#N/A</v>
      </c>
      <c r="BK56" s="182" t="e">
        <f>-VLOOKUP(AT56,'Summary-output-ULS'!$B:$H,5,0)</f>
        <v>#N/A</v>
      </c>
      <c r="BL56" s="182" t="e">
        <f>VLOOKUP(AT56,'Summary-output-SLS'!$B:$H,5,0)</f>
        <v>#N/A</v>
      </c>
      <c r="BM56" s="182" t="e">
        <f>VLOOKUP(AT56,'Summary-output-SLS'!$B:$H,6,0)</f>
        <v>#N/A</v>
      </c>
      <c r="BN56" s="182" t="e">
        <f>VLOOKUP(AT56,'Summary-output-SLS'!$B:$H,6,0)</f>
        <v>#N/A</v>
      </c>
      <c r="BO56" s="64"/>
      <c r="BP56" s="182" t="e">
        <f>VLOOKUP(AT56,'Summary-output-ULS'!$B:$H,4,0)</f>
        <v>#N/A</v>
      </c>
      <c r="BR56" s="174" t="e">
        <f t="shared" si="88"/>
        <v>#N/A</v>
      </c>
      <c r="BS56" s="175"/>
      <c r="BT56" s="176"/>
      <c r="BV56" s="188"/>
      <c r="BW56" s="188"/>
      <c r="BX56" s="188"/>
      <c r="BY56" s="188"/>
    </row>
    <row r="57" spans="1:77" x14ac:dyDescent="0.25">
      <c r="A57" s="184">
        <f t="shared" si="27"/>
        <v>129</v>
      </c>
      <c r="B57" s="151" t="str">
        <f>VLOOKUP(A57,'Summary-input'!A:B,2,0)</f>
        <v>I.WALL</v>
      </c>
      <c r="C57" s="179">
        <v>103</v>
      </c>
      <c r="D57" s="75"/>
      <c r="E57" s="147"/>
      <c r="F57" s="152" t="e">
        <f t="shared" si="28"/>
        <v>#N/A</v>
      </c>
      <c r="G57" s="76" t="e">
        <f t="shared" si="29"/>
        <v>#N/A</v>
      </c>
      <c r="H57" s="155" t="e">
        <f t="shared" si="30"/>
        <v>#N/A</v>
      </c>
      <c r="I57" s="152">
        <f t="shared" si="31"/>
        <v>600</v>
      </c>
      <c r="J57" s="149" t="str">
        <f t="shared" si="32"/>
        <v>H</v>
      </c>
      <c r="K57" s="148">
        <v>40</v>
      </c>
      <c r="L57" s="75" t="str">
        <f t="shared" si="63"/>
        <v/>
      </c>
      <c r="M57" s="75" t="str">
        <f t="shared" si="64"/>
        <v/>
      </c>
      <c r="N57" s="148"/>
      <c r="O57" s="75" t="str">
        <f>IF(R57=0,"","+")</f>
        <v/>
      </c>
      <c r="P57" s="148"/>
      <c r="Q57" s="75" t="str">
        <f t="shared" si="65"/>
        <v/>
      </c>
      <c r="R57" s="153">
        <v>0</v>
      </c>
      <c r="S57" s="76">
        <f t="shared" si="66"/>
        <v>4188.7902047863909</v>
      </c>
      <c r="T57" s="75" t="str">
        <f t="shared" si="67"/>
        <v/>
      </c>
      <c r="U57" s="76">
        <f t="shared" si="68"/>
        <v>0</v>
      </c>
      <c r="V57" s="75" t="str">
        <f>IF(R57=0,"","+")</f>
        <v/>
      </c>
      <c r="W57" s="76">
        <f>IF(P57=0,PI()/4*R57^2*1000/$Z$18,PI()/4*R57^2*P57*1000/$Z$18)</f>
        <v>0</v>
      </c>
      <c r="X57" s="75" t="s">
        <v>22</v>
      </c>
      <c r="Y57" s="154">
        <f t="shared" si="69"/>
        <v>4188.7902047863909</v>
      </c>
      <c r="Z57" s="76">
        <f t="shared" si="70"/>
        <v>497</v>
      </c>
      <c r="AA57" s="151">
        <f t="shared" si="71"/>
        <v>0</v>
      </c>
      <c r="AB57" s="151">
        <f t="shared" si="72"/>
        <v>0</v>
      </c>
      <c r="AC57" s="76">
        <f t="shared" si="73"/>
        <v>497</v>
      </c>
      <c r="AD57" s="177" t="e">
        <f t="shared" si="74"/>
        <v>#N/A</v>
      </c>
      <c r="AE57" s="136">
        <f t="shared" si="75"/>
        <v>0.84281493054052126</v>
      </c>
      <c r="AF57" s="178" t="s">
        <v>43</v>
      </c>
      <c r="AG57" s="84">
        <f t="shared" si="76"/>
        <v>0.58815270244667417</v>
      </c>
      <c r="AH57" s="178" t="e">
        <f t="shared" si="77"/>
        <v>#N/A</v>
      </c>
      <c r="AI57" s="76">
        <f t="shared" si="78"/>
        <v>497000</v>
      </c>
      <c r="AJ57" s="156" t="e">
        <f t="shared" si="79"/>
        <v>#N/A</v>
      </c>
      <c r="AK57" s="75" t="e">
        <f t="shared" si="17"/>
        <v>#N/A</v>
      </c>
      <c r="AL57" s="150" t="e">
        <f t="shared" si="80"/>
        <v>#N/A</v>
      </c>
      <c r="AM57" s="149" t="e">
        <f t="shared" si="33"/>
        <v>#N/A</v>
      </c>
      <c r="AN57" s="76" t="e">
        <f t="shared" si="81"/>
        <v>#N/A</v>
      </c>
      <c r="AO57" s="75" t="e">
        <f t="shared" si="82"/>
        <v>#N/A</v>
      </c>
      <c r="AP57" s="76" t="e">
        <f t="shared" si="83"/>
        <v>#N/A</v>
      </c>
      <c r="AQ57" s="154" t="e">
        <f t="shared" si="84"/>
        <v>#N/A</v>
      </c>
      <c r="AR57" s="150" t="e">
        <f t="shared" si="85"/>
        <v>#N/A</v>
      </c>
      <c r="AS57" s="180" t="e">
        <f t="shared" si="86"/>
        <v>#N/A</v>
      </c>
      <c r="AT57" s="17">
        <v>129</v>
      </c>
      <c r="AU57" s="71">
        <f>VLOOKUP(AT57,'Summary-input'!A:D,4,0)</f>
        <v>600</v>
      </c>
      <c r="AV57" s="54">
        <f t="shared" si="87"/>
        <v>497</v>
      </c>
      <c r="AW57" s="55"/>
      <c r="AX57" s="55"/>
      <c r="AY57" s="101"/>
      <c r="AZ57" s="102"/>
      <c r="BA57" s="103">
        <v>1</v>
      </c>
      <c r="BB57" s="62"/>
      <c r="BC57" s="64">
        <v>80</v>
      </c>
      <c r="BD57" s="64" t="s">
        <v>59</v>
      </c>
      <c r="BE57" s="64"/>
      <c r="BF57" s="64">
        <v>101</v>
      </c>
      <c r="BG57" s="64"/>
      <c r="BH57" s="102"/>
      <c r="BI57" s="182"/>
      <c r="BJ57" s="182" t="e">
        <f>VLOOKUP(AT57,'Summary-output-ULS'!$B:$H,7,0)</f>
        <v>#N/A</v>
      </c>
      <c r="BK57" s="182" t="e">
        <f>-VLOOKUP(AT57,'Summary-output-ULS'!$B:$H,5,0)</f>
        <v>#N/A</v>
      </c>
      <c r="BL57" s="182" t="e">
        <f>VLOOKUP(AT57,'Summary-output-SLS'!$B:$H,5,0)</f>
        <v>#N/A</v>
      </c>
      <c r="BM57" s="182" t="e">
        <f>VLOOKUP(AT57,'Summary-output-SLS'!$B:$H,6,0)</f>
        <v>#N/A</v>
      </c>
      <c r="BN57" s="182" t="e">
        <f>VLOOKUP(AT57,'Summary-output-SLS'!$B:$H,6,0)</f>
        <v>#N/A</v>
      </c>
      <c r="BO57" s="64"/>
      <c r="BP57" s="182" t="e">
        <f>VLOOKUP(AT57,'Summary-output-ULS'!$B:$H,4,0)</f>
        <v>#N/A</v>
      </c>
      <c r="BR57" s="174" t="e">
        <f t="shared" si="88"/>
        <v>#N/A</v>
      </c>
      <c r="BS57" s="175"/>
      <c r="BT57" s="176"/>
      <c r="BV57" s="188"/>
      <c r="BW57" s="188"/>
      <c r="BX57" s="188"/>
      <c r="BY57" s="188"/>
    </row>
    <row r="58" spans="1:77" x14ac:dyDescent="0.25">
      <c r="A58" s="184">
        <f t="shared" si="27"/>
        <v>130</v>
      </c>
      <c r="B58" s="151" t="str">
        <f>VLOOKUP(A58,'Summary-input'!A:B,2,0)</f>
        <v>I.WALL</v>
      </c>
      <c r="C58" s="179">
        <v>103</v>
      </c>
      <c r="D58" s="75"/>
      <c r="E58" s="147"/>
      <c r="F58" s="152" t="e">
        <f t="shared" si="28"/>
        <v>#N/A</v>
      </c>
      <c r="G58" s="76" t="e">
        <f t="shared" si="29"/>
        <v>#N/A</v>
      </c>
      <c r="H58" s="155" t="e">
        <f t="shared" si="30"/>
        <v>#N/A</v>
      </c>
      <c r="I58" s="152">
        <f t="shared" si="31"/>
        <v>600</v>
      </c>
      <c r="J58" s="149" t="str">
        <f t="shared" si="32"/>
        <v>H</v>
      </c>
      <c r="K58" s="148">
        <v>40</v>
      </c>
      <c r="L58" s="75" t="str">
        <f t="shared" si="63"/>
        <v/>
      </c>
      <c r="M58" s="75" t="str">
        <f t="shared" si="64"/>
        <v/>
      </c>
      <c r="N58" s="148"/>
      <c r="O58" s="75" t="str">
        <f>IF(R58=0,"","+")</f>
        <v/>
      </c>
      <c r="P58" s="148"/>
      <c r="Q58" s="75" t="str">
        <f t="shared" si="65"/>
        <v/>
      </c>
      <c r="R58" s="153">
        <v>0</v>
      </c>
      <c r="S58" s="76">
        <f t="shared" si="66"/>
        <v>4188.7902047863909</v>
      </c>
      <c r="T58" s="75" t="str">
        <f t="shared" si="67"/>
        <v/>
      </c>
      <c r="U58" s="76">
        <f t="shared" si="68"/>
        <v>0</v>
      </c>
      <c r="V58" s="75" t="str">
        <f>IF(R58=0,"","+")</f>
        <v/>
      </c>
      <c r="W58" s="76">
        <f>IF(P58=0,PI()/4*R58^2*1000/$Z$18,PI()/4*R58^2*P58*1000/$Z$18)</f>
        <v>0</v>
      </c>
      <c r="X58" s="75" t="s">
        <v>22</v>
      </c>
      <c r="Y58" s="154">
        <f t="shared" si="69"/>
        <v>4188.7902047863909</v>
      </c>
      <c r="Z58" s="76">
        <f t="shared" si="70"/>
        <v>497</v>
      </c>
      <c r="AA58" s="151">
        <f t="shared" si="71"/>
        <v>0</v>
      </c>
      <c r="AB58" s="151">
        <f t="shared" si="72"/>
        <v>0</v>
      </c>
      <c r="AC58" s="76">
        <f t="shared" si="73"/>
        <v>497</v>
      </c>
      <c r="AD58" s="177" t="e">
        <f t="shared" si="74"/>
        <v>#N/A</v>
      </c>
      <c r="AE58" s="136">
        <f t="shared" si="75"/>
        <v>0.84281493054052126</v>
      </c>
      <c r="AF58" s="178" t="s">
        <v>43</v>
      </c>
      <c r="AG58" s="84">
        <f t="shared" si="76"/>
        <v>0.58815270244667417</v>
      </c>
      <c r="AH58" s="178" t="e">
        <f t="shared" si="77"/>
        <v>#N/A</v>
      </c>
      <c r="AI58" s="76">
        <f t="shared" si="78"/>
        <v>497000</v>
      </c>
      <c r="AJ58" s="156" t="e">
        <f t="shared" si="79"/>
        <v>#N/A</v>
      </c>
      <c r="AK58" s="75" t="e">
        <f t="shared" si="17"/>
        <v>#N/A</v>
      </c>
      <c r="AL58" s="150" t="e">
        <f t="shared" si="80"/>
        <v>#N/A</v>
      </c>
      <c r="AM58" s="149" t="e">
        <f t="shared" si="33"/>
        <v>#N/A</v>
      </c>
      <c r="AN58" s="76" t="e">
        <f t="shared" si="81"/>
        <v>#N/A</v>
      </c>
      <c r="AO58" s="147" t="e">
        <f t="shared" si="82"/>
        <v>#N/A</v>
      </c>
      <c r="AP58" s="76" t="e">
        <f t="shared" si="83"/>
        <v>#N/A</v>
      </c>
      <c r="AQ58" s="154" t="e">
        <f t="shared" si="84"/>
        <v>#N/A</v>
      </c>
      <c r="AR58" s="150" t="e">
        <f t="shared" si="85"/>
        <v>#N/A</v>
      </c>
      <c r="AS58" s="180" t="e">
        <f t="shared" si="86"/>
        <v>#N/A</v>
      </c>
      <c r="AT58" s="17">
        <v>130</v>
      </c>
      <c r="AU58" s="71">
        <f>VLOOKUP(AT58,'Summary-input'!A:D,4,0)</f>
        <v>600</v>
      </c>
      <c r="AV58" s="54">
        <f t="shared" si="87"/>
        <v>497</v>
      </c>
      <c r="AW58" s="55"/>
      <c r="AX58" s="55"/>
      <c r="AY58" s="101"/>
      <c r="AZ58" s="102"/>
      <c r="BA58" s="103">
        <v>1</v>
      </c>
      <c r="BB58" s="62"/>
      <c r="BC58" s="64">
        <v>79</v>
      </c>
      <c r="BD58" s="64" t="s">
        <v>59</v>
      </c>
      <c r="BE58" s="64"/>
      <c r="BF58" s="64">
        <v>114</v>
      </c>
      <c r="BG58" s="64"/>
      <c r="BH58" s="102"/>
      <c r="BI58" s="182"/>
      <c r="BJ58" s="182" t="e">
        <f>VLOOKUP(AT58,'Summary-output-ULS'!$B:$H,7,0)</f>
        <v>#N/A</v>
      </c>
      <c r="BK58" s="182" t="e">
        <f>-VLOOKUP(AT58,'Summary-output-ULS'!$B:$H,5,0)</f>
        <v>#N/A</v>
      </c>
      <c r="BL58" s="182" t="e">
        <f>VLOOKUP(AT58,'Summary-output-SLS'!$B:$H,5,0)</f>
        <v>#N/A</v>
      </c>
      <c r="BM58" s="182" t="e">
        <f>VLOOKUP(AT58,'Summary-output-SLS'!$B:$H,6,0)</f>
        <v>#N/A</v>
      </c>
      <c r="BN58" s="182" t="e">
        <f>VLOOKUP(AT58,'Summary-output-SLS'!$B:$H,6,0)</f>
        <v>#N/A</v>
      </c>
      <c r="BO58" s="64"/>
      <c r="BP58" s="182" t="e">
        <f>VLOOKUP(AT58,'Summary-output-ULS'!$B:$H,4,0)</f>
        <v>#N/A</v>
      </c>
      <c r="BR58" s="174" t="e">
        <f t="shared" si="88"/>
        <v>#N/A</v>
      </c>
      <c r="BS58" s="175"/>
      <c r="BT58" s="176"/>
      <c r="BV58" s="188"/>
      <c r="BW58" s="188"/>
      <c r="BX58" s="188"/>
      <c r="BY58" s="188"/>
    </row>
    <row r="59" spans="1:77" x14ac:dyDescent="0.25">
      <c r="A59" s="184">
        <f t="shared" si="27"/>
        <v>131</v>
      </c>
      <c r="B59" s="151" t="str">
        <f>VLOOKUP(A59,'Summary-input'!A:B,2,0)</f>
        <v>I.WALL</v>
      </c>
      <c r="C59" s="179">
        <v>103</v>
      </c>
      <c r="D59" s="75"/>
      <c r="E59" s="147"/>
      <c r="F59" s="152" t="e">
        <f t="shared" si="28"/>
        <v>#N/A</v>
      </c>
      <c r="G59" s="76" t="e">
        <f t="shared" si="29"/>
        <v>#N/A</v>
      </c>
      <c r="H59" s="155" t="e">
        <f t="shared" si="30"/>
        <v>#N/A</v>
      </c>
      <c r="I59" s="152">
        <f t="shared" si="31"/>
        <v>600</v>
      </c>
      <c r="J59" s="149" t="str">
        <f t="shared" si="32"/>
        <v>H</v>
      </c>
      <c r="K59" s="148">
        <v>40</v>
      </c>
      <c r="L59" s="75" t="str">
        <f t="shared" si="63"/>
        <v/>
      </c>
      <c r="M59" s="75" t="str">
        <f t="shared" si="64"/>
        <v/>
      </c>
      <c r="N59" s="148"/>
      <c r="O59" s="75" t="str">
        <f>IF(R59=0,"","+")</f>
        <v/>
      </c>
      <c r="P59" s="148"/>
      <c r="Q59" s="75" t="str">
        <f t="shared" si="65"/>
        <v/>
      </c>
      <c r="R59" s="153"/>
      <c r="S59" s="76">
        <f t="shared" si="66"/>
        <v>4188.7902047863909</v>
      </c>
      <c r="T59" s="75" t="str">
        <f t="shared" si="67"/>
        <v/>
      </c>
      <c r="U59" s="76">
        <f t="shared" si="68"/>
        <v>0</v>
      </c>
      <c r="V59" s="75" t="str">
        <f>IF(R59=0,"","+")</f>
        <v/>
      </c>
      <c r="W59" s="76">
        <f>IF(P59=0,PI()/4*R59^2*1000/$Z$18,PI()/4*R59^2*P59*1000/$Z$18)</f>
        <v>0</v>
      </c>
      <c r="X59" s="75" t="s">
        <v>22</v>
      </c>
      <c r="Y59" s="154">
        <f t="shared" si="69"/>
        <v>4188.7902047863909</v>
      </c>
      <c r="Z59" s="76">
        <f t="shared" si="70"/>
        <v>497</v>
      </c>
      <c r="AA59" s="151">
        <f t="shared" si="71"/>
        <v>0</v>
      </c>
      <c r="AB59" s="151">
        <f t="shared" si="72"/>
        <v>0</v>
      </c>
      <c r="AC59" s="76">
        <f t="shared" si="73"/>
        <v>497</v>
      </c>
      <c r="AD59" s="177" t="e">
        <f t="shared" si="74"/>
        <v>#N/A</v>
      </c>
      <c r="AE59" s="136">
        <f t="shared" si="75"/>
        <v>0.84281493054052126</v>
      </c>
      <c r="AF59" s="178" t="s">
        <v>43</v>
      </c>
      <c r="AG59" s="84">
        <f t="shared" si="76"/>
        <v>0.58815270244667417</v>
      </c>
      <c r="AH59" s="178" t="e">
        <f t="shared" si="77"/>
        <v>#N/A</v>
      </c>
      <c r="AI59" s="76">
        <f t="shared" si="78"/>
        <v>497000</v>
      </c>
      <c r="AJ59" s="156" t="e">
        <f t="shared" si="79"/>
        <v>#N/A</v>
      </c>
      <c r="AK59" s="75" t="e">
        <f t="shared" si="17"/>
        <v>#N/A</v>
      </c>
      <c r="AL59" s="150" t="e">
        <f t="shared" si="80"/>
        <v>#N/A</v>
      </c>
      <c r="AM59" s="149" t="e">
        <f t="shared" si="33"/>
        <v>#N/A</v>
      </c>
      <c r="AN59" s="76" t="e">
        <f t="shared" si="81"/>
        <v>#N/A</v>
      </c>
      <c r="AO59" s="147" t="e">
        <f t="shared" si="82"/>
        <v>#N/A</v>
      </c>
      <c r="AP59" s="76" t="e">
        <f t="shared" si="83"/>
        <v>#N/A</v>
      </c>
      <c r="AQ59" s="154" t="e">
        <f t="shared" si="84"/>
        <v>#N/A</v>
      </c>
      <c r="AR59" s="150" t="e">
        <f t="shared" si="85"/>
        <v>#N/A</v>
      </c>
      <c r="AS59" s="180" t="e">
        <f t="shared" si="86"/>
        <v>#N/A</v>
      </c>
      <c r="AT59" s="17">
        <v>131</v>
      </c>
      <c r="AU59" s="71">
        <f>VLOOKUP(AT59,'Summary-input'!A:D,4,0)</f>
        <v>600</v>
      </c>
      <c r="AV59" s="54">
        <f t="shared" si="87"/>
        <v>497</v>
      </c>
      <c r="AW59" s="55"/>
      <c r="AX59" s="55"/>
      <c r="AY59" s="101"/>
      <c r="AZ59" s="102"/>
      <c r="BA59" s="103">
        <v>1</v>
      </c>
      <c r="BB59" s="62"/>
      <c r="BC59" s="64">
        <v>78</v>
      </c>
      <c r="BD59" s="64" t="s">
        <v>59</v>
      </c>
      <c r="BE59" s="64"/>
      <c r="BF59" s="64">
        <v>105</v>
      </c>
      <c r="BG59" s="64"/>
      <c r="BH59" s="102"/>
      <c r="BI59" s="182"/>
      <c r="BJ59" s="182" t="e">
        <f>VLOOKUP(AT59,'Summary-output-ULS'!$B:$H,7,0)</f>
        <v>#N/A</v>
      </c>
      <c r="BK59" s="182" t="e">
        <f>-VLOOKUP(AT59,'Summary-output-ULS'!$B:$H,5,0)</f>
        <v>#N/A</v>
      </c>
      <c r="BL59" s="182" t="e">
        <f>VLOOKUP(AT59,'Summary-output-SLS'!$B:$H,5,0)</f>
        <v>#N/A</v>
      </c>
      <c r="BM59" s="182" t="e">
        <f>VLOOKUP(AT59,'Summary-output-SLS'!$B:$H,6,0)</f>
        <v>#N/A</v>
      </c>
      <c r="BN59" s="182" t="e">
        <f>VLOOKUP(AT59,'Summary-output-SLS'!$B:$H,6,0)</f>
        <v>#N/A</v>
      </c>
      <c r="BO59" s="64"/>
      <c r="BP59" s="182" t="e">
        <f>VLOOKUP(AT59,'Summary-output-ULS'!$B:$H,4,0)</f>
        <v>#N/A</v>
      </c>
      <c r="BR59" s="174" t="e">
        <f t="shared" si="88"/>
        <v>#N/A</v>
      </c>
      <c r="BS59" s="175"/>
      <c r="BT59" s="176"/>
      <c r="BV59" s="188"/>
      <c r="BW59" s="188"/>
      <c r="BX59" s="188"/>
      <c r="BY59" s="188"/>
    </row>
    <row r="60" spans="1:77" x14ac:dyDescent="0.25">
      <c r="A60" s="184">
        <f t="shared" si="27"/>
        <v>132</v>
      </c>
      <c r="B60" s="151" t="str">
        <f>VLOOKUP(A60,'Summary-input'!A:B,2,0)</f>
        <v>I.WALL</v>
      </c>
      <c r="C60" s="179">
        <v>103</v>
      </c>
      <c r="D60" s="75"/>
      <c r="E60" s="147"/>
      <c r="F60" s="152" t="e">
        <f t="shared" si="28"/>
        <v>#N/A</v>
      </c>
      <c r="G60" s="76" t="e">
        <f t="shared" si="29"/>
        <v>#N/A</v>
      </c>
      <c r="H60" s="155" t="e">
        <f t="shared" si="30"/>
        <v>#N/A</v>
      </c>
      <c r="I60" s="152">
        <f t="shared" si="31"/>
        <v>600</v>
      </c>
      <c r="J60" s="149" t="str">
        <f t="shared" si="32"/>
        <v>H</v>
      </c>
      <c r="K60" s="148">
        <v>40</v>
      </c>
      <c r="L60" s="75" t="str">
        <f t="shared" si="63"/>
        <v/>
      </c>
      <c r="M60" s="75" t="str">
        <f t="shared" si="64"/>
        <v/>
      </c>
      <c r="N60" s="148"/>
      <c r="O60" s="75"/>
      <c r="P60" s="148"/>
      <c r="Q60" s="75" t="str">
        <f t="shared" si="65"/>
        <v/>
      </c>
      <c r="R60" s="153"/>
      <c r="S60" s="76">
        <f t="shared" si="66"/>
        <v>4188.7902047863909</v>
      </c>
      <c r="T60" s="75" t="str">
        <f t="shared" si="67"/>
        <v/>
      </c>
      <c r="U60" s="76">
        <f t="shared" si="68"/>
        <v>0</v>
      </c>
      <c r="V60" s="75"/>
      <c r="W60" s="76"/>
      <c r="X60" s="75" t="s">
        <v>22</v>
      </c>
      <c r="Y60" s="154">
        <f t="shared" si="69"/>
        <v>4188.7902047863909</v>
      </c>
      <c r="Z60" s="76">
        <f t="shared" si="70"/>
        <v>497</v>
      </c>
      <c r="AA60" s="151">
        <f t="shared" si="71"/>
        <v>0</v>
      </c>
      <c r="AB60" s="151">
        <f t="shared" si="72"/>
        <v>0</v>
      </c>
      <c r="AC60" s="76">
        <f t="shared" si="73"/>
        <v>497</v>
      </c>
      <c r="AD60" s="177" t="e">
        <f t="shared" si="74"/>
        <v>#N/A</v>
      </c>
      <c r="AE60" s="136">
        <f t="shared" si="75"/>
        <v>0.84281493054052126</v>
      </c>
      <c r="AF60" s="178" t="s">
        <v>43</v>
      </c>
      <c r="AG60" s="84">
        <f t="shared" si="76"/>
        <v>0.58815270244667417</v>
      </c>
      <c r="AH60" s="178" t="e">
        <f t="shared" si="77"/>
        <v>#N/A</v>
      </c>
      <c r="AI60" s="76">
        <f t="shared" si="78"/>
        <v>497000</v>
      </c>
      <c r="AJ60" s="156" t="e">
        <f t="shared" si="79"/>
        <v>#N/A</v>
      </c>
      <c r="AK60" s="75" t="e">
        <f t="shared" si="17"/>
        <v>#N/A</v>
      </c>
      <c r="AL60" s="150" t="e">
        <f t="shared" si="80"/>
        <v>#N/A</v>
      </c>
      <c r="AM60" s="149" t="e">
        <f t="shared" si="33"/>
        <v>#N/A</v>
      </c>
      <c r="AN60" s="76" t="e">
        <f t="shared" si="81"/>
        <v>#N/A</v>
      </c>
      <c r="AO60" s="147" t="e">
        <f t="shared" si="82"/>
        <v>#N/A</v>
      </c>
      <c r="AP60" s="76" t="e">
        <f t="shared" si="83"/>
        <v>#N/A</v>
      </c>
      <c r="AQ60" s="154" t="e">
        <f t="shared" si="84"/>
        <v>#N/A</v>
      </c>
      <c r="AR60" s="150" t="e">
        <f t="shared" si="85"/>
        <v>#N/A</v>
      </c>
      <c r="AS60" s="180" t="e">
        <f t="shared" si="86"/>
        <v>#N/A</v>
      </c>
      <c r="AT60" s="17">
        <v>132</v>
      </c>
      <c r="AU60" s="71">
        <f>VLOOKUP(AT60,'Summary-input'!A:D,4,0)</f>
        <v>600</v>
      </c>
      <c r="AV60" s="54">
        <f t="shared" si="87"/>
        <v>497</v>
      </c>
      <c r="AW60" s="55"/>
      <c r="AX60" s="55"/>
      <c r="AY60" s="101"/>
      <c r="AZ60" s="102"/>
      <c r="BA60" s="103">
        <v>1</v>
      </c>
      <c r="BB60" s="62"/>
      <c r="BC60" s="64">
        <v>77</v>
      </c>
      <c r="BD60" s="16" t="s">
        <v>59</v>
      </c>
      <c r="BE60" s="64"/>
      <c r="BF60" s="64">
        <v>103</v>
      </c>
      <c r="BG60" s="64"/>
      <c r="BH60" s="102"/>
      <c r="BI60" s="182"/>
      <c r="BJ60" s="182" t="e">
        <f>VLOOKUP(AT60,'Summary-output-ULS'!$B:$H,7,0)</f>
        <v>#N/A</v>
      </c>
      <c r="BK60" s="182" t="e">
        <f>-VLOOKUP(AT60,'Summary-output-ULS'!$B:$H,5,0)</f>
        <v>#N/A</v>
      </c>
      <c r="BL60" s="182" t="e">
        <f>VLOOKUP(AT60,'Summary-output-SLS'!$B:$H,5,0)</f>
        <v>#N/A</v>
      </c>
      <c r="BM60" s="182" t="e">
        <f>VLOOKUP(AT60,'Summary-output-SLS'!$B:$H,6,0)</f>
        <v>#N/A</v>
      </c>
      <c r="BN60" s="182" t="e">
        <f>VLOOKUP(AT60,'Summary-output-SLS'!$B:$H,6,0)</f>
        <v>#N/A</v>
      </c>
      <c r="BO60" s="64"/>
      <c r="BP60" s="182" t="e">
        <f>VLOOKUP(AT60,'Summary-output-ULS'!$B:$H,4,0)</f>
        <v>#N/A</v>
      </c>
      <c r="BR60" s="174" t="e">
        <f t="shared" si="88"/>
        <v>#N/A</v>
      </c>
      <c r="BS60" s="175"/>
      <c r="BT60" s="176"/>
      <c r="BV60" s="188"/>
      <c r="BW60" s="188"/>
      <c r="BX60" s="188"/>
      <c r="BY60" s="188"/>
    </row>
    <row r="61" spans="1:77" x14ac:dyDescent="0.25">
      <c r="A61" s="184">
        <f t="shared" si="27"/>
        <v>133</v>
      </c>
      <c r="B61" s="151" t="str">
        <f>VLOOKUP(A61,'Summary-input'!A:B,2,0)</f>
        <v>I.WALL</v>
      </c>
      <c r="C61" s="179">
        <v>103</v>
      </c>
      <c r="D61" s="75"/>
      <c r="E61" s="147"/>
      <c r="F61" s="152" t="e">
        <f t="shared" si="28"/>
        <v>#N/A</v>
      </c>
      <c r="G61" s="76" t="e">
        <f t="shared" si="29"/>
        <v>#N/A</v>
      </c>
      <c r="H61" s="155" t="e">
        <f t="shared" si="30"/>
        <v>#N/A</v>
      </c>
      <c r="I61" s="152">
        <f t="shared" si="31"/>
        <v>600</v>
      </c>
      <c r="J61" s="149" t="str">
        <f t="shared" si="32"/>
        <v>H</v>
      </c>
      <c r="K61" s="148">
        <v>40</v>
      </c>
      <c r="L61" s="75" t="str">
        <f t="shared" si="63"/>
        <v/>
      </c>
      <c r="M61" s="75" t="str">
        <f t="shared" si="64"/>
        <v/>
      </c>
      <c r="N61" s="148"/>
      <c r="O61" s="75" t="str">
        <f>IF(R61=0,"","+")</f>
        <v/>
      </c>
      <c r="P61" s="148"/>
      <c r="Q61" s="75" t="str">
        <f t="shared" si="65"/>
        <v/>
      </c>
      <c r="R61" s="153">
        <v>0</v>
      </c>
      <c r="S61" s="76">
        <f t="shared" si="66"/>
        <v>4188.7902047863909</v>
      </c>
      <c r="T61" s="75" t="str">
        <f t="shared" si="67"/>
        <v/>
      </c>
      <c r="U61" s="76">
        <f t="shared" si="68"/>
        <v>0</v>
      </c>
      <c r="V61" s="75" t="str">
        <f>IF(R61=0,"","+")</f>
        <v/>
      </c>
      <c r="W61" s="76">
        <f>IF(P61=0,PI()/4*R61^2*1000/$Z$18,PI()/4*R61^2*P61*1000/$Z$18)</f>
        <v>0</v>
      </c>
      <c r="X61" s="75" t="s">
        <v>22</v>
      </c>
      <c r="Y61" s="154">
        <f t="shared" si="69"/>
        <v>4188.7902047863909</v>
      </c>
      <c r="Z61" s="76">
        <f t="shared" si="70"/>
        <v>497</v>
      </c>
      <c r="AA61" s="151">
        <f t="shared" si="71"/>
        <v>0</v>
      </c>
      <c r="AB61" s="151">
        <f t="shared" si="72"/>
        <v>0</v>
      </c>
      <c r="AC61" s="76">
        <f t="shared" si="73"/>
        <v>497</v>
      </c>
      <c r="AD61" s="177" t="e">
        <f t="shared" si="74"/>
        <v>#N/A</v>
      </c>
      <c r="AE61" s="136">
        <f t="shared" si="75"/>
        <v>0.84281493054052126</v>
      </c>
      <c r="AF61" s="178" t="s">
        <v>43</v>
      </c>
      <c r="AG61" s="84">
        <f t="shared" si="76"/>
        <v>0.58815270244667417</v>
      </c>
      <c r="AH61" s="178" t="e">
        <f t="shared" si="77"/>
        <v>#N/A</v>
      </c>
      <c r="AI61" s="76">
        <f t="shared" si="78"/>
        <v>497000</v>
      </c>
      <c r="AJ61" s="156" t="e">
        <f t="shared" si="79"/>
        <v>#N/A</v>
      </c>
      <c r="AK61" s="75" t="e">
        <f t="shared" si="17"/>
        <v>#N/A</v>
      </c>
      <c r="AL61" s="150" t="e">
        <f t="shared" si="80"/>
        <v>#N/A</v>
      </c>
      <c r="AM61" s="149" t="e">
        <f t="shared" si="33"/>
        <v>#N/A</v>
      </c>
      <c r="AN61" s="76" t="e">
        <f t="shared" si="81"/>
        <v>#N/A</v>
      </c>
      <c r="AO61" s="75" t="e">
        <f t="shared" si="82"/>
        <v>#N/A</v>
      </c>
      <c r="AP61" s="76" t="e">
        <f t="shared" si="83"/>
        <v>#N/A</v>
      </c>
      <c r="AQ61" s="154" t="e">
        <f t="shared" si="84"/>
        <v>#N/A</v>
      </c>
      <c r="AR61" s="150" t="e">
        <f t="shared" si="85"/>
        <v>#N/A</v>
      </c>
      <c r="AS61" s="180" t="e">
        <f t="shared" si="86"/>
        <v>#N/A</v>
      </c>
      <c r="AT61" s="17">
        <v>133</v>
      </c>
      <c r="AU61" s="71">
        <f>VLOOKUP(AT61,'Summary-input'!A:D,4,0)</f>
        <v>600</v>
      </c>
      <c r="AV61" s="54">
        <f t="shared" si="87"/>
        <v>497</v>
      </c>
      <c r="AW61" s="55"/>
      <c r="AX61" s="55"/>
      <c r="AY61" s="101"/>
      <c r="AZ61" s="102"/>
      <c r="BA61" s="103">
        <v>1</v>
      </c>
      <c r="BB61" s="62"/>
      <c r="BC61" s="64">
        <v>80</v>
      </c>
      <c r="BD61" s="64" t="s">
        <v>59</v>
      </c>
      <c r="BE61" s="64"/>
      <c r="BF61" s="64">
        <v>105</v>
      </c>
      <c r="BG61" s="64"/>
      <c r="BH61" s="102"/>
      <c r="BI61" s="182"/>
      <c r="BJ61" s="182" t="e">
        <f>VLOOKUP(AT61,'Summary-output-ULS'!$B:$H,7,0)</f>
        <v>#N/A</v>
      </c>
      <c r="BK61" s="182" t="e">
        <f>-VLOOKUP(AT61,'Summary-output-ULS'!$B:$H,5,0)</f>
        <v>#N/A</v>
      </c>
      <c r="BL61" s="182" t="e">
        <f>VLOOKUP(AT61,'Summary-output-SLS'!$B:$H,5,0)</f>
        <v>#N/A</v>
      </c>
      <c r="BM61" s="182" t="e">
        <f>VLOOKUP(AT61,'Summary-output-SLS'!$B:$H,6,0)</f>
        <v>#N/A</v>
      </c>
      <c r="BN61" s="182" t="e">
        <f>VLOOKUP(AT61,'Summary-output-SLS'!$B:$H,6,0)</f>
        <v>#N/A</v>
      </c>
      <c r="BO61" s="64"/>
      <c r="BP61" s="182" t="e">
        <f>VLOOKUP(AT61,'Summary-output-ULS'!$B:$H,4,0)</f>
        <v>#N/A</v>
      </c>
      <c r="BR61" s="174" t="e">
        <f t="shared" si="88"/>
        <v>#N/A</v>
      </c>
      <c r="BS61" s="175"/>
      <c r="BT61" s="176"/>
      <c r="BV61" s="188"/>
      <c r="BW61" s="188"/>
      <c r="BX61" s="188"/>
      <c r="BY61" s="188"/>
    </row>
    <row r="62" spans="1:77" x14ac:dyDescent="0.25">
      <c r="A62" s="184">
        <f t="shared" si="27"/>
        <v>134</v>
      </c>
      <c r="B62" s="151" t="str">
        <f>VLOOKUP(A62,'Summary-input'!A:B,2,0)</f>
        <v>I.WALL</v>
      </c>
      <c r="C62" s="179">
        <v>103</v>
      </c>
      <c r="D62" s="75"/>
      <c r="E62" s="147"/>
      <c r="F62" s="152" t="e">
        <f t="shared" si="28"/>
        <v>#N/A</v>
      </c>
      <c r="G62" s="76" t="e">
        <f t="shared" si="29"/>
        <v>#N/A</v>
      </c>
      <c r="H62" s="155" t="e">
        <f t="shared" si="30"/>
        <v>#N/A</v>
      </c>
      <c r="I62" s="152">
        <f t="shared" si="31"/>
        <v>600</v>
      </c>
      <c r="J62" s="149" t="str">
        <f t="shared" si="32"/>
        <v>H</v>
      </c>
      <c r="K62" s="148">
        <v>40</v>
      </c>
      <c r="L62" s="75" t="str">
        <f t="shared" si="63"/>
        <v/>
      </c>
      <c r="M62" s="75" t="str">
        <f t="shared" si="64"/>
        <v/>
      </c>
      <c r="N62" s="148"/>
      <c r="O62" s="75" t="str">
        <f>IF(R62=0,"","+")</f>
        <v/>
      </c>
      <c r="P62" s="148"/>
      <c r="Q62" s="75" t="str">
        <f t="shared" si="65"/>
        <v/>
      </c>
      <c r="R62" s="153">
        <v>0</v>
      </c>
      <c r="S62" s="76">
        <f t="shared" si="66"/>
        <v>4188.7902047863909</v>
      </c>
      <c r="T62" s="75" t="str">
        <f t="shared" si="67"/>
        <v/>
      </c>
      <c r="U62" s="76">
        <f t="shared" si="68"/>
        <v>0</v>
      </c>
      <c r="V62" s="75" t="str">
        <f>IF(R62=0,"","+")</f>
        <v/>
      </c>
      <c r="W62" s="76">
        <f>IF(P62=0,PI()/4*R62^2*1000/$Z$18,PI()/4*R62^2*P62*1000/$Z$18)</f>
        <v>0</v>
      </c>
      <c r="X62" s="75" t="s">
        <v>22</v>
      </c>
      <c r="Y62" s="154">
        <f t="shared" si="69"/>
        <v>4188.7902047863909</v>
      </c>
      <c r="Z62" s="76">
        <f t="shared" si="70"/>
        <v>497</v>
      </c>
      <c r="AA62" s="151">
        <f t="shared" si="71"/>
        <v>0</v>
      </c>
      <c r="AB62" s="151">
        <f t="shared" si="72"/>
        <v>0</v>
      </c>
      <c r="AC62" s="76">
        <f t="shared" si="73"/>
        <v>497</v>
      </c>
      <c r="AD62" s="177" t="e">
        <f t="shared" si="74"/>
        <v>#N/A</v>
      </c>
      <c r="AE62" s="136">
        <f t="shared" si="75"/>
        <v>0.84281493054052126</v>
      </c>
      <c r="AF62" s="178" t="s">
        <v>43</v>
      </c>
      <c r="AG62" s="84">
        <f t="shared" si="76"/>
        <v>0.58815270244667417</v>
      </c>
      <c r="AH62" s="178" t="e">
        <f t="shared" si="77"/>
        <v>#N/A</v>
      </c>
      <c r="AI62" s="76">
        <f t="shared" si="78"/>
        <v>497000</v>
      </c>
      <c r="AJ62" s="156" t="e">
        <f t="shared" si="79"/>
        <v>#N/A</v>
      </c>
      <c r="AK62" s="75" t="e">
        <f t="shared" si="17"/>
        <v>#N/A</v>
      </c>
      <c r="AL62" s="150" t="e">
        <f t="shared" si="80"/>
        <v>#N/A</v>
      </c>
      <c r="AM62" s="149" t="e">
        <f t="shared" si="33"/>
        <v>#N/A</v>
      </c>
      <c r="AN62" s="76" t="e">
        <f t="shared" si="81"/>
        <v>#N/A</v>
      </c>
      <c r="AO62" s="75" t="e">
        <f t="shared" si="82"/>
        <v>#N/A</v>
      </c>
      <c r="AP62" s="76" t="e">
        <f t="shared" si="83"/>
        <v>#N/A</v>
      </c>
      <c r="AQ62" s="154" t="e">
        <f t="shared" si="84"/>
        <v>#N/A</v>
      </c>
      <c r="AR62" s="150" t="e">
        <f t="shared" si="85"/>
        <v>#N/A</v>
      </c>
      <c r="AS62" s="180" t="e">
        <f t="shared" si="86"/>
        <v>#N/A</v>
      </c>
      <c r="AT62" s="17">
        <v>134</v>
      </c>
      <c r="AU62" s="71">
        <f>VLOOKUP(AT62,'Summary-input'!A:D,4,0)</f>
        <v>600</v>
      </c>
      <c r="AV62" s="54">
        <f t="shared" si="87"/>
        <v>497</v>
      </c>
      <c r="AW62" s="55"/>
      <c r="AX62" s="55"/>
      <c r="AY62" s="101"/>
      <c r="AZ62" s="102"/>
      <c r="BA62" s="103">
        <v>1</v>
      </c>
      <c r="BB62" s="62"/>
      <c r="BC62" s="64">
        <v>80</v>
      </c>
      <c r="BD62" s="64" t="s">
        <v>59</v>
      </c>
      <c r="BE62" s="64"/>
      <c r="BF62" s="64">
        <v>105</v>
      </c>
      <c r="BG62" s="64"/>
      <c r="BH62" s="102"/>
      <c r="BI62" s="182"/>
      <c r="BJ62" s="182" t="e">
        <f>VLOOKUP(AT62,'Summary-output-ULS'!$B:$H,7,0)</f>
        <v>#N/A</v>
      </c>
      <c r="BK62" s="182" t="e">
        <f>-VLOOKUP(AT62,'Summary-output-ULS'!$B:$H,5,0)</f>
        <v>#N/A</v>
      </c>
      <c r="BL62" s="182" t="e">
        <f>VLOOKUP(AT62,'Summary-output-SLS'!$B:$H,5,0)</f>
        <v>#N/A</v>
      </c>
      <c r="BM62" s="182" t="e">
        <f>VLOOKUP(AT62,'Summary-output-SLS'!$B:$H,6,0)</f>
        <v>#N/A</v>
      </c>
      <c r="BN62" s="182" t="e">
        <f>VLOOKUP(AT62,'Summary-output-SLS'!$B:$H,6,0)</f>
        <v>#N/A</v>
      </c>
      <c r="BO62" s="64"/>
      <c r="BP62" s="182" t="e">
        <f>VLOOKUP(AT62,'Summary-output-ULS'!$B:$H,4,0)</f>
        <v>#N/A</v>
      </c>
      <c r="BR62" s="174" t="e">
        <f t="shared" si="88"/>
        <v>#N/A</v>
      </c>
      <c r="BS62" s="175"/>
      <c r="BT62" s="176"/>
      <c r="BV62" s="188"/>
      <c r="BW62" s="188"/>
      <c r="BX62" s="188"/>
      <c r="BY62" s="188"/>
    </row>
    <row r="63" spans="1:77" x14ac:dyDescent="0.25">
      <c r="A63" s="184">
        <f t="shared" si="27"/>
        <v>135</v>
      </c>
      <c r="B63" s="151" t="str">
        <f>VLOOKUP(A63,'Summary-input'!A:B,2,0)</f>
        <v>I.WALL</v>
      </c>
      <c r="C63" s="179">
        <v>103</v>
      </c>
      <c r="D63" s="75"/>
      <c r="E63" s="147"/>
      <c r="F63" s="152" t="e">
        <f t="shared" si="28"/>
        <v>#N/A</v>
      </c>
      <c r="G63" s="76" t="e">
        <f t="shared" si="29"/>
        <v>#N/A</v>
      </c>
      <c r="H63" s="155" t="e">
        <f t="shared" si="30"/>
        <v>#N/A</v>
      </c>
      <c r="I63" s="152">
        <f t="shared" si="31"/>
        <v>600</v>
      </c>
      <c r="J63" s="149" t="str">
        <f t="shared" si="32"/>
        <v>H</v>
      </c>
      <c r="K63" s="148">
        <v>40</v>
      </c>
      <c r="L63" s="75" t="str">
        <f t="shared" si="63"/>
        <v/>
      </c>
      <c r="M63" s="75" t="str">
        <f t="shared" si="64"/>
        <v/>
      </c>
      <c r="N63" s="148"/>
      <c r="O63" s="75" t="str">
        <f>IF(R63=0,"","+")</f>
        <v/>
      </c>
      <c r="P63" s="148"/>
      <c r="Q63" s="75" t="str">
        <f t="shared" si="65"/>
        <v/>
      </c>
      <c r="R63" s="153">
        <v>0</v>
      </c>
      <c r="S63" s="76">
        <f t="shared" si="66"/>
        <v>4188.7902047863909</v>
      </c>
      <c r="T63" s="75" t="str">
        <f t="shared" si="67"/>
        <v/>
      </c>
      <c r="U63" s="76">
        <f t="shared" si="68"/>
        <v>0</v>
      </c>
      <c r="V63" s="75" t="str">
        <f>IF(R63=0,"","+")</f>
        <v/>
      </c>
      <c r="W63" s="76">
        <f>IF(P63=0,PI()/4*R63^2*1000/$Z$18,PI()/4*R63^2*P63*1000/$Z$18)</f>
        <v>0</v>
      </c>
      <c r="X63" s="75" t="s">
        <v>22</v>
      </c>
      <c r="Y63" s="154">
        <f t="shared" si="69"/>
        <v>4188.7902047863909</v>
      </c>
      <c r="Z63" s="76">
        <f t="shared" si="70"/>
        <v>497</v>
      </c>
      <c r="AA63" s="151">
        <f t="shared" si="71"/>
        <v>0</v>
      </c>
      <c r="AB63" s="151">
        <f t="shared" si="72"/>
        <v>0</v>
      </c>
      <c r="AC63" s="76">
        <f t="shared" si="73"/>
        <v>497</v>
      </c>
      <c r="AD63" s="177" t="e">
        <f t="shared" si="74"/>
        <v>#N/A</v>
      </c>
      <c r="AE63" s="136">
        <f t="shared" si="75"/>
        <v>0.84281493054052126</v>
      </c>
      <c r="AF63" s="178" t="s">
        <v>43</v>
      </c>
      <c r="AG63" s="84">
        <f t="shared" si="76"/>
        <v>0.58815270244667417</v>
      </c>
      <c r="AH63" s="178" t="e">
        <f t="shared" si="77"/>
        <v>#N/A</v>
      </c>
      <c r="AI63" s="76">
        <f t="shared" si="78"/>
        <v>497000</v>
      </c>
      <c r="AJ63" s="156" t="e">
        <f t="shared" si="79"/>
        <v>#N/A</v>
      </c>
      <c r="AK63" s="75" t="e">
        <f t="shared" si="17"/>
        <v>#N/A</v>
      </c>
      <c r="AL63" s="150" t="e">
        <f t="shared" si="80"/>
        <v>#N/A</v>
      </c>
      <c r="AM63" s="149" t="e">
        <f t="shared" si="33"/>
        <v>#N/A</v>
      </c>
      <c r="AN63" s="76" t="e">
        <f t="shared" si="81"/>
        <v>#N/A</v>
      </c>
      <c r="AO63" s="75" t="e">
        <f t="shared" si="82"/>
        <v>#N/A</v>
      </c>
      <c r="AP63" s="76" t="e">
        <f t="shared" si="83"/>
        <v>#N/A</v>
      </c>
      <c r="AQ63" s="154" t="e">
        <f t="shared" si="84"/>
        <v>#N/A</v>
      </c>
      <c r="AR63" s="150" t="e">
        <f t="shared" si="85"/>
        <v>#N/A</v>
      </c>
      <c r="AS63" s="180" t="e">
        <f t="shared" si="86"/>
        <v>#N/A</v>
      </c>
      <c r="AT63" s="17">
        <v>135</v>
      </c>
      <c r="AU63" s="71">
        <f>VLOOKUP(AT63,'Summary-input'!A:D,4,0)</f>
        <v>600</v>
      </c>
      <c r="AV63" s="54">
        <f t="shared" si="87"/>
        <v>497</v>
      </c>
      <c r="AW63" s="55"/>
      <c r="AX63" s="55"/>
      <c r="AY63" s="101"/>
      <c r="AZ63" s="102"/>
      <c r="BA63" s="103">
        <v>1</v>
      </c>
      <c r="BB63" s="62"/>
      <c r="BC63" s="64">
        <v>80</v>
      </c>
      <c r="BD63" s="64" t="s">
        <v>59</v>
      </c>
      <c r="BE63" s="64"/>
      <c r="BF63" s="64">
        <v>101</v>
      </c>
      <c r="BG63" s="64"/>
      <c r="BH63" s="102"/>
      <c r="BI63" s="182"/>
      <c r="BJ63" s="182" t="e">
        <f>VLOOKUP(AT63,'Summary-output-ULS'!$B:$H,7,0)</f>
        <v>#N/A</v>
      </c>
      <c r="BK63" s="182" t="e">
        <f>-VLOOKUP(AT63,'Summary-output-ULS'!$B:$H,5,0)</f>
        <v>#N/A</v>
      </c>
      <c r="BL63" s="182" t="e">
        <f>VLOOKUP(AT63,'Summary-output-SLS'!$B:$H,5,0)</f>
        <v>#N/A</v>
      </c>
      <c r="BM63" s="182" t="e">
        <f>VLOOKUP(AT63,'Summary-output-SLS'!$B:$H,6,0)</f>
        <v>#N/A</v>
      </c>
      <c r="BN63" s="182" t="e">
        <f>VLOOKUP(AT63,'Summary-output-SLS'!$B:$H,6,0)</f>
        <v>#N/A</v>
      </c>
      <c r="BO63" s="64"/>
      <c r="BP63" s="182" t="e">
        <f>VLOOKUP(AT63,'Summary-output-ULS'!$B:$H,4,0)</f>
        <v>#N/A</v>
      </c>
      <c r="BR63" s="174" t="e">
        <f t="shared" si="88"/>
        <v>#N/A</v>
      </c>
      <c r="BS63" s="175"/>
      <c r="BT63" s="176"/>
      <c r="BV63" s="188"/>
      <c r="BW63" s="188"/>
      <c r="BX63" s="188"/>
      <c r="BY63" s="188"/>
    </row>
    <row r="64" spans="1:77" x14ac:dyDescent="0.25">
      <c r="A64" s="184">
        <f t="shared" si="27"/>
        <v>136</v>
      </c>
      <c r="B64" s="151" t="str">
        <f>VLOOKUP(A64,'Summary-input'!A:B,2,0)</f>
        <v>I.WALL</v>
      </c>
      <c r="C64" s="179">
        <v>103</v>
      </c>
      <c r="D64" s="75"/>
      <c r="E64" s="147"/>
      <c r="F64" s="152" t="e">
        <f t="shared" si="28"/>
        <v>#N/A</v>
      </c>
      <c r="G64" s="76" t="e">
        <f t="shared" si="29"/>
        <v>#N/A</v>
      </c>
      <c r="H64" s="155" t="e">
        <f t="shared" si="30"/>
        <v>#N/A</v>
      </c>
      <c r="I64" s="152">
        <f t="shared" si="31"/>
        <v>600</v>
      </c>
      <c r="J64" s="149" t="str">
        <f t="shared" si="32"/>
        <v>H</v>
      </c>
      <c r="K64" s="148">
        <v>40</v>
      </c>
      <c r="L64" s="75" t="str">
        <f t="shared" si="63"/>
        <v/>
      </c>
      <c r="M64" s="75" t="str">
        <f t="shared" si="64"/>
        <v/>
      </c>
      <c r="N64" s="148"/>
      <c r="O64" s="75" t="str">
        <f>IF(R64=0,"","+")</f>
        <v/>
      </c>
      <c r="P64" s="148"/>
      <c r="Q64" s="75" t="str">
        <f t="shared" si="65"/>
        <v/>
      </c>
      <c r="R64" s="153">
        <v>0</v>
      </c>
      <c r="S64" s="76">
        <f t="shared" si="66"/>
        <v>4188.7902047863909</v>
      </c>
      <c r="T64" s="75" t="str">
        <f t="shared" si="67"/>
        <v/>
      </c>
      <c r="U64" s="76">
        <f t="shared" si="68"/>
        <v>0</v>
      </c>
      <c r="V64" s="75" t="str">
        <f>IF(R64=0,"","+")</f>
        <v/>
      </c>
      <c r="W64" s="76">
        <f>IF(P64=0,PI()/4*R64^2*1000/$Z$18,PI()/4*R64^2*P64*1000/$Z$18)</f>
        <v>0</v>
      </c>
      <c r="X64" s="75" t="s">
        <v>22</v>
      </c>
      <c r="Y64" s="154">
        <f t="shared" si="69"/>
        <v>4188.7902047863909</v>
      </c>
      <c r="Z64" s="76">
        <f t="shared" si="70"/>
        <v>497</v>
      </c>
      <c r="AA64" s="151">
        <f t="shared" si="71"/>
        <v>0</v>
      </c>
      <c r="AB64" s="151">
        <f t="shared" si="72"/>
        <v>0</v>
      </c>
      <c r="AC64" s="76">
        <f t="shared" si="73"/>
        <v>497</v>
      </c>
      <c r="AD64" s="177" t="e">
        <f t="shared" si="74"/>
        <v>#N/A</v>
      </c>
      <c r="AE64" s="136">
        <f t="shared" si="75"/>
        <v>0.84281493054052126</v>
      </c>
      <c r="AF64" s="178" t="s">
        <v>43</v>
      </c>
      <c r="AG64" s="84">
        <f t="shared" si="76"/>
        <v>0.58815270244667417</v>
      </c>
      <c r="AH64" s="178" t="e">
        <f t="shared" si="77"/>
        <v>#N/A</v>
      </c>
      <c r="AI64" s="76">
        <f t="shared" si="78"/>
        <v>497000</v>
      </c>
      <c r="AJ64" s="156" t="e">
        <f t="shared" si="79"/>
        <v>#N/A</v>
      </c>
      <c r="AK64" s="75" t="e">
        <f t="shared" si="17"/>
        <v>#N/A</v>
      </c>
      <c r="AL64" s="150" t="e">
        <f t="shared" si="80"/>
        <v>#N/A</v>
      </c>
      <c r="AM64" s="149" t="e">
        <f t="shared" si="33"/>
        <v>#N/A</v>
      </c>
      <c r="AN64" s="76" t="e">
        <f t="shared" si="81"/>
        <v>#N/A</v>
      </c>
      <c r="AO64" s="147" t="e">
        <f t="shared" si="82"/>
        <v>#N/A</v>
      </c>
      <c r="AP64" s="76" t="e">
        <f t="shared" si="83"/>
        <v>#N/A</v>
      </c>
      <c r="AQ64" s="154" t="e">
        <f t="shared" si="84"/>
        <v>#N/A</v>
      </c>
      <c r="AR64" s="150" t="e">
        <f t="shared" si="85"/>
        <v>#N/A</v>
      </c>
      <c r="AS64" s="180" t="e">
        <f t="shared" si="86"/>
        <v>#N/A</v>
      </c>
      <c r="AT64" s="17">
        <v>136</v>
      </c>
      <c r="AU64" s="71">
        <f>VLOOKUP(AT64,'Summary-input'!A:D,4,0)</f>
        <v>600</v>
      </c>
      <c r="AV64" s="54">
        <f t="shared" si="87"/>
        <v>497</v>
      </c>
      <c r="AW64" s="55"/>
      <c r="AX64" s="55"/>
      <c r="AY64" s="101"/>
      <c r="AZ64" s="102"/>
      <c r="BA64" s="103">
        <v>1</v>
      </c>
      <c r="BB64" s="62"/>
      <c r="BC64" s="64">
        <v>79</v>
      </c>
      <c r="BD64" s="64" t="s">
        <v>59</v>
      </c>
      <c r="BE64" s="64"/>
      <c r="BF64" s="64">
        <v>114</v>
      </c>
      <c r="BG64" s="64"/>
      <c r="BH64" s="102"/>
      <c r="BI64" s="182"/>
      <c r="BJ64" s="182" t="e">
        <f>VLOOKUP(AT64,'Summary-output-ULS'!$B:$H,7,0)</f>
        <v>#N/A</v>
      </c>
      <c r="BK64" s="182" t="e">
        <f>-VLOOKUP(AT64,'Summary-output-ULS'!$B:$H,5,0)</f>
        <v>#N/A</v>
      </c>
      <c r="BL64" s="182" t="e">
        <f>VLOOKUP(AT64,'Summary-output-SLS'!$B:$H,5,0)</f>
        <v>#N/A</v>
      </c>
      <c r="BM64" s="182" t="e">
        <f>VLOOKUP(AT64,'Summary-output-SLS'!$B:$H,6,0)</f>
        <v>#N/A</v>
      </c>
      <c r="BN64" s="182" t="e">
        <f>VLOOKUP(AT64,'Summary-output-SLS'!$B:$H,6,0)</f>
        <v>#N/A</v>
      </c>
      <c r="BO64" s="64"/>
      <c r="BP64" s="182" t="e">
        <f>VLOOKUP(AT64,'Summary-output-ULS'!$B:$H,4,0)</f>
        <v>#N/A</v>
      </c>
      <c r="BR64" s="174" t="e">
        <f t="shared" si="88"/>
        <v>#N/A</v>
      </c>
      <c r="BS64" s="175"/>
      <c r="BT64" s="176"/>
      <c r="BV64" s="188"/>
      <c r="BW64" s="188"/>
      <c r="BX64" s="188"/>
      <c r="BY64" s="188"/>
    </row>
    <row r="65" spans="1:77" x14ac:dyDescent="0.25">
      <c r="A65" s="184">
        <f t="shared" si="27"/>
        <v>137</v>
      </c>
      <c r="B65" s="151" t="str">
        <f>VLOOKUP(A65,'Summary-input'!A:B,2,0)</f>
        <v>I.WALL</v>
      </c>
      <c r="C65" s="179">
        <v>103</v>
      </c>
      <c r="D65" s="75"/>
      <c r="E65" s="147"/>
      <c r="F65" s="152" t="e">
        <f t="shared" si="28"/>
        <v>#N/A</v>
      </c>
      <c r="G65" s="76" t="e">
        <f t="shared" si="29"/>
        <v>#N/A</v>
      </c>
      <c r="H65" s="155" t="e">
        <f t="shared" si="30"/>
        <v>#N/A</v>
      </c>
      <c r="I65" s="152">
        <f t="shared" si="31"/>
        <v>600</v>
      </c>
      <c r="J65" s="149" t="str">
        <f t="shared" si="32"/>
        <v>H</v>
      </c>
      <c r="K65" s="148">
        <v>40</v>
      </c>
      <c r="L65" s="75" t="str">
        <f t="shared" si="63"/>
        <v/>
      </c>
      <c r="M65" s="75" t="str">
        <f t="shared" si="64"/>
        <v/>
      </c>
      <c r="N65" s="148"/>
      <c r="O65" s="75" t="str">
        <f>IF(R65=0,"","+")</f>
        <v/>
      </c>
      <c r="P65" s="148"/>
      <c r="Q65" s="75" t="str">
        <f t="shared" si="65"/>
        <v/>
      </c>
      <c r="R65" s="153"/>
      <c r="S65" s="76">
        <f t="shared" si="66"/>
        <v>4188.7902047863909</v>
      </c>
      <c r="T65" s="75" t="str">
        <f t="shared" si="67"/>
        <v/>
      </c>
      <c r="U65" s="76">
        <f t="shared" si="68"/>
        <v>0</v>
      </c>
      <c r="V65" s="75" t="str">
        <f>IF(R65=0,"","+")</f>
        <v/>
      </c>
      <c r="W65" s="76">
        <f>IF(P65=0,PI()/4*R65^2*1000/$Z$18,PI()/4*R65^2*P65*1000/$Z$18)</f>
        <v>0</v>
      </c>
      <c r="X65" s="75" t="s">
        <v>22</v>
      </c>
      <c r="Y65" s="154">
        <f t="shared" si="69"/>
        <v>4188.7902047863909</v>
      </c>
      <c r="Z65" s="76">
        <f t="shared" si="70"/>
        <v>497</v>
      </c>
      <c r="AA65" s="151">
        <f t="shared" si="71"/>
        <v>0</v>
      </c>
      <c r="AB65" s="151">
        <f t="shared" si="72"/>
        <v>0</v>
      </c>
      <c r="AC65" s="76">
        <f t="shared" si="73"/>
        <v>497</v>
      </c>
      <c r="AD65" s="177" t="e">
        <f t="shared" si="74"/>
        <v>#N/A</v>
      </c>
      <c r="AE65" s="136">
        <f t="shared" si="75"/>
        <v>0.84281493054052126</v>
      </c>
      <c r="AF65" s="178" t="s">
        <v>43</v>
      </c>
      <c r="AG65" s="84">
        <f t="shared" si="76"/>
        <v>0.58815270244667417</v>
      </c>
      <c r="AH65" s="178" t="e">
        <f t="shared" si="77"/>
        <v>#N/A</v>
      </c>
      <c r="AI65" s="76">
        <f t="shared" si="78"/>
        <v>497000</v>
      </c>
      <c r="AJ65" s="156" t="e">
        <f t="shared" si="79"/>
        <v>#N/A</v>
      </c>
      <c r="AK65" s="75" t="e">
        <f t="shared" si="17"/>
        <v>#N/A</v>
      </c>
      <c r="AL65" s="150" t="e">
        <f t="shared" si="80"/>
        <v>#N/A</v>
      </c>
      <c r="AM65" s="149" t="e">
        <f t="shared" si="33"/>
        <v>#N/A</v>
      </c>
      <c r="AN65" s="76" t="e">
        <f t="shared" si="81"/>
        <v>#N/A</v>
      </c>
      <c r="AO65" s="147" t="e">
        <f t="shared" si="82"/>
        <v>#N/A</v>
      </c>
      <c r="AP65" s="76" t="e">
        <f t="shared" si="83"/>
        <v>#N/A</v>
      </c>
      <c r="AQ65" s="154" t="e">
        <f t="shared" si="84"/>
        <v>#N/A</v>
      </c>
      <c r="AR65" s="150" t="e">
        <f t="shared" si="85"/>
        <v>#N/A</v>
      </c>
      <c r="AS65" s="180" t="e">
        <f t="shared" si="86"/>
        <v>#N/A</v>
      </c>
      <c r="AT65" s="17">
        <v>137</v>
      </c>
      <c r="AU65" s="71">
        <f>VLOOKUP(AT65,'Summary-input'!A:D,4,0)</f>
        <v>600</v>
      </c>
      <c r="AV65" s="54">
        <f t="shared" si="87"/>
        <v>497</v>
      </c>
      <c r="AW65" s="55"/>
      <c r="AX65" s="55"/>
      <c r="AY65" s="101"/>
      <c r="AZ65" s="102"/>
      <c r="BA65" s="103">
        <v>1</v>
      </c>
      <c r="BB65" s="62"/>
      <c r="BC65" s="64">
        <v>78</v>
      </c>
      <c r="BD65" s="64" t="s">
        <v>59</v>
      </c>
      <c r="BE65" s="64"/>
      <c r="BF65" s="64">
        <v>105</v>
      </c>
      <c r="BG65" s="64"/>
      <c r="BH65" s="102"/>
      <c r="BI65" s="182"/>
      <c r="BJ65" s="182" t="e">
        <f>VLOOKUP(AT65,'Summary-output-ULS'!$B:$H,7,0)</f>
        <v>#N/A</v>
      </c>
      <c r="BK65" s="182" t="e">
        <f>-VLOOKUP(AT65,'Summary-output-ULS'!$B:$H,5,0)</f>
        <v>#N/A</v>
      </c>
      <c r="BL65" s="182" t="e">
        <f>VLOOKUP(AT65,'Summary-output-SLS'!$B:$H,5,0)</f>
        <v>#N/A</v>
      </c>
      <c r="BM65" s="182" t="e">
        <f>VLOOKUP(AT65,'Summary-output-SLS'!$B:$H,6,0)</f>
        <v>#N/A</v>
      </c>
      <c r="BN65" s="182" t="e">
        <f>VLOOKUP(AT65,'Summary-output-SLS'!$B:$H,6,0)</f>
        <v>#N/A</v>
      </c>
      <c r="BO65" s="64"/>
      <c r="BP65" s="182" t="e">
        <f>VLOOKUP(AT65,'Summary-output-ULS'!$B:$H,4,0)</f>
        <v>#N/A</v>
      </c>
      <c r="BR65" s="174" t="e">
        <f t="shared" si="88"/>
        <v>#N/A</v>
      </c>
      <c r="BS65" s="175"/>
      <c r="BT65" s="176"/>
      <c r="BV65" s="188"/>
      <c r="BW65" s="188"/>
      <c r="BX65" s="188"/>
      <c r="BY65" s="188"/>
    </row>
    <row r="66" spans="1:77" x14ac:dyDescent="0.25">
      <c r="A66" s="184">
        <f t="shared" si="27"/>
        <v>138</v>
      </c>
      <c r="B66" s="151" t="str">
        <f>VLOOKUP(A66,'Summary-input'!A:B,2,0)</f>
        <v>I.WALL</v>
      </c>
      <c r="C66" s="179">
        <v>101</v>
      </c>
      <c r="D66" s="75"/>
      <c r="E66" s="147"/>
      <c r="F66" s="152" t="e">
        <f t="shared" si="28"/>
        <v>#N/A</v>
      </c>
      <c r="G66" s="76" t="e">
        <f t="shared" si="29"/>
        <v>#N/A</v>
      </c>
      <c r="H66" s="155" t="e">
        <f t="shared" si="30"/>
        <v>#N/A</v>
      </c>
      <c r="I66" s="152">
        <f t="shared" si="31"/>
        <v>600</v>
      </c>
      <c r="J66" s="149" t="str">
        <f t="shared" si="32"/>
        <v>H</v>
      </c>
      <c r="K66" s="148">
        <v>40</v>
      </c>
      <c r="L66" s="75" t="str">
        <f t="shared" si="63"/>
        <v/>
      </c>
      <c r="M66" s="75" t="str">
        <f t="shared" si="64"/>
        <v/>
      </c>
      <c r="N66" s="148"/>
      <c r="O66" s="75"/>
      <c r="P66" s="148"/>
      <c r="Q66" s="75" t="str">
        <f t="shared" si="65"/>
        <v/>
      </c>
      <c r="R66" s="153"/>
      <c r="S66" s="76">
        <f t="shared" si="66"/>
        <v>4188.7902047863909</v>
      </c>
      <c r="T66" s="75" t="str">
        <f t="shared" si="67"/>
        <v/>
      </c>
      <c r="U66" s="76">
        <f t="shared" si="68"/>
        <v>0</v>
      </c>
      <c r="V66" s="75"/>
      <c r="W66" s="76"/>
      <c r="X66" s="75" t="s">
        <v>22</v>
      </c>
      <c r="Y66" s="154">
        <f t="shared" si="69"/>
        <v>4188.7902047863909</v>
      </c>
      <c r="Z66" s="76">
        <f t="shared" si="70"/>
        <v>497</v>
      </c>
      <c r="AA66" s="151">
        <f t="shared" si="71"/>
        <v>0</v>
      </c>
      <c r="AB66" s="151">
        <f t="shared" si="72"/>
        <v>0</v>
      </c>
      <c r="AC66" s="76">
        <f t="shared" si="73"/>
        <v>497</v>
      </c>
      <c r="AD66" s="177" t="e">
        <f t="shared" si="74"/>
        <v>#N/A</v>
      </c>
      <c r="AE66" s="136">
        <f t="shared" si="75"/>
        <v>0.84281493054052126</v>
      </c>
      <c r="AF66" s="178" t="s">
        <v>43</v>
      </c>
      <c r="AG66" s="84">
        <f t="shared" si="76"/>
        <v>0.58815270244667417</v>
      </c>
      <c r="AH66" s="178" t="e">
        <f t="shared" si="77"/>
        <v>#N/A</v>
      </c>
      <c r="AI66" s="76">
        <f t="shared" si="78"/>
        <v>497000</v>
      </c>
      <c r="AJ66" s="156" t="e">
        <f t="shared" si="79"/>
        <v>#N/A</v>
      </c>
      <c r="AK66" s="75" t="e">
        <f t="shared" si="17"/>
        <v>#N/A</v>
      </c>
      <c r="AL66" s="150" t="e">
        <f t="shared" si="80"/>
        <v>#N/A</v>
      </c>
      <c r="AM66" s="149" t="e">
        <f t="shared" si="33"/>
        <v>#N/A</v>
      </c>
      <c r="AN66" s="76" t="e">
        <f t="shared" si="81"/>
        <v>#N/A</v>
      </c>
      <c r="AO66" s="147" t="e">
        <f t="shared" si="82"/>
        <v>#N/A</v>
      </c>
      <c r="AP66" s="76" t="e">
        <f t="shared" si="83"/>
        <v>#N/A</v>
      </c>
      <c r="AQ66" s="154" t="e">
        <f t="shared" si="84"/>
        <v>#N/A</v>
      </c>
      <c r="AR66" s="150" t="e">
        <f t="shared" si="85"/>
        <v>#N/A</v>
      </c>
      <c r="AS66" s="180" t="e">
        <f t="shared" si="86"/>
        <v>#N/A</v>
      </c>
      <c r="AT66" s="17">
        <v>138</v>
      </c>
      <c r="AU66" s="71">
        <f>VLOOKUP(AT66,'Summary-input'!A:D,4,0)</f>
        <v>600</v>
      </c>
      <c r="AV66" s="54">
        <f t="shared" si="87"/>
        <v>497</v>
      </c>
      <c r="AW66" s="55"/>
      <c r="AX66" s="55"/>
      <c r="AY66" s="101"/>
      <c r="AZ66" s="102"/>
      <c r="BA66" s="103">
        <v>1</v>
      </c>
      <c r="BB66" s="62"/>
      <c r="BC66" s="64">
        <v>77</v>
      </c>
      <c r="BD66" s="16" t="s">
        <v>59</v>
      </c>
      <c r="BE66" s="64"/>
      <c r="BF66" s="64">
        <v>103</v>
      </c>
      <c r="BG66" s="64"/>
      <c r="BH66" s="102"/>
      <c r="BI66" s="182"/>
      <c r="BJ66" s="182" t="e">
        <f>VLOOKUP(AT66,'Summary-output-ULS'!$B:$H,7,0)</f>
        <v>#N/A</v>
      </c>
      <c r="BK66" s="182" t="e">
        <f>-VLOOKUP(AT66,'Summary-output-ULS'!$B:$H,5,0)</f>
        <v>#N/A</v>
      </c>
      <c r="BL66" s="182" t="e">
        <f>VLOOKUP(AT66,'Summary-output-SLS'!$B:$H,5,0)</f>
        <v>#N/A</v>
      </c>
      <c r="BM66" s="182" t="e">
        <f>VLOOKUP(AT66,'Summary-output-SLS'!$B:$H,6,0)</f>
        <v>#N/A</v>
      </c>
      <c r="BN66" s="182" t="e">
        <f>VLOOKUP(AT66,'Summary-output-SLS'!$B:$H,6,0)</f>
        <v>#N/A</v>
      </c>
      <c r="BO66" s="64"/>
      <c r="BP66" s="182" t="e">
        <f>VLOOKUP(AT66,'Summary-output-ULS'!$B:$H,4,0)</f>
        <v>#N/A</v>
      </c>
      <c r="BR66" s="174" t="e">
        <f t="shared" si="88"/>
        <v>#N/A</v>
      </c>
      <c r="BS66" s="175"/>
      <c r="BT66" s="176"/>
      <c r="BV66" s="188"/>
      <c r="BW66" s="188"/>
      <c r="BX66" s="188"/>
      <c r="BY66" s="188"/>
    </row>
    <row r="67" spans="1:77" x14ac:dyDescent="0.25">
      <c r="A67" s="184">
        <f t="shared" si="27"/>
        <v>139</v>
      </c>
      <c r="B67" s="151" t="str">
        <f>VLOOKUP(A67,'Summary-input'!A:B,2,0)</f>
        <v>I.WALL</v>
      </c>
      <c r="C67" s="179">
        <v>103</v>
      </c>
      <c r="D67" s="75"/>
      <c r="E67" s="147"/>
      <c r="F67" s="152" t="e">
        <f t="shared" si="28"/>
        <v>#N/A</v>
      </c>
      <c r="G67" s="76" t="e">
        <f t="shared" si="29"/>
        <v>#N/A</v>
      </c>
      <c r="H67" s="155" t="e">
        <f t="shared" si="30"/>
        <v>#N/A</v>
      </c>
      <c r="I67" s="152">
        <f t="shared" si="31"/>
        <v>600</v>
      </c>
      <c r="J67" s="149" t="str">
        <f t="shared" si="32"/>
        <v>H</v>
      </c>
      <c r="K67" s="148">
        <v>40</v>
      </c>
      <c r="L67" s="75" t="str">
        <f t="shared" si="63"/>
        <v/>
      </c>
      <c r="M67" s="75" t="str">
        <f t="shared" si="64"/>
        <v/>
      </c>
      <c r="N67" s="148"/>
      <c r="O67" s="75" t="str">
        <f>IF(R67=0,"","+")</f>
        <v/>
      </c>
      <c r="P67" s="148"/>
      <c r="Q67" s="75" t="str">
        <f t="shared" si="65"/>
        <v/>
      </c>
      <c r="R67" s="153">
        <v>0</v>
      </c>
      <c r="S67" s="76">
        <f t="shared" si="66"/>
        <v>4188.7902047863909</v>
      </c>
      <c r="T67" s="75" t="str">
        <f t="shared" si="67"/>
        <v/>
      </c>
      <c r="U67" s="76">
        <f t="shared" si="68"/>
        <v>0</v>
      </c>
      <c r="V67" s="75" t="str">
        <f>IF(R67=0,"","+")</f>
        <v/>
      </c>
      <c r="W67" s="76">
        <f>IF(P67=0,PI()/4*R67^2*1000/$Z$18,PI()/4*R67^2*P67*1000/$Z$18)</f>
        <v>0</v>
      </c>
      <c r="X67" s="75" t="s">
        <v>22</v>
      </c>
      <c r="Y67" s="154">
        <f t="shared" si="69"/>
        <v>4188.7902047863909</v>
      </c>
      <c r="Z67" s="76">
        <f t="shared" si="70"/>
        <v>497</v>
      </c>
      <c r="AA67" s="151">
        <f t="shared" si="71"/>
        <v>0</v>
      </c>
      <c r="AB67" s="151">
        <f t="shared" si="72"/>
        <v>0</v>
      </c>
      <c r="AC67" s="76">
        <f t="shared" si="73"/>
        <v>497</v>
      </c>
      <c r="AD67" s="177" t="e">
        <f t="shared" si="74"/>
        <v>#N/A</v>
      </c>
      <c r="AE67" s="136">
        <f t="shared" si="75"/>
        <v>0.84281493054052126</v>
      </c>
      <c r="AF67" s="178" t="s">
        <v>43</v>
      </c>
      <c r="AG67" s="84">
        <f t="shared" si="76"/>
        <v>0.58815270244667417</v>
      </c>
      <c r="AH67" s="178" t="e">
        <f t="shared" si="77"/>
        <v>#N/A</v>
      </c>
      <c r="AI67" s="76">
        <f t="shared" si="78"/>
        <v>497000</v>
      </c>
      <c r="AJ67" s="156" t="e">
        <f t="shared" si="79"/>
        <v>#N/A</v>
      </c>
      <c r="AK67" s="75" t="e">
        <f t="shared" si="17"/>
        <v>#N/A</v>
      </c>
      <c r="AL67" s="150" t="e">
        <f t="shared" si="80"/>
        <v>#N/A</v>
      </c>
      <c r="AM67" s="149" t="e">
        <f t="shared" si="33"/>
        <v>#N/A</v>
      </c>
      <c r="AN67" s="76" t="e">
        <f t="shared" si="81"/>
        <v>#N/A</v>
      </c>
      <c r="AO67" s="75" t="e">
        <f t="shared" si="82"/>
        <v>#N/A</v>
      </c>
      <c r="AP67" s="76" t="e">
        <f t="shared" si="83"/>
        <v>#N/A</v>
      </c>
      <c r="AQ67" s="154" t="e">
        <f t="shared" si="84"/>
        <v>#N/A</v>
      </c>
      <c r="AR67" s="150" t="e">
        <f t="shared" si="85"/>
        <v>#N/A</v>
      </c>
      <c r="AS67" s="180" t="e">
        <f t="shared" si="86"/>
        <v>#N/A</v>
      </c>
      <c r="AT67" s="17">
        <v>139</v>
      </c>
      <c r="AU67" s="71">
        <f>VLOOKUP(AT67,'Summary-input'!A:D,4,0)</f>
        <v>600</v>
      </c>
      <c r="AV67" s="54">
        <f t="shared" si="87"/>
        <v>497</v>
      </c>
      <c r="AW67" s="55"/>
      <c r="AX67" s="55"/>
      <c r="AY67" s="101"/>
      <c r="AZ67" s="102"/>
      <c r="BA67" s="103">
        <v>1</v>
      </c>
      <c r="BB67" s="62"/>
      <c r="BC67" s="64">
        <v>80</v>
      </c>
      <c r="BD67" s="64" t="s">
        <v>59</v>
      </c>
      <c r="BE67" s="64"/>
      <c r="BF67" s="64">
        <v>105</v>
      </c>
      <c r="BG67" s="64"/>
      <c r="BH67" s="102"/>
      <c r="BI67" s="182"/>
      <c r="BJ67" s="182" t="e">
        <f>VLOOKUP(AT67,'Summary-output-ULS'!$B:$H,7,0)</f>
        <v>#N/A</v>
      </c>
      <c r="BK67" s="182" t="e">
        <f>-VLOOKUP(AT67,'Summary-output-ULS'!$B:$H,5,0)</f>
        <v>#N/A</v>
      </c>
      <c r="BL67" s="182" t="e">
        <f>VLOOKUP(AT67,'Summary-output-SLS'!$B:$H,5,0)</f>
        <v>#N/A</v>
      </c>
      <c r="BM67" s="182" t="e">
        <f>VLOOKUP(AT67,'Summary-output-SLS'!$B:$H,6,0)</f>
        <v>#N/A</v>
      </c>
      <c r="BN67" s="182" t="e">
        <f>VLOOKUP(AT67,'Summary-output-SLS'!$B:$H,6,0)</f>
        <v>#N/A</v>
      </c>
      <c r="BO67" s="64"/>
      <c r="BP67" s="182" t="e">
        <f>VLOOKUP(AT67,'Summary-output-ULS'!$B:$H,4,0)</f>
        <v>#N/A</v>
      </c>
      <c r="BR67" s="174" t="e">
        <f t="shared" si="88"/>
        <v>#N/A</v>
      </c>
      <c r="BS67" s="175"/>
      <c r="BT67" s="176"/>
      <c r="BV67" s="188"/>
      <c r="BW67" s="188"/>
      <c r="BX67" s="188"/>
      <c r="BY67" s="188"/>
    </row>
    <row r="68" spans="1:77" x14ac:dyDescent="0.25">
      <c r="A68" s="184">
        <f t="shared" si="27"/>
        <v>110</v>
      </c>
      <c r="B68" s="151" t="str">
        <f>VLOOKUP(A68,'Summary-input'!A:B,2,0)</f>
        <v>R.WALL</v>
      </c>
      <c r="C68" s="179">
        <v>103</v>
      </c>
      <c r="D68" s="75"/>
      <c r="E68" s="147"/>
      <c r="F68" s="152" t="e">
        <f t="shared" si="28"/>
        <v>#N/A</v>
      </c>
      <c r="G68" s="76" t="e">
        <f t="shared" si="29"/>
        <v>#N/A</v>
      </c>
      <c r="H68" s="155" t="e">
        <f t="shared" si="30"/>
        <v>#N/A</v>
      </c>
      <c r="I68" s="152">
        <f t="shared" si="31"/>
        <v>1000</v>
      </c>
      <c r="J68" s="149" t="str">
        <f t="shared" si="32"/>
        <v>H</v>
      </c>
      <c r="K68" s="148">
        <v>40</v>
      </c>
      <c r="L68" s="75" t="str">
        <f t="shared" si="63"/>
        <v/>
      </c>
      <c r="M68" s="75" t="str">
        <f t="shared" si="64"/>
        <v/>
      </c>
      <c r="N68" s="148"/>
      <c r="O68" s="75" t="str">
        <f>IF(R68=0,"","+")</f>
        <v/>
      </c>
      <c r="P68" s="148"/>
      <c r="Q68" s="75" t="str">
        <f t="shared" si="65"/>
        <v/>
      </c>
      <c r="R68" s="153">
        <v>0</v>
      </c>
      <c r="S68" s="76">
        <f t="shared" si="66"/>
        <v>4188.7902047863909</v>
      </c>
      <c r="T68" s="75" t="str">
        <f t="shared" si="67"/>
        <v/>
      </c>
      <c r="U68" s="76">
        <f t="shared" si="68"/>
        <v>0</v>
      </c>
      <c r="V68" s="75" t="str">
        <f>IF(R68=0,"","+")</f>
        <v/>
      </c>
      <c r="W68" s="76">
        <f>IF(P68=0,PI()/4*R68^2*1000/$Z$18,PI()/4*R68^2*P68*1000/$Z$18)</f>
        <v>0</v>
      </c>
      <c r="X68" s="75" t="s">
        <v>22</v>
      </c>
      <c r="Y68" s="154">
        <f t="shared" si="69"/>
        <v>4188.7902047863909</v>
      </c>
      <c r="Z68" s="76">
        <f t="shared" si="70"/>
        <v>897</v>
      </c>
      <c r="AA68" s="151">
        <f t="shared" si="71"/>
        <v>0</v>
      </c>
      <c r="AB68" s="151">
        <f t="shared" si="72"/>
        <v>0</v>
      </c>
      <c r="AC68" s="76">
        <f t="shared" si="73"/>
        <v>897</v>
      </c>
      <c r="AD68" s="177" t="e">
        <f t="shared" si="74"/>
        <v>#N/A</v>
      </c>
      <c r="AE68" s="136">
        <f t="shared" si="75"/>
        <v>0.46697772628610817</v>
      </c>
      <c r="AF68" s="178" t="s">
        <v>43</v>
      </c>
      <c r="AG68" s="84">
        <f t="shared" si="76"/>
        <v>0.43513878646531268</v>
      </c>
      <c r="AH68" s="178" t="e">
        <f t="shared" si="77"/>
        <v>#N/A</v>
      </c>
      <c r="AI68" s="76">
        <f t="shared" si="78"/>
        <v>897000</v>
      </c>
      <c r="AJ68" s="156" t="e">
        <f t="shared" si="79"/>
        <v>#N/A</v>
      </c>
      <c r="AK68" s="75" t="e">
        <f t="shared" si="17"/>
        <v>#N/A</v>
      </c>
      <c r="AL68" s="150" t="e">
        <f t="shared" si="80"/>
        <v>#N/A</v>
      </c>
      <c r="AM68" s="149" t="e">
        <f t="shared" si="33"/>
        <v>#N/A</v>
      </c>
      <c r="AN68" s="76" t="e">
        <f t="shared" si="81"/>
        <v>#N/A</v>
      </c>
      <c r="AO68" s="75" t="e">
        <f t="shared" si="82"/>
        <v>#N/A</v>
      </c>
      <c r="AP68" s="76" t="e">
        <f t="shared" si="83"/>
        <v>#N/A</v>
      </c>
      <c r="AQ68" s="154" t="e">
        <f t="shared" si="84"/>
        <v>#N/A</v>
      </c>
      <c r="AR68" s="150" t="e">
        <f t="shared" si="85"/>
        <v>#N/A</v>
      </c>
      <c r="AS68" s="180" t="e">
        <f t="shared" si="86"/>
        <v>#N/A</v>
      </c>
      <c r="AT68" s="17">
        <v>110</v>
      </c>
      <c r="AU68" s="71">
        <f>VLOOKUP(AT68,'Summary-input'!A:D,4,0)</f>
        <v>1000</v>
      </c>
      <c r="AV68" s="54">
        <f t="shared" si="87"/>
        <v>897</v>
      </c>
      <c r="AW68" s="55"/>
      <c r="AX68" s="55"/>
      <c r="AY68" s="101"/>
      <c r="AZ68" s="102"/>
      <c r="BA68" s="103">
        <v>1</v>
      </c>
      <c r="BB68" s="62"/>
      <c r="BC68" s="64">
        <v>80</v>
      </c>
      <c r="BD68" s="64" t="s">
        <v>59</v>
      </c>
      <c r="BE68" s="64"/>
      <c r="BF68" s="64">
        <v>105</v>
      </c>
      <c r="BG68" s="64"/>
      <c r="BH68" s="102"/>
      <c r="BI68" s="182"/>
      <c r="BJ68" s="182" t="e">
        <f>VLOOKUP(AT68,'Summary-output-ULS'!$B:$H,7,0)</f>
        <v>#N/A</v>
      </c>
      <c r="BK68" s="182" t="e">
        <f>-VLOOKUP(AT68,'Summary-output-ULS'!$B:$H,5,0)</f>
        <v>#N/A</v>
      </c>
      <c r="BL68" s="182" t="e">
        <f>VLOOKUP(AT68,'Summary-output-SLS'!$B:$H,5,0)</f>
        <v>#N/A</v>
      </c>
      <c r="BM68" s="182" t="e">
        <f>VLOOKUP(AT68,'Summary-output-SLS'!$B:$H,6,0)</f>
        <v>#N/A</v>
      </c>
      <c r="BN68" s="182" t="e">
        <f>VLOOKUP(AT68,'Summary-output-SLS'!$B:$H,6,0)</f>
        <v>#N/A</v>
      </c>
      <c r="BO68" s="64"/>
      <c r="BP68" s="182" t="e">
        <f>VLOOKUP(AT68,'Summary-output-ULS'!$B:$H,4,0)</f>
        <v>#N/A</v>
      </c>
      <c r="BR68" s="174" t="e">
        <f t="shared" si="88"/>
        <v>#N/A</v>
      </c>
      <c r="BS68" s="175"/>
      <c r="BT68" s="176"/>
      <c r="BV68" s="188"/>
      <c r="BW68" s="188"/>
      <c r="BX68" s="188"/>
      <c r="BY68" s="188"/>
    </row>
    <row r="69" spans="1:77" x14ac:dyDescent="0.25">
      <c r="A69" s="184">
        <f t="shared" si="27"/>
        <v>111</v>
      </c>
      <c r="B69" s="151" t="str">
        <f>VLOOKUP(A69,'Summary-input'!A:B,2,0)</f>
        <v>R.WALL</v>
      </c>
      <c r="C69" s="179">
        <v>103</v>
      </c>
      <c r="D69" s="75"/>
      <c r="E69" s="147"/>
      <c r="F69" s="152" t="e">
        <f t="shared" si="28"/>
        <v>#N/A</v>
      </c>
      <c r="G69" s="76" t="e">
        <f t="shared" si="29"/>
        <v>#N/A</v>
      </c>
      <c r="H69" s="155" t="e">
        <f t="shared" si="30"/>
        <v>#N/A</v>
      </c>
      <c r="I69" s="152">
        <f t="shared" si="31"/>
        <v>1000</v>
      </c>
      <c r="J69" s="149" t="str">
        <f t="shared" si="32"/>
        <v>H</v>
      </c>
      <c r="K69" s="148">
        <v>40</v>
      </c>
      <c r="L69" s="75" t="str">
        <f t="shared" si="63"/>
        <v/>
      </c>
      <c r="M69" s="75" t="str">
        <f t="shared" si="64"/>
        <v/>
      </c>
      <c r="N69" s="148"/>
      <c r="O69" s="75" t="str">
        <f>IF(R69=0,"","+")</f>
        <v/>
      </c>
      <c r="P69" s="148"/>
      <c r="Q69" s="75" t="str">
        <f t="shared" si="65"/>
        <v/>
      </c>
      <c r="R69" s="153">
        <v>0</v>
      </c>
      <c r="S69" s="76">
        <f t="shared" si="66"/>
        <v>4188.7902047863909</v>
      </c>
      <c r="T69" s="75" t="str">
        <f t="shared" si="67"/>
        <v/>
      </c>
      <c r="U69" s="76">
        <f t="shared" si="68"/>
        <v>0</v>
      </c>
      <c r="V69" s="75" t="str">
        <f>IF(R69=0,"","+")</f>
        <v/>
      </c>
      <c r="W69" s="76">
        <f>IF(P69=0,PI()/4*R69^2*1000/$Z$18,PI()/4*R69^2*P69*1000/$Z$18)</f>
        <v>0</v>
      </c>
      <c r="X69" s="75" t="s">
        <v>22</v>
      </c>
      <c r="Y69" s="154">
        <f t="shared" si="69"/>
        <v>4188.7902047863909</v>
      </c>
      <c r="Z69" s="76">
        <f t="shared" si="70"/>
        <v>897</v>
      </c>
      <c r="AA69" s="151">
        <f t="shared" si="71"/>
        <v>0</v>
      </c>
      <c r="AB69" s="151">
        <f t="shared" si="72"/>
        <v>0</v>
      </c>
      <c r="AC69" s="76">
        <f t="shared" si="73"/>
        <v>897</v>
      </c>
      <c r="AD69" s="177" t="e">
        <f t="shared" si="74"/>
        <v>#N/A</v>
      </c>
      <c r="AE69" s="136">
        <f t="shared" si="75"/>
        <v>0.46697772628610817</v>
      </c>
      <c r="AF69" s="178" t="s">
        <v>43</v>
      </c>
      <c r="AG69" s="84">
        <f t="shared" si="76"/>
        <v>0.43513878646531268</v>
      </c>
      <c r="AH69" s="178" t="e">
        <f t="shared" si="77"/>
        <v>#N/A</v>
      </c>
      <c r="AI69" s="76">
        <f t="shared" si="78"/>
        <v>897000</v>
      </c>
      <c r="AJ69" s="156" t="e">
        <f t="shared" si="79"/>
        <v>#N/A</v>
      </c>
      <c r="AK69" s="75" t="e">
        <f t="shared" si="17"/>
        <v>#N/A</v>
      </c>
      <c r="AL69" s="150" t="e">
        <f t="shared" si="80"/>
        <v>#N/A</v>
      </c>
      <c r="AM69" s="149" t="e">
        <f t="shared" si="33"/>
        <v>#N/A</v>
      </c>
      <c r="AN69" s="76" t="e">
        <f t="shared" si="81"/>
        <v>#N/A</v>
      </c>
      <c r="AO69" s="75" t="e">
        <f t="shared" si="82"/>
        <v>#N/A</v>
      </c>
      <c r="AP69" s="76" t="e">
        <f t="shared" si="83"/>
        <v>#N/A</v>
      </c>
      <c r="AQ69" s="154" t="e">
        <f t="shared" si="84"/>
        <v>#N/A</v>
      </c>
      <c r="AR69" s="150" t="e">
        <f t="shared" si="85"/>
        <v>#N/A</v>
      </c>
      <c r="AS69" s="180" t="e">
        <f t="shared" si="86"/>
        <v>#N/A</v>
      </c>
      <c r="AT69" s="17">
        <v>111</v>
      </c>
      <c r="AU69" s="71">
        <f>VLOOKUP(AT69,'Summary-input'!A:D,4,0)</f>
        <v>1000</v>
      </c>
      <c r="AV69" s="54">
        <f t="shared" si="87"/>
        <v>897</v>
      </c>
      <c r="AW69" s="55"/>
      <c r="AX69" s="55"/>
      <c r="AY69" s="101"/>
      <c r="AZ69" s="102"/>
      <c r="BA69" s="103">
        <v>1</v>
      </c>
      <c r="BB69" s="62"/>
      <c r="BC69" s="64">
        <v>80</v>
      </c>
      <c r="BD69" s="64" t="s">
        <v>59</v>
      </c>
      <c r="BE69" s="64"/>
      <c r="BF69" s="64">
        <v>101</v>
      </c>
      <c r="BG69" s="64"/>
      <c r="BH69" s="102"/>
      <c r="BI69" s="182"/>
      <c r="BJ69" s="182" t="e">
        <f>VLOOKUP(AT69,'Summary-output-ULS'!$B:$H,7,0)</f>
        <v>#N/A</v>
      </c>
      <c r="BK69" s="182" t="e">
        <f>-VLOOKUP(AT69,'Summary-output-ULS'!$B:$H,5,0)</f>
        <v>#N/A</v>
      </c>
      <c r="BL69" s="182" t="e">
        <f>VLOOKUP(AT69,'Summary-output-SLS'!$B:$H,5,0)</f>
        <v>#N/A</v>
      </c>
      <c r="BM69" s="182" t="e">
        <f>VLOOKUP(AT69,'Summary-output-SLS'!$B:$H,6,0)</f>
        <v>#N/A</v>
      </c>
      <c r="BN69" s="182" t="e">
        <f>VLOOKUP(AT69,'Summary-output-SLS'!$B:$H,6,0)</f>
        <v>#N/A</v>
      </c>
      <c r="BO69" s="64"/>
      <c r="BP69" s="182" t="e">
        <f>VLOOKUP(AT69,'Summary-output-ULS'!$B:$H,4,0)</f>
        <v>#N/A</v>
      </c>
      <c r="BR69" s="174" t="e">
        <f t="shared" si="88"/>
        <v>#N/A</v>
      </c>
      <c r="BS69" s="175"/>
      <c r="BT69" s="176"/>
      <c r="BV69" s="188"/>
      <c r="BW69" s="188"/>
      <c r="BX69" s="188"/>
      <c r="BY69" s="188"/>
    </row>
    <row r="70" spans="1:77" x14ac:dyDescent="0.25">
      <c r="A70" s="184">
        <f t="shared" si="27"/>
        <v>112</v>
      </c>
      <c r="B70" s="151" t="str">
        <f>VLOOKUP(A70,'Summary-input'!A:B,2,0)</f>
        <v>R.WALL</v>
      </c>
      <c r="C70" s="179">
        <v>103</v>
      </c>
      <c r="D70" s="75"/>
      <c r="E70" s="147"/>
      <c r="F70" s="152" t="e">
        <f t="shared" si="28"/>
        <v>#N/A</v>
      </c>
      <c r="G70" s="76" t="e">
        <f t="shared" si="29"/>
        <v>#N/A</v>
      </c>
      <c r="H70" s="155" t="e">
        <f t="shared" si="30"/>
        <v>#N/A</v>
      </c>
      <c r="I70" s="152">
        <f t="shared" si="31"/>
        <v>1000</v>
      </c>
      <c r="J70" s="149" t="str">
        <f t="shared" si="32"/>
        <v>H</v>
      </c>
      <c r="K70" s="148">
        <v>40</v>
      </c>
      <c r="L70" s="75" t="str">
        <f t="shared" si="63"/>
        <v/>
      </c>
      <c r="M70" s="75" t="str">
        <f t="shared" si="64"/>
        <v/>
      </c>
      <c r="N70" s="148"/>
      <c r="O70" s="75" t="str">
        <f>IF(R70=0,"","+")</f>
        <v/>
      </c>
      <c r="P70" s="148"/>
      <c r="Q70" s="75" t="str">
        <f t="shared" si="65"/>
        <v/>
      </c>
      <c r="R70" s="153">
        <v>0</v>
      </c>
      <c r="S70" s="76">
        <f t="shared" si="66"/>
        <v>4188.7902047863909</v>
      </c>
      <c r="T70" s="75" t="str">
        <f t="shared" si="67"/>
        <v/>
      </c>
      <c r="U70" s="76">
        <f t="shared" si="68"/>
        <v>0</v>
      </c>
      <c r="V70" s="75" t="str">
        <f>IF(R70=0,"","+")</f>
        <v/>
      </c>
      <c r="W70" s="76">
        <f>IF(P70=0,PI()/4*R70^2*1000/$Z$18,PI()/4*R70^2*P70*1000/$Z$18)</f>
        <v>0</v>
      </c>
      <c r="X70" s="75" t="s">
        <v>22</v>
      </c>
      <c r="Y70" s="154">
        <f t="shared" si="69"/>
        <v>4188.7902047863909</v>
      </c>
      <c r="Z70" s="76">
        <f t="shared" si="70"/>
        <v>897</v>
      </c>
      <c r="AA70" s="151">
        <f t="shared" si="71"/>
        <v>0</v>
      </c>
      <c r="AB70" s="151">
        <f t="shared" si="72"/>
        <v>0</v>
      </c>
      <c r="AC70" s="76">
        <f t="shared" si="73"/>
        <v>897</v>
      </c>
      <c r="AD70" s="177" t="e">
        <f t="shared" si="74"/>
        <v>#N/A</v>
      </c>
      <c r="AE70" s="136">
        <f t="shared" si="75"/>
        <v>0.46697772628610817</v>
      </c>
      <c r="AF70" s="178" t="s">
        <v>43</v>
      </c>
      <c r="AG70" s="84">
        <f t="shared" si="76"/>
        <v>0.43513878646531268</v>
      </c>
      <c r="AH70" s="178" t="e">
        <f t="shared" si="77"/>
        <v>#N/A</v>
      </c>
      <c r="AI70" s="76">
        <f t="shared" si="78"/>
        <v>897000</v>
      </c>
      <c r="AJ70" s="156" t="e">
        <f t="shared" si="79"/>
        <v>#N/A</v>
      </c>
      <c r="AK70" s="75" t="e">
        <f t="shared" si="17"/>
        <v>#N/A</v>
      </c>
      <c r="AL70" s="150" t="e">
        <f t="shared" si="80"/>
        <v>#N/A</v>
      </c>
      <c r="AM70" s="149" t="e">
        <f t="shared" si="33"/>
        <v>#N/A</v>
      </c>
      <c r="AN70" s="76" t="e">
        <f t="shared" si="81"/>
        <v>#N/A</v>
      </c>
      <c r="AO70" s="147" t="e">
        <f t="shared" si="82"/>
        <v>#N/A</v>
      </c>
      <c r="AP70" s="76" t="e">
        <f t="shared" si="83"/>
        <v>#N/A</v>
      </c>
      <c r="AQ70" s="154" t="e">
        <f t="shared" si="84"/>
        <v>#N/A</v>
      </c>
      <c r="AR70" s="150" t="e">
        <f t="shared" si="85"/>
        <v>#N/A</v>
      </c>
      <c r="AS70" s="180" t="e">
        <f t="shared" si="86"/>
        <v>#N/A</v>
      </c>
      <c r="AT70" s="17">
        <v>112</v>
      </c>
      <c r="AU70" s="71">
        <f>VLOOKUP(AT70,'Summary-input'!A:D,4,0)</f>
        <v>1000</v>
      </c>
      <c r="AV70" s="54">
        <f t="shared" si="87"/>
        <v>897</v>
      </c>
      <c r="AW70" s="55"/>
      <c r="AX70" s="55"/>
      <c r="AY70" s="101"/>
      <c r="AZ70" s="102"/>
      <c r="BA70" s="103">
        <v>1</v>
      </c>
      <c r="BB70" s="62"/>
      <c r="BC70" s="64">
        <v>79</v>
      </c>
      <c r="BD70" s="64" t="s">
        <v>59</v>
      </c>
      <c r="BE70" s="64"/>
      <c r="BF70" s="64">
        <v>114</v>
      </c>
      <c r="BG70" s="64"/>
      <c r="BH70" s="102"/>
      <c r="BI70" s="182"/>
      <c r="BJ70" s="182" t="e">
        <f>VLOOKUP(AT70,'Summary-output-ULS'!$B:$H,7,0)</f>
        <v>#N/A</v>
      </c>
      <c r="BK70" s="182" t="e">
        <f>-VLOOKUP(AT70,'Summary-output-ULS'!$B:$H,5,0)</f>
        <v>#N/A</v>
      </c>
      <c r="BL70" s="182" t="e">
        <f>VLOOKUP(AT70,'Summary-output-SLS'!$B:$H,5,0)</f>
        <v>#N/A</v>
      </c>
      <c r="BM70" s="182" t="e">
        <f>VLOOKUP(AT70,'Summary-output-SLS'!$B:$H,6,0)</f>
        <v>#N/A</v>
      </c>
      <c r="BN70" s="182" t="e">
        <f>VLOOKUP(AT70,'Summary-output-SLS'!$B:$H,6,0)</f>
        <v>#N/A</v>
      </c>
      <c r="BO70" s="64"/>
      <c r="BP70" s="182" t="e">
        <f>VLOOKUP(AT70,'Summary-output-ULS'!$B:$H,4,0)</f>
        <v>#N/A</v>
      </c>
      <c r="BR70" s="174" t="e">
        <f t="shared" si="88"/>
        <v>#N/A</v>
      </c>
      <c r="BS70" s="175"/>
      <c r="BT70" s="176"/>
      <c r="BV70" s="188"/>
      <c r="BW70" s="188"/>
      <c r="BX70" s="188"/>
      <c r="BY70" s="188"/>
    </row>
    <row r="71" spans="1:77" x14ac:dyDescent="0.25">
      <c r="A71" s="184">
        <f t="shared" si="27"/>
        <v>113</v>
      </c>
      <c r="B71" s="151" t="str">
        <f>VLOOKUP(A71,'Summary-input'!A:B,2,0)</f>
        <v>R.WALL</v>
      </c>
      <c r="C71" s="179">
        <v>103</v>
      </c>
      <c r="D71" s="75"/>
      <c r="E71" s="147"/>
      <c r="F71" s="152" t="e">
        <f t="shared" si="28"/>
        <v>#N/A</v>
      </c>
      <c r="G71" s="76" t="e">
        <f t="shared" si="29"/>
        <v>#N/A</v>
      </c>
      <c r="H71" s="155" t="e">
        <f t="shared" si="30"/>
        <v>#N/A</v>
      </c>
      <c r="I71" s="152">
        <f t="shared" si="31"/>
        <v>1000</v>
      </c>
      <c r="J71" s="149" t="str">
        <f t="shared" si="32"/>
        <v>H</v>
      </c>
      <c r="K71" s="148">
        <v>40</v>
      </c>
      <c r="L71" s="75" t="str">
        <f t="shared" si="63"/>
        <v/>
      </c>
      <c r="M71" s="75" t="str">
        <f t="shared" si="64"/>
        <v/>
      </c>
      <c r="N71" s="148"/>
      <c r="O71" s="75" t="str">
        <f>IF(R71=0,"","+")</f>
        <v/>
      </c>
      <c r="P71" s="148"/>
      <c r="Q71" s="75" t="str">
        <f t="shared" si="65"/>
        <v/>
      </c>
      <c r="R71" s="153"/>
      <c r="S71" s="76">
        <f t="shared" si="66"/>
        <v>4188.7902047863909</v>
      </c>
      <c r="T71" s="75" t="str">
        <f t="shared" si="67"/>
        <v/>
      </c>
      <c r="U71" s="76">
        <f t="shared" si="68"/>
        <v>0</v>
      </c>
      <c r="V71" s="75" t="str">
        <f>IF(R71=0,"","+")</f>
        <v/>
      </c>
      <c r="W71" s="76">
        <f>IF(P71=0,PI()/4*R71^2*1000/$Z$18,PI()/4*R71^2*P71*1000/$Z$18)</f>
        <v>0</v>
      </c>
      <c r="X71" s="75" t="s">
        <v>22</v>
      </c>
      <c r="Y71" s="154">
        <f t="shared" si="69"/>
        <v>4188.7902047863909</v>
      </c>
      <c r="Z71" s="76">
        <f t="shared" si="70"/>
        <v>897</v>
      </c>
      <c r="AA71" s="151">
        <f t="shared" si="71"/>
        <v>0</v>
      </c>
      <c r="AB71" s="151">
        <f t="shared" si="72"/>
        <v>0</v>
      </c>
      <c r="AC71" s="76">
        <f t="shared" si="73"/>
        <v>897</v>
      </c>
      <c r="AD71" s="177" t="e">
        <f t="shared" si="74"/>
        <v>#N/A</v>
      </c>
      <c r="AE71" s="136">
        <f t="shared" si="75"/>
        <v>0.46697772628610817</v>
      </c>
      <c r="AF71" s="178" t="s">
        <v>43</v>
      </c>
      <c r="AG71" s="84">
        <f t="shared" si="76"/>
        <v>0.43513878646531268</v>
      </c>
      <c r="AH71" s="178" t="e">
        <f t="shared" si="77"/>
        <v>#N/A</v>
      </c>
      <c r="AI71" s="76">
        <f t="shared" si="78"/>
        <v>897000</v>
      </c>
      <c r="AJ71" s="156" t="e">
        <f t="shared" si="79"/>
        <v>#N/A</v>
      </c>
      <c r="AK71" s="75" t="e">
        <f t="shared" si="17"/>
        <v>#N/A</v>
      </c>
      <c r="AL71" s="150" t="e">
        <f t="shared" si="80"/>
        <v>#N/A</v>
      </c>
      <c r="AM71" s="149" t="e">
        <f t="shared" si="33"/>
        <v>#N/A</v>
      </c>
      <c r="AN71" s="76" t="e">
        <f t="shared" si="81"/>
        <v>#N/A</v>
      </c>
      <c r="AO71" s="147" t="e">
        <f t="shared" si="82"/>
        <v>#N/A</v>
      </c>
      <c r="AP71" s="76" t="e">
        <f t="shared" si="83"/>
        <v>#N/A</v>
      </c>
      <c r="AQ71" s="154" t="e">
        <f t="shared" si="84"/>
        <v>#N/A</v>
      </c>
      <c r="AR71" s="150" t="e">
        <f t="shared" si="85"/>
        <v>#N/A</v>
      </c>
      <c r="AS71" s="180" t="e">
        <f t="shared" si="86"/>
        <v>#N/A</v>
      </c>
      <c r="AT71" s="17">
        <v>113</v>
      </c>
      <c r="AU71" s="71">
        <f>VLOOKUP(AT71,'Summary-input'!A:D,4,0)</f>
        <v>1000</v>
      </c>
      <c r="AV71" s="54">
        <f t="shared" si="87"/>
        <v>897</v>
      </c>
      <c r="AW71" s="55"/>
      <c r="AX71" s="55"/>
      <c r="AY71" s="101"/>
      <c r="AZ71" s="102"/>
      <c r="BA71" s="103">
        <v>1</v>
      </c>
      <c r="BB71" s="62"/>
      <c r="BC71" s="64">
        <v>78</v>
      </c>
      <c r="BD71" s="64" t="s">
        <v>59</v>
      </c>
      <c r="BE71" s="64"/>
      <c r="BF71" s="64">
        <v>105</v>
      </c>
      <c r="BG71" s="64"/>
      <c r="BH71" s="102"/>
      <c r="BI71" s="182"/>
      <c r="BJ71" s="182" t="e">
        <f>VLOOKUP(AT71,'Summary-output-ULS'!$B:$H,7,0)</f>
        <v>#N/A</v>
      </c>
      <c r="BK71" s="182" t="e">
        <f>-VLOOKUP(AT71,'Summary-output-ULS'!$B:$H,5,0)</f>
        <v>#N/A</v>
      </c>
      <c r="BL71" s="182" t="e">
        <f>VLOOKUP(AT71,'Summary-output-SLS'!$B:$H,5,0)</f>
        <v>#N/A</v>
      </c>
      <c r="BM71" s="182" t="e">
        <f>VLOOKUP(AT71,'Summary-output-SLS'!$B:$H,6,0)</f>
        <v>#N/A</v>
      </c>
      <c r="BN71" s="182" t="e">
        <f>VLOOKUP(AT71,'Summary-output-SLS'!$B:$H,6,0)</f>
        <v>#N/A</v>
      </c>
      <c r="BO71" s="64"/>
      <c r="BP71" s="182" t="e">
        <f>VLOOKUP(AT71,'Summary-output-ULS'!$B:$H,4,0)</f>
        <v>#N/A</v>
      </c>
      <c r="BR71" s="174" t="e">
        <f t="shared" si="88"/>
        <v>#N/A</v>
      </c>
      <c r="BS71" s="175"/>
      <c r="BT71" s="176"/>
      <c r="BV71" s="188"/>
      <c r="BW71" s="188"/>
      <c r="BX71" s="188"/>
      <c r="BY71" s="188"/>
    </row>
    <row r="72" spans="1:77" x14ac:dyDescent="0.25">
      <c r="A72" s="184">
        <f t="shared" si="27"/>
        <v>114</v>
      </c>
      <c r="B72" s="151" t="str">
        <f>VLOOKUP(A72,'Summary-input'!A:B,2,0)</f>
        <v>R.WALL</v>
      </c>
      <c r="C72" s="179">
        <v>101</v>
      </c>
      <c r="D72" s="75"/>
      <c r="E72" s="147"/>
      <c r="F72" s="152" t="e">
        <f t="shared" si="28"/>
        <v>#N/A</v>
      </c>
      <c r="G72" s="76" t="e">
        <f t="shared" si="29"/>
        <v>#N/A</v>
      </c>
      <c r="H72" s="155" t="e">
        <f t="shared" si="30"/>
        <v>#N/A</v>
      </c>
      <c r="I72" s="152">
        <f t="shared" si="31"/>
        <v>1000</v>
      </c>
      <c r="J72" s="149" t="str">
        <f t="shared" si="32"/>
        <v>H</v>
      </c>
      <c r="K72" s="148">
        <v>40</v>
      </c>
      <c r="L72" s="75" t="str">
        <f t="shared" si="63"/>
        <v/>
      </c>
      <c r="M72" s="75" t="str">
        <f t="shared" si="64"/>
        <v/>
      </c>
      <c r="N72" s="148"/>
      <c r="O72" s="75"/>
      <c r="P72" s="148"/>
      <c r="Q72" s="75" t="str">
        <f t="shared" si="65"/>
        <v/>
      </c>
      <c r="R72" s="153"/>
      <c r="S72" s="76">
        <f t="shared" si="66"/>
        <v>4188.7902047863909</v>
      </c>
      <c r="T72" s="75" t="str">
        <f t="shared" si="67"/>
        <v/>
      </c>
      <c r="U72" s="76">
        <f t="shared" si="68"/>
        <v>0</v>
      </c>
      <c r="V72" s="75"/>
      <c r="W72" s="76"/>
      <c r="X72" s="75" t="s">
        <v>22</v>
      </c>
      <c r="Y72" s="154">
        <f t="shared" si="69"/>
        <v>4188.7902047863909</v>
      </c>
      <c r="Z72" s="76">
        <f t="shared" si="70"/>
        <v>897</v>
      </c>
      <c r="AA72" s="151">
        <f t="shared" si="71"/>
        <v>0</v>
      </c>
      <c r="AB72" s="151">
        <f t="shared" si="72"/>
        <v>0</v>
      </c>
      <c r="AC72" s="76">
        <f t="shared" si="73"/>
        <v>897</v>
      </c>
      <c r="AD72" s="177" t="e">
        <f t="shared" si="74"/>
        <v>#N/A</v>
      </c>
      <c r="AE72" s="136">
        <f t="shared" si="75"/>
        <v>0.46697772628610817</v>
      </c>
      <c r="AF72" s="178" t="s">
        <v>43</v>
      </c>
      <c r="AG72" s="84">
        <f t="shared" si="76"/>
        <v>0.43513878646531268</v>
      </c>
      <c r="AH72" s="178" t="e">
        <f t="shared" si="77"/>
        <v>#N/A</v>
      </c>
      <c r="AI72" s="76">
        <f t="shared" si="78"/>
        <v>897000</v>
      </c>
      <c r="AJ72" s="156" t="e">
        <f t="shared" si="79"/>
        <v>#N/A</v>
      </c>
      <c r="AK72" s="75" t="e">
        <f t="shared" si="17"/>
        <v>#N/A</v>
      </c>
      <c r="AL72" s="150" t="e">
        <f t="shared" si="80"/>
        <v>#N/A</v>
      </c>
      <c r="AM72" s="149" t="e">
        <f t="shared" si="33"/>
        <v>#N/A</v>
      </c>
      <c r="AN72" s="76" t="e">
        <f t="shared" si="81"/>
        <v>#N/A</v>
      </c>
      <c r="AO72" s="147" t="e">
        <f t="shared" si="82"/>
        <v>#N/A</v>
      </c>
      <c r="AP72" s="76" t="e">
        <f t="shared" si="83"/>
        <v>#N/A</v>
      </c>
      <c r="AQ72" s="154" t="e">
        <f t="shared" si="84"/>
        <v>#N/A</v>
      </c>
      <c r="AR72" s="150" t="e">
        <f t="shared" si="85"/>
        <v>#N/A</v>
      </c>
      <c r="AS72" s="180" t="e">
        <f t="shared" si="86"/>
        <v>#N/A</v>
      </c>
      <c r="AT72" s="17">
        <v>114</v>
      </c>
      <c r="AU72" s="71">
        <f>VLOOKUP(AT72,'Summary-input'!A:D,4,0)</f>
        <v>1000</v>
      </c>
      <c r="AV72" s="54">
        <f t="shared" si="87"/>
        <v>897</v>
      </c>
      <c r="AW72" s="55"/>
      <c r="AX72" s="55"/>
      <c r="AY72" s="101"/>
      <c r="AZ72" s="102"/>
      <c r="BA72" s="103">
        <v>1</v>
      </c>
      <c r="BB72" s="62"/>
      <c r="BC72" s="64">
        <v>77</v>
      </c>
      <c r="BD72" s="16" t="s">
        <v>59</v>
      </c>
      <c r="BE72" s="64"/>
      <c r="BF72" s="64">
        <v>103</v>
      </c>
      <c r="BG72" s="64"/>
      <c r="BH72" s="102"/>
      <c r="BI72" s="182"/>
      <c r="BJ72" s="182" t="e">
        <f>VLOOKUP(AT72,'Summary-output-ULS'!$B:$H,7,0)</f>
        <v>#N/A</v>
      </c>
      <c r="BK72" s="182" t="e">
        <f>-VLOOKUP(AT72,'Summary-output-ULS'!$B:$H,5,0)</f>
        <v>#N/A</v>
      </c>
      <c r="BL72" s="182" t="e">
        <f>VLOOKUP(AT72,'Summary-output-SLS'!$B:$H,5,0)</f>
        <v>#N/A</v>
      </c>
      <c r="BM72" s="182" t="e">
        <f>VLOOKUP(AT72,'Summary-output-SLS'!$B:$H,6,0)</f>
        <v>#N/A</v>
      </c>
      <c r="BN72" s="182" t="e">
        <f>VLOOKUP(AT72,'Summary-output-SLS'!$B:$H,6,0)</f>
        <v>#N/A</v>
      </c>
      <c r="BO72" s="64"/>
      <c r="BP72" s="182" t="e">
        <f>VLOOKUP(AT72,'Summary-output-ULS'!$B:$H,4,0)</f>
        <v>#N/A</v>
      </c>
      <c r="BR72" s="174" t="e">
        <f t="shared" si="88"/>
        <v>#N/A</v>
      </c>
      <c r="BS72" s="175"/>
      <c r="BT72" s="176"/>
      <c r="BV72" s="188"/>
      <c r="BW72" s="188"/>
      <c r="BX72" s="188"/>
      <c r="BY72" s="188"/>
    </row>
    <row r="73" spans="1:77" x14ac:dyDescent="0.25">
      <c r="A73" s="184">
        <f t="shared" si="27"/>
        <v>115</v>
      </c>
      <c r="B73" s="151" t="str">
        <f>VLOOKUP(A73,'Summary-input'!A:B,2,0)</f>
        <v>R.WALL</v>
      </c>
      <c r="C73" s="179">
        <v>103</v>
      </c>
      <c r="D73" s="75"/>
      <c r="E73" s="147"/>
      <c r="F73" s="152" t="e">
        <f t="shared" si="28"/>
        <v>#N/A</v>
      </c>
      <c r="G73" s="76" t="e">
        <f t="shared" si="29"/>
        <v>#N/A</v>
      </c>
      <c r="H73" s="155" t="e">
        <f t="shared" si="30"/>
        <v>#N/A</v>
      </c>
      <c r="I73" s="152">
        <f t="shared" si="31"/>
        <v>1000</v>
      </c>
      <c r="J73" s="149" t="str">
        <f t="shared" si="32"/>
        <v>H</v>
      </c>
      <c r="K73" s="148">
        <v>40</v>
      </c>
      <c r="L73" s="75" t="str">
        <f t="shared" si="63"/>
        <v/>
      </c>
      <c r="M73" s="75" t="str">
        <f t="shared" si="64"/>
        <v/>
      </c>
      <c r="N73" s="148"/>
      <c r="O73" s="75" t="str">
        <f>IF(R73=0,"","+")</f>
        <v/>
      </c>
      <c r="P73" s="148"/>
      <c r="Q73" s="75" t="str">
        <f t="shared" si="65"/>
        <v/>
      </c>
      <c r="R73" s="153">
        <v>0</v>
      </c>
      <c r="S73" s="76">
        <f t="shared" si="66"/>
        <v>4188.7902047863909</v>
      </c>
      <c r="T73" s="75" t="str">
        <f t="shared" si="67"/>
        <v/>
      </c>
      <c r="U73" s="76">
        <f t="shared" si="68"/>
        <v>0</v>
      </c>
      <c r="V73" s="75" t="str">
        <f>IF(R73=0,"","+")</f>
        <v/>
      </c>
      <c r="W73" s="76">
        <f>IF(P73=0,PI()/4*R73^2*1000/$Z$18,PI()/4*R73^2*P73*1000/$Z$18)</f>
        <v>0</v>
      </c>
      <c r="X73" s="75" t="s">
        <v>22</v>
      </c>
      <c r="Y73" s="154">
        <f t="shared" si="69"/>
        <v>4188.7902047863909</v>
      </c>
      <c r="Z73" s="76">
        <f t="shared" si="70"/>
        <v>897</v>
      </c>
      <c r="AA73" s="151">
        <f t="shared" si="71"/>
        <v>0</v>
      </c>
      <c r="AB73" s="151">
        <f t="shared" si="72"/>
        <v>0</v>
      </c>
      <c r="AC73" s="76">
        <f t="shared" si="73"/>
        <v>897</v>
      </c>
      <c r="AD73" s="177" t="e">
        <f t="shared" si="74"/>
        <v>#N/A</v>
      </c>
      <c r="AE73" s="136">
        <f t="shared" si="75"/>
        <v>0.46697772628610817</v>
      </c>
      <c r="AF73" s="178" t="s">
        <v>43</v>
      </c>
      <c r="AG73" s="84">
        <f t="shared" si="76"/>
        <v>0.43513878646531268</v>
      </c>
      <c r="AH73" s="178" t="e">
        <f t="shared" si="77"/>
        <v>#N/A</v>
      </c>
      <c r="AI73" s="76">
        <f t="shared" si="78"/>
        <v>897000</v>
      </c>
      <c r="AJ73" s="156" t="e">
        <f t="shared" si="79"/>
        <v>#N/A</v>
      </c>
      <c r="AK73" s="75" t="e">
        <f t="shared" si="17"/>
        <v>#N/A</v>
      </c>
      <c r="AL73" s="150" t="e">
        <f t="shared" si="80"/>
        <v>#N/A</v>
      </c>
      <c r="AM73" s="149" t="e">
        <f t="shared" si="33"/>
        <v>#N/A</v>
      </c>
      <c r="AN73" s="76" t="e">
        <f t="shared" si="81"/>
        <v>#N/A</v>
      </c>
      <c r="AO73" s="75" t="e">
        <f t="shared" si="82"/>
        <v>#N/A</v>
      </c>
      <c r="AP73" s="76" t="e">
        <f t="shared" si="83"/>
        <v>#N/A</v>
      </c>
      <c r="AQ73" s="154" t="e">
        <f t="shared" si="84"/>
        <v>#N/A</v>
      </c>
      <c r="AR73" s="150" t="e">
        <f t="shared" si="85"/>
        <v>#N/A</v>
      </c>
      <c r="AS73" s="180" t="e">
        <f t="shared" si="86"/>
        <v>#N/A</v>
      </c>
      <c r="AT73" s="17">
        <v>115</v>
      </c>
      <c r="AU73" s="71">
        <f>VLOOKUP(AT73,'Summary-input'!A:D,4,0)</f>
        <v>1000</v>
      </c>
      <c r="AV73" s="54">
        <f t="shared" si="87"/>
        <v>897</v>
      </c>
      <c r="AW73" s="55"/>
      <c r="AX73" s="55"/>
      <c r="AY73" s="101"/>
      <c r="AZ73" s="102"/>
      <c r="BA73" s="103">
        <v>1</v>
      </c>
      <c r="BB73" s="62"/>
      <c r="BC73" s="64">
        <v>80</v>
      </c>
      <c r="BD73" s="64" t="s">
        <v>59</v>
      </c>
      <c r="BE73" s="64"/>
      <c r="BF73" s="64">
        <v>105</v>
      </c>
      <c r="BG73" s="64"/>
      <c r="BH73" s="102"/>
      <c r="BI73" s="182"/>
      <c r="BJ73" s="182" t="e">
        <f>VLOOKUP(AT73,'Summary-output-ULS'!$B:$H,7,0)</f>
        <v>#N/A</v>
      </c>
      <c r="BK73" s="182" t="e">
        <f>-VLOOKUP(AT73,'Summary-output-ULS'!$B:$H,5,0)</f>
        <v>#N/A</v>
      </c>
      <c r="BL73" s="182" t="e">
        <f>VLOOKUP(AT73,'Summary-output-SLS'!$B:$H,5,0)</f>
        <v>#N/A</v>
      </c>
      <c r="BM73" s="182" t="e">
        <f>VLOOKUP(AT73,'Summary-output-SLS'!$B:$H,6,0)</f>
        <v>#N/A</v>
      </c>
      <c r="BN73" s="182" t="e">
        <f>VLOOKUP(AT73,'Summary-output-SLS'!$B:$H,6,0)</f>
        <v>#N/A</v>
      </c>
      <c r="BO73" s="64"/>
      <c r="BP73" s="182" t="e">
        <f>VLOOKUP(AT73,'Summary-output-ULS'!$B:$H,4,0)</f>
        <v>#N/A</v>
      </c>
      <c r="BR73" s="174" t="e">
        <f t="shared" si="88"/>
        <v>#N/A</v>
      </c>
      <c r="BS73" s="175"/>
      <c r="BT73" s="176"/>
      <c r="BV73" s="188"/>
      <c r="BW73" s="188"/>
      <c r="BX73" s="188"/>
      <c r="BY73" s="188"/>
    </row>
    <row r="74" spans="1:77" x14ac:dyDescent="0.25">
      <c r="A74" s="184">
        <f t="shared" ref="A74:A90" si="89">AT74</f>
        <v>116</v>
      </c>
      <c r="B74" s="151" t="str">
        <f>VLOOKUP(A74,'Summary-input'!A:B,2,0)</f>
        <v>R.WALL</v>
      </c>
      <c r="C74" s="179">
        <v>103</v>
      </c>
      <c r="D74" s="75"/>
      <c r="E74" s="147"/>
      <c r="F74" s="152" t="e">
        <f t="shared" si="28"/>
        <v>#N/A</v>
      </c>
      <c r="G74" s="76" t="e">
        <f t="shared" si="29"/>
        <v>#N/A</v>
      </c>
      <c r="H74" s="155" t="e">
        <f t="shared" si="30"/>
        <v>#N/A</v>
      </c>
      <c r="I74" s="152">
        <f t="shared" si="31"/>
        <v>1000</v>
      </c>
      <c r="J74" s="149" t="str">
        <f t="shared" si="32"/>
        <v>H</v>
      </c>
      <c r="K74" s="148">
        <v>40</v>
      </c>
      <c r="L74" s="75" t="str">
        <f t="shared" ref="L74:L90" si="90">IF(N74=0,"","+")</f>
        <v/>
      </c>
      <c r="M74" s="75" t="str">
        <f t="shared" ref="M74:M90" si="91">IF(N74=0,"","T")</f>
        <v/>
      </c>
      <c r="N74" s="148"/>
      <c r="O74" s="75" t="str">
        <f t="shared" ref="O74:O90" si="92">IF(R74=0,"","+")</f>
        <v/>
      </c>
      <c r="P74" s="148"/>
      <c r="Q74" s="75" t="str">
        <f t="shared" ref="Q74:Q90" si="93">IF(R74=0,"","T")</f>
        <v/>
      </c>
      <c r="R74" s="153">
        <v>0</v>
      </c>
      <c r="S74" s="76">
        <f t="shared" ref="S74:S90" si="94">PI()/4*K74^2*1000/$Z$16</f>
        <v>4188.7902047863909</v>
      </c>
      <c r="T74" s="75" t="str">
        <f t="shared" ref="T74:T90" si="95">IF(N74=0,"","+")</f>
        <v/>
      </c>
      <c r="U74" s="76">
        <f t="shared" ref="U74:U90" si="96">PI()/4*N74^2*1000/$Z$17</f>
        <v>0</v>
      </c>
      <c r="V74" s="75" t="str">
        <f t="shared" ref="V74:V90" si="97">IF(R74=0,"","+")</f>
        <v/>
      </c>
      <c r="W74" s="76">
        <f t="shared" ref="W74:W90" si="98">IF(P74=0,PI()/4*R74^2*1000/$Z$18,PI()/4*R74^2*P74*1000/$Z$18)</f>
        <v>0</v>
      </c>
      <c r="X74" s="75" t="s">
        <v>22</v>
      </c>
      <c r="Y74" s="154">
        <f t="shared" ref="Y74:Y90" si="99">VALUE(S74)+VALUE(U74)+VALUE(W74)</f>
        <v>4188.7902047863909</v>
      </c>
      <c r="Z74" s="76">
        <f t="shared" ref="Z74:Z90" si="100">(I74-($G$16+$Z$14+K74/2))</f>
        <v>897</v>
      </c>
      <c r="AA74" s="151">
        <f t="shared" ref="AA74:AA90" si="101">IF(N74=0,0,(I74-($G$15+$Z$14+K74/2+$AD$16)))</f>
        <v>0</v>
      </c>
      <c r="AB74" s="151">
        <f t="shared" ref="AB74:AB90" si="102">IF(R74=0,0,(I74-($G$15+$Z$14+K74/2+$AD$16+$AD$17)))</f>
        <v>0</v>
      </c>
      <c r="AC74" s="76">
        <f t="shared" ref="AC74:AC90" si="103">(Z74*S74+AA74*U74+AB74*W74)/Y74</f>
        <v>897</v>
      </c>
      <c r="AD74" s="177" t="e">
        <f t="shared" ref="AD74:AD90" si="104">F74/AC74/$H$12*1000</f>
        <v>#N/A</v>
      </c>
      <c r="AE74" s="136">
        <f t="shared" ref="AE74:AE90" si="105">Y74/AC74/$H$12*100</f>
        <v>0.46697772628610817</v>
      </c>
      <c r="AF74" s="178" t="s">
        <v>43</v>
      </c>
      <c r="AG74" s="84">
        <f t="shared" ref="AG74:AG90" si="106">(0.18/1.5)*MIN(2,1+SQRT(200/AC74))*(100*MIN(0.02,Y74/$H$12/AC74)*$S$14)^(1/3)</f>
        <v>0.43513878646531268</v>
      </c>
      <c r="AH74" s="178" t="e">
        <f t="shared" ref="AH74:AH90" si="107">MAX(21.8,MIN(45,180/PI()*0.5*ASIN(F74*1000/(0.18*$H$12*AC74*(1-$S$14/250)*$S$14))))</f>
        <v>#N/A</v>
      </c>
      <c r="AI74" s="76">
        <f t="shared" ref="AI74:AI90" si="108">$H$12*AC74</f>
        <v>897000</v>
      </c>
      <c r="AJ74" s="156" t="e">
        <f t="shared" ref="AJ74:AJ90" si="109">MAX(0,AG74+0.15*MIN((0.2*$S$14/1.5*0.9),G74/AI74*1000),0.035*MIN(2,1+SQRT(200/AC74))^(3/2)*SQRT($S$14))</f>
        <v>#N/A</v>
      </c>
      <c r="AK74" s="75" t="e">
        <f t="shared" si="17"/>
        <v>#N/A</v>
      </c>
      <c r="AL74" s="150" t="e">
        <f t="shared" ref="AL74:AL90" si="110">IF($AD74&lt;$AJ74,"0",IF($AD74&lt;MIN($AJ$16,$AJ$17),MAX(0.08*SQRT($S$14)/$S$16*$H$12*1000,F74/0.9*1.15/AC74/$S$16*TAN(AH74/180*PI())*10^6),"NG"))</f>
        <v>#N/A</v>
      </c>
      <c r="AM74" s="149" t="e">
        <f t="shared" si="33"/>
        <v>#N/A</v>
      </c>
      <c r="AN74" s="76" t="e">
        <f t="shared" ref="AN74:AN90" si="111">IF(OR(AL74="0",AL74="Larger Section"),0,$Z$14)</f>
        <v>#N/A</v>
      </c>
      <c r="AO74" s="75" t="e">
        <f t="shared" ref="AO74:AO90" si="112">IF(AP74=0,0,"-")</f>
        <v>#N/A</v>
      </c>
      <c r="AP74" s="76" t="e">
        <f t="shared" ref="AP74:AP90" si="113">IF(OR(AL74="0",AL74="Larger Section"),0,IF((PI()*AN74^2/4)*(1000/$AG$14)/300*1000&lt;AL74,150,300))</f>
        <v>#N/A</v>
      </c>
      <c r="AQ74" s="154" t="e">
        <f t="shared" ref="AQ74:AQ90" si="114">IF(AP74=0,0,(PI()*AN74^2/4)*(1000/$AG$14)/AP74*1000)</f>
        <v>#N/A</v>
      </c>
      <c r="AR74" s="150" t="e">
        <f t="shared" ref="AR74:AR90" si="115">IF(AD74&gt;MIN($AJ$16,$AJ$17),"NOT OK",IF(AL74="0","OK",IF(AQ74&gt;=AL74,"OK","NOT OK")))</f>
        <v>#N/A</v>
      </c>
      <c r="AS74" s="180" t="e">
        <f t="shared" ref="AS74:AS90" si="116">IF(AD74&gt;MIN($AJ$16,$AJ$17),"Larger section needed",IF(AL74="0","No Stirrups Required",IF(AQ74&gt;=AL74,"Stirrups Sufficient","Stirrups Not Sufficient")))</f>
        <v>#N/A</v>
      </c>
      <c r="AT74" s="17">
        <v>116</v>
      </c>
      <c r="AU74" s="71">
        <f>VLOOKUP(AT74,'Summary-input'!A:D,4,0)</f>
        <v>1000</v>
      </c>
      <c r="AV74" s="54">
        <f t="shared" ref="AV74:AV90" si="117">IF(AT74=0," ",AC74)</f>
        <v>897</v>
      </c>
      <c r="AW74" s="55"/>
      <c r="AX74" s="55"/>
      <c r="AY74" s="101"/>
      <c r="AZ74" s="102"/>
      <c r="BA74" s="103">
        <v>1</v>
      </c>
      <c r="BB74" s="62"/>
      <c r="BC74" s="64">
        <v>80</v>
      </c>
      <c r="BD74" s="64" t="s">
        <v>59</v>
      </c>
      <c r="BE74" s="64"/>
      <c r="BF74" s="64">
        <v>105</v>
      </c>
      <c r="BG74" s="64"/>
      <c r="BH74" s="102"/>
      <c r="BI74" s="182"/>
      <c r="BJ74" s="182" t="e">
        <f>VLOOKUP(AT74,'Summary-output-ULS'!$B:$H,7,0)</f>
        <v>#N/A</v>
      </c>
      <c r="BK74" s="182" t="e">
        <f>-VLOOKUP(AT74,'Summary-output-ULS'!$B:$H,5,0)</f>
        <v>#N/A</v>
      </c>
      <c r="BL74" s="182" t="e">
        <f>VLOOKUP(AT74,'Summary-output-SLS'!$B:$H,5,0)</f>
        <v>#N/A</v>
      </c>
      <c r="BM74" s="182" t="e">
        <f>VLOOKUP(AT74,'Summary-output-SLS'!$B:$H,6,0)</f>
        <v>#N/A</v>
      </c>
      <c r="BN74" s="182" t="e">
        <f>VLOOKUP(AT74,'Summary-output-SLS'!$B:$H,6,0)</f>
        <v>#N/A</v>
      </c>
      <c r="BO74" s="64"/>
      <c r="BP74" s="182" t="e">
        <f>VLOOKUP(AT74,'Summary-output-ULS'!$B:$H,4,0)</f>
        <v>#N/A</v>
      </c>
      <c r="BR74" s="174" t="e">
        <f t="shared" ref="BR74:BR90" si="118">+AJ74*AI74/1000</f>
        <v>#N/A</v>
      </c>
      <c r="BS74" s="175"/>
      <c r="BT74" s="176"/>
      <c r="BV74" s="188"/>
      <c r="BW74" s="188"/>
      <c r="BX74" s="188"/>
      <c r="BY74" s="188"/>
    </row>
    <row r="75" spans="1:77" x14ac:dyDescent="0.25">
      <c r="A75" s="184">
        <f t="shared" si="89"/>
        <v>117</v>
      </c>
      <c r="B75" s="151" t="str">
        <f>VLOOKUP(A75,'Summary-input'!A:B,2,0)</f>
        <v>R.WALL</v>
      </c>
      <c r="C75" s="179">
        <v>103</v>
      </c>
      <c r="D75" s="75"/>
      <c r="E75" s="147"/>
      <c r="F75" s="152" t="e">
        <f t="shared" si="28"/>
        <v>#N/A</v>
      </c>
      <c r="G75" s="76" t="e">
        <f t="shared" si="29"/>
        <v>#N/A</v>
      </c>
      <c r="H75" s="155" t="e">
        <f t="shared" si="30"/>
        <v>#N/A</v>
      </c>
      <c r="I75" s="152">
        <f t="shared" si="31"/>
        <v>1000</v>
      </c>
      <c r="J75" s="149" t="str">
        <f t="shared" si="32"/>
        <v>H</v>
      </c>
      <c r="K75" s="148">
        <v>40</v>
      </c>
      <c r="L75" s="75" t="str">
        <f t="shared" si="90"/>
        <v/>
      </c>
      <c r="M75" s="75" t="str">
        <f t="shared" si="91"/>
        <v/>
      </c>
      <c r="N75" s="148"/>
      <c r="O75" s="75" t="str">
        <f t="shared" si="92"/>
        <v/>
      </c>
      <c r="P75" s="148"/>
      <c r="Q75" s="75" t="str">
        <f t="shared" si="93"/>
        <v/>
      </c>
      <c r="R75" s="153">
        <v>0</v>
      </c>
      <c r="S75" s="76">
        <f t="shared" si="94"/>
        <v>4188.7902047863909</v>
      </c>
      <c r="T75" s="75" t="str">
        <f t="shared" si="95"/>
        <v/>
      </c>
      <c r="U75" s="76">
        <f t="shared" si="96"/>
        <v>0</v>
      </c>
      <c r="V75" s="75" t="str">
        <f t="shared" si="97"/>
        <v/>
      </c>
      <c r="W75" s="76">
        <f t="shared" si="98"/>
        <v>0</v>
      </c>
      <c r="X75" s="75" t="s">
        <v>22</v>
      </c>
      <c r="Y75" s="154">
        <f t="shared" si="99"/>
        <v>4188.7902047863909</v>
      </c>
      <c r="Z75" s="76">
        <f t="shared" si="100"/>
        <v>897</v>
      </c>
      <c r="AA75" s="151">
        <f t="shared" si="101"/>
        <v>0</v>
      </c>
      <c r="AB75" s="151">
        <f t="shared" si="102"/>
        <v>0</v>
      </c>
      <c r="AC75" s="76">
        <f t="shared" si="103"/>
        <v>897</v>
      </c>
      <c r="AD75" s="177" t="e">
        <f t="shared" si="104"/>
        <v>#N/A</v>
      </c>
      <c r="AE75" s="136">
        <f t="shared" si="105"/>
        <v>0.46697772628610817</v>
      </c>
      <c r="AF75" s="178" t="s">
        <v>43</v>
      </c>
      <c r="AG75" s="84">
        <f t="shared" si="106"/>
        <v>0.43513878646531268</v>
      </c>
      <c r="AH75" s="178" t="e">
        <f t="shared" si="107"/>
        <v>#N/A</v>
      </c>
      <c r="AI75" s="76">
        <f t="shared" si="108"/>
        <v>897000</v>
      </c>
      <c r="AJ75" s="156" t="e">
        <f t="shared" si="109"/>
        <v>#N/A</v>
      </c>
      <c r="AK75" s="75" t="e">
        <f t="shared" si="17"/>
        <v>#N/A</v>
      </c>
      <c r="AL75" s="150" t="e">
        <f t="shared" si="110"/>
        <v>#N/A</v>
      </c>
      <c r="AM75" s="149" t="e">
        <f t="shared" si="33"/>
        <v>#N/A</v>
      </c>
      <c r="AN75" s="76" t="e">
        <f t="shared" si="111"/>
        <v>#N/A</v>
      </c>
      <c r="AO75" s="75" t="e">
        <f t="shared" si="112"/>
        <v>#N/A</v>
      </c>
      <c r="AP75" s="76" t="e">
        <f t="shared" si="113"/>
        <v>#N/A</v>
      </c>
      <c r="AQ75" s="154" t="e">
        <f t="shared" si="114"/>
        <v>#N/A</v>
      </c>
      <c r="AR75" s="150" t="e">
        <f t="shared" si="115"/>
        <v>#N/A</v>
      </c>
      <c r="AS75" s="180" t="e">
        <f t="shared" si="116"/>
        <v>#N/A</v>
      </c>
      <c r="AT75" s="17">
        <v>117</v>
      </c>
      <c r="AU75" s="71">
        <f>VLOOKUP(AT75,'Summary-input'!A:D,4,0)</f>
        <v>1000</v>
      </c>
      <c r="AV75" s="54">
        <f t="shared" si="117"/>
        <v>897</v>
      </c>
      <c r="AW75" s="55"/>
      <c r="AX75" s="55"/>
      <c r="AY75" s="101"/>
      <c r="AZ75" s="102"/>
      <c r="BA75" s="103">
        <v>1</v>
      </c>
      <c r="BB75" s="62"/>
      <c r="BC75" s="64">
        <v>80</v>
      </c>
      <c r="BD75" s="64" t="s">
        <v>59</v>
      </c>
      <c r="BE75" s="64"/>
      <c r="BF75" s="64">
        <v>105</v>
      </c>
      <c r="BG75" s="64"/>
      <c r="BH75" s="102"/>
      <c r="BI75" s="182"/>
      <c r="BJ75" s="182" t="e">
        <f>VLOOKUP(AT75,'Summary-output-ULS'!$B:$H,7,0)</f>
        <v>#N/A</v>
      </c>
      <c r="BK75" s="182" t="e">
        <f>-VLOOKUP(AT75,'Summary-output-ULS'!$B:$H,5,0)</f>
        <v>#N/A</v>
      </c>
      <c r="BL75" s="182" t="e">
        <f>VLOOKUP(AT75,'Summary-output-SLS'!$B:$H,5,0)</f>
        <v>#N/A</v>
      </c>
      <c r="BM75" s="182" t="e">
        <f>VLOOKUP(AT75,'Summary-output-SLS'!$B:$H,6,0)</f>
        <v>#N/A</v>
      </c>
      <c r="BN75" s="182" t="e">
        <f>VLOOKUP(AT75,'Summary-output-SLS'!$B:$H,6,0)</f>
        <v>#N/A</v>
      </c>
      <c r="BO75" s="64"/>
      <c r="BP75" s="182" t="e">
        <f>VLOOKUP(AT75,'Summary-output-ULS'!$B:$H,4,0)</f>
        <v>#N/A</v>
      </c>
      <c r="BR75" s="174" t="e">
        <f t="shared" si="118"/>
        <v>#N/A</v>
      </c>
      <c r="BS75" s="175"/>
      <c r="BT75" s="176"/>
      <c r="BV75" s="188"/>
      <c r="BW75" s="188"/>
      <c r="BX75" s="188"/>
      <c r="BY75" s="188"/>
    </row>
    <row r="76" spans="1:77" x14ac:dyDescent="0.25">
      <c r="A76" s="184">
        <f t="shared" si="89"/>
        <v>118</v>
      </c>
      <c r="B76" s="151" t="str">
        <f>VLOOKUP(A76,'Summary-input'!A:B,2,0)</f>
        <v>R.WALL</v>
      </c>
      <c r="C76" s="179">
        <v>103</v>
      </c>
      <c r="D76" s="75"/>
      <c r="E76" s="147"/>
      <c r="F76" s="152" t="e">
        <f t="shared" si="28"/>
        <v>#N/A</v>
      </c>
      <c r="G76" s="76" t="e">
        <f t="shared" si="29"/>
        <v>#N/A</v>
      </c>
      <c r="H76" s="155" t="e">
        <f t="shared" si="30"/>
        <v>#N/A</v>
      </c>
      <c r="I76" s="152">
        <f t="shared" si="31"/>
        <v>1000</v>
      </c>
      <c r="J76" s="149" t="str">
        <f t="shared" si="32"/>
        <v>H</v>
      </c>
      <c r="K76" s="148">
        <v>40</v>
      </c>
      <c r="L76" s="75" t="str">
        <f t="shared" si="90"/>
        <v/>
      </c>
      <c r="M76" s="75" t="str">
        <f t="shared" si="91"/>
        <v/>
      </c>
      <c r="N76" s="148"/>
      <c r="O76" s="75" t="str">
        <f t="shared" si="92"/>
        <v/>
      </c>
      <c r="P76" s="148"/>
      <c r="Q76" s="75" t="str">
        <f t="shared" si="93"/>
        <v/>
      </c>
      <c r="R76" s="153">
        <v>0</v>
      </c>
      <c r="S76" s="76">
        <f t="shared" si="94"/>
        <v>4188.7902047863909</v>
      </c>
      <c r="T76" s="75" t="str">
        <f t="shared" si="95"/>
        <v/>
      </c>
      <c r="U76" s="76">
        <f t="shared" si="96"/>
        <v>0</v>
      </c>
      <c r="V76" s="75" t="str">
        <f t="shared" si="97"/>
        <v/>
      </c>
      <c r="W76" s="76">
        <f t="shared" si="98"/>
        <v>0</v>
      </c>
      <c r="X76" s="75" t="s">
        <v>22</v>
      </c>
      <c r="Y76" s="154">
        <f t="shared" si="99"/>
        <v>4188.7902047863909</v>
      </c>
      <c r="Z76" s="76">
        <f t="shared" si="100"/>
        <v>897</v>
      </c>
      <c r="AA76" s="151">
        <f t="shared" si="101"/>
        <v>0</v>
      </c>
      <c r="AB76" s="151">
        <f t="shared" si="102"/>
        <v>0</v>
      </c>
      <c r="AC76" s="76">
        <f t="shared" si="103"/>
        <v>897</v>
      </c>
      <c r="AD76" s="177" t="e">
        <f t="shared" si="104"/>
        <v>#N/A</v>
      </c>
      <c r="AE76" s="136">
        <f t="shared" si="105"/>
        <v>0.46697772628610817</v>
      </c>
      <c r="AF76" s="178" t="s">
        <v>43</v>
      </c>
      <c r="AG76" s="84">
        <f t="shared" si="106"/>
        <v>0.43513878646531268</v>
      </c>
      <c r="AH76" s="178" t="e">
        <f t="shared" si="107"/>
        <v>#N/A</v>
      </c>
      <c r="AI76" s="76">
        <f t="shared" si="108"/>
        <v>897000</v>
      </c>
      <c r="AJ76" s="156" t="e">
        <f t="shared" si="109"/>
        <v>#N/A</v>
      </c>
      <c r="AK76" s="75" t="e">
        <f t="shared" si="17"/>
        <v>#N/A</v>
      </c>
      <c r="AL76" s="150" t="e">
        <f t="shared" si="110"/>
        <v>#N/A</v>
      </c>
      <c r="AM76" s="149" t="e">
        <f t="shared" si="33"/>
        <v>#N/A</v>
      </c>
      <c r="AN76" s="76" t="e">
        <f t="shared" si="111"/>
        <v>#N/A</v>
      </c>
      <c r="AO76" s="75" t="e">
        <f t="shared" si="112"/>
        <v>#N/A</v>
      </c>
      <c r="AP76" s="76" t="e">
        <f t="shared" si="113"/>
        <v>#N/A</v>
      </c>
      <c r="AQ76" s="154" t="e">
        <f t="shared" si="114"/>
        <v>#N/A</v>
      </c>
      <c r="AR76" s="150" t="e">
        <f t="shared" si="115"/>
        <v>#N/A</v>
      </c>
      <c r="AS76" s="180" t="e">
        <f t="shared" si="116"/>
        <v>#N/A</v>
      </c>
      <c r="AT76" s="17">
        <v>118</v>
      </c>
      <c r="AU76" s="71">
        <f>VLOOKUP(AT76,'Summary-input'!A:D,4,0)</f>
        <v>1000</v>
      </c>
      <c r="AV76" s="54">
        <f t="shared" si="117"/>
        <v>897</v>
      </c>
      <c r="AW76" s="55"/>
      <c r="AX76" s="55"/>
      <c r="AY76" s="101"/>
      <c r="AZ76" s="102"/>
      <c r="BA76" s="103">
        <v>1</v>
      </c>
      <c r="BB76" s="62"/>
      <c r="BC76" s="64">
        <v>80</v>
      </c>
      <c r="BD76" s="64" t="s">
        <v>59</v>
      </c>
      <c r="BE76" s="64"/>
      <c r="BF76" s="64">
        <v>105</v>
      </c>
      <c r="BG76" s="64"/>
      <c r="BH76" s="102"/>
      <c r="BI76" s="182"/>
      <c r="BJ76" s="182" t="e">
        <f>VLOOKUP(AT76,'Summary-output-ULS'!$B:$H,7,0)</f>
        <v>#N/A</v>
      </c>
      <c r="BK76" s="182" t="e">
        <f>-VLOOKUP(AT76,'Summary-output-ULS'!$B:$H,5,0)</f>
        <v>#N/A</v>
      </c>
      <c r="BL76" s="182" t="e">
        <f>VLOOKUP(AT76,'Summary-output-SLS'!$B:$H,5,0)</f>
        <v>#N/A</v>
      </c>
      <c r="BM76" s="182" t="e">
        <f>VLOOKUP(AT76,'Summary-output-SLS'!$B:$H,6,0)</f>
        <v>#N/A</v>
      </c>
      <c r="BN76" s="182" t="e">
        <f>VLOOKUP(AT76,'Summary-output-SLS'!$B:$H,6,0)</f>
        <v>#N/A</v>
      </c>
      <c r="BO76" s="64"/>
      <c r="BP76" s="182" t="e">
        <f>VLOOKUP(AT76,'Summary-output-ULS'!$B:$H,4,0)</f>
        <v>#N/A</v>
      </c>
      <c r="BR76" s="174" t="e">
        <f t="shared" si="118"/>
        <v>#N/A</v>
      </c>
      <c r="BS76" s="175"/>
      <c r="BT76" s="176"/>
      <c r="BV76" s="188"/>
      <c r="BW76" s="188"/>
      <c r="BX76" s="188"/>
      <c r="BY76" s="188"/>
    </row>
    <row r="77" spans="1:77" x14ac:dyDescent="0.25">
      <c r="A77" s="184">
        <f t="shared" si="89"/>
        <v>119</v>
      </c>
      <c r="B77" s="151" t="str">
        <f>VLOOKUP(A77,'Summary-input'!A:B,2,0)</f>
        <v>R.WALL</v>
      </c>
      <c r="C77" s="179">
        <v>103</v>
      </c>
      <c r="D77" s="75"/>
      <c r="E77" s="147"/>
      <c r="F77" s="152" t="e">
        <f t="shared" si="28"/>
        <v>#N/A</v>
      </c>
      <c r="G77" s="76" t="e">
        <f t="shared" si="29"/>
        <v>#N/A</v>
      </c>
      <c r="H77" s="155" t="e">
        <f t="shared" si="30"/>
        <v>#N/A</v>
      </c>
      <c r="I77" s="152">
        <f t="shared" si="31"/>
        <v>1000</v>
      </c>
      <c r="J77" s="149" t="str">
        <f t="shared" si="32"/>
        <v>H</v>
      </c>
      <c r="K77" s="148">
        <v>40</v>
      </c>
      <c r="L77" s="75" t="str">
        <f t="shared" si="90"/>
        <v/>
      </c>
      <c r="M77" s="75" t="str">
        <f t="shared" si="91"/>
        <v/>
      </c>
      <c r="N77" s="148"/>
      <c r="O77" s="75" t="str">
        <f t="shared" si="92"/>
        <v/>
      </c>
      <c r="P77" s="148"/>
      <c r="Q77" s="75" t="str">
        <f t="shared" si="93"/>
        <v/>
      </c>
      <c r="R77" s="153">
        <v>0</v>
      </c>
      <c r="S77" s="76">
        <f t="shared" si="94"/>
        <v>4188.7902047863909</v>
      </c>
      <c r="T77" s="75" t="str">
        <f t="shared" si="95"/>
        <v/>
      </c>
      <c r="U77" s="76">
        <f t="shared" si="96"/>
        <v>0</v>
      </c>
      <c r="V77" s="75" t="str">
        <f t="shared" si="97"/>
        <v/>
      </c>
      <c r="W77" s="76">
        <f t="shared" si="98"/>
        <v>0</v>
      </c>
      <c r="X77" s="75" t="s">
        <v>22</v>
      </c>
      <c r="Y77" s="154">
        <f t="shared" si="99"/>
        <v>4188.7902047863909</v>
      </c>
      <c r="Z77" s="76">
        <f t="shared" si="100"/>
        <v>897</v>
      </c>
      <c r="AA77" s="151">
        <f t="shared" si="101"/>
        <v>0</v>
      </c>
      <c r="AB77" s="151">
        <f t="shared" si="102"/>
        <v>0</v>
      </c>
      <c r="AC77" s="76">
        <f t="shared" si="103"/>
        <v>897</v>
      </c>
      <c r="AD77" s="177" t="e">
        <f t="shared" si="104"/>
        <v>#N/A</v>
      </c>
      <c r="AE77" s="136">
        <f t="shared" si="105"/>
        <v>0.46697772628610817</v>
      </c>
      <c r="AF77" s="178" t="s">
        <v>43</v>
      </c>
      <c r="AG77" s="84">
        <f t="shared" si="106"/>
        <v>0.43513878646531268</v>
      </c>
      <c r="AH77" s="178" t="e">
        <f t="shared" si="107"/>
        <v>#N/A</v>
      </c>
      <c r="AI77" s="76">
        <f t="shared" si="108"/>
        <v>897000</v>
      </c>
      <c r="AJ77" s="156" t="e">
        <f t="shared" si="109"/>
        <v>#N/A</v>
      </c>
      <c r="AK77" s="75" t="e">
        <f t="shared" si="17"/>
        <v>#N/A</v>
      </c>
      <c r="AL77" s="150" t="e">
        <f t="shared" si="110"/>
        <v>#N/A</v>
      </c>
      <c r="AM77" s="149" t="e">
        <f t="shared" si="33"/>
        <v>#N/A</v>
      </c>
      <c r="AN77" s="76" t="e">
        <f t="shared" si="111"/>
        <v>#N/A</v>
      </c>
      <c r="AO77" s="75" t="e">
        <f t="shared" si="112"/>
        <v>#N/A</v>
      </c>
      <c r="AP77" s="76" t="e">
        <f t="shared" si="113"/>
        <v>#N/A</v>
      </c>
      <c r="AQ77" s="154" t="e">
        <f t="shared" si="114"/>
        <v>#N/A</v>
      </c>
      <c r="AR77" s="150" t="e">
        <f t="shared" si="115"/>
        <v>#N/A</v>
      </c>
      <c r="AS77" s="180" t="e">
        <f t="shared" si="116"/>
        <v>#N/A</v>
      </c>
      <c r="AT77" s="17">
        <v>119</v>
      </c>
      <c r="AU77" s="71">
        <f>VLOOKUP(AT77,'Summary-input'!A:D,4,0)</f>
        <v>1000</v>
      </c>
      <c r="AV77" s="54">
        <f t="shared" si="117"/>
        <v>897</v>
      </c>
      <c r="AW77" s="55"/>
      <c r="AX77" s="55"/>
      <c r="AY77" s="101"/>
      <c r="AZ77" s="102"/>
      <c r="BA77" s="103">
        <v>1</v>
      </c>
      <c r="BB77" s="62"/>
      <c r="BC77" s="64">
        <v>80</v>
      </c>
      <c r="BD77" s="64" t="s">
        <v>59</v>
      </c>
      <c r="BE77" s="64"/>
      <c r="BF77" s="64">
        <v>105</v>
      </c>
      <c r="BG77" s="64"/>
      <c r="BH77" s="102"/>
      <c r="BI77" s="182"/>
      <c r="BJ77" s="182" t="e">
        <f>VLOOKUP(AT77,'Summary-output-ULS'!$B:$H,7,0)</f>
        <v>#N/A</v>
      </c>
      <c r="BK77" s="182" t="e">
        <f>-VLOOKUP(AT77,'Summary-output-ULS'!$B:$H,5,0)</f>
        <v>#N/A</v>
      </c>
      <c r="BL77" s="182" t="e">
        <f>VLOOKUP(AT77,'Summary-output-SLS'!$B:$H,5,0)</f>
        <v>#N/A</v>
      </c>
      <c r="BM77" s="182" t="e">
        <f>VLOOKUP(AT77,'Summary-output-SLS'!$B:$H,6,0)</f>
        <v>#N/A</v>
      </c>
      <c r="BN77" s="182" t="e">
        <f>VLOOKUP(AT77,'Summary-output-SLS'!$B:$H,6,0)</f>
        <v>#N/A</v>
      </c>
      <c r="BO77" s="64"/>
      <c r="BP77" s="182" t="e">
        <f>VLOOKUP(AT77,'Summary-output-ULS'!$B:$H,4,0)</f>
        <v>#N/A</v>
      </c>
      <c r="BR77" s="174" t="e">
        <f t="shared" si="118"/>
        <v>#N/A</v>
      </c>
      <c r="BS77" s="175"/>
      <c r="BT77" s="176"/>
      <c r="BV77" s="188"/>
      <c r="BW77" s="188"/>
      <c r="BX77" s="188"/>
      <c r="BY77" s="188"/>
    </row>
    <row r="78" spans="1:77" x14ac:dyDescent="0.25">
      <c r="A78" s="184">
        <f t="shared" si="89"/>
        <v>88</v>
      </c>
      <c r="B78" s="151" t="str">
        <f>VLOOKUP(A78,'Summary-input'!A:B,2,0)</f>
        <v>BASE</v>
      </c>
      <c r="C78" s="179">
        <v>103</v>
      </c>
      <c r="D78" s="75"/>
      <c r="E78" s="147"/>
      <c r="F78" s="152">
        <f t="shared" si="28"/>
        <v>1204.9994737115146</v>
      </c>
      <c r="G78" s="76">
        <f t="shared" si="29"/>
        <v>1650.1773810643624</v>
      </c>
      <c r="H78" s="155">
        <f t="shared" si="30"/>
        <v>51.158571385590761</v>
      </c>
      <c r="I78" s="152">
        <f t="shared" si="31"/>
        <v>1000</v>
      </c>
      <c r="J78" s="149" t="str">
        <f t="shared" si="32"/>
        <v>H</v>
      </c>
      <c r="K78" s="148">
        <v>40</v>
      </c>
      <c r="L78" s="75" t="str">
        <f t="shared" si="90"/>
        <v/>
      </c>
      <c r="M78" s="75" t="str">
        <f t="shared" si="91"/>
        <v/>
      </c>
      <c r="N78" s="148"/>
      <c r="O78" s="75" t="str">
        <f t="shared" si="92"/>
        <v/>
      </c>
      <c r="P78" s="148"/>
      <c r="Q78" s="75" t="str">
        <f t="shared" si="93"/>
        <v/>
      </c>
      <c r="R78" s="153">
        <v>0</v>
      </c>
      <c r="S78" s="76">
        <f t="shared" si="94"/>
        <v>4188.7902047863909</v>
      </c>
      <c r="T78" s="75" t="str">
        <f t="shared" si="95"/>
        <v/>
      </c>
      <c r="U78" s="76">
        <f t="shared" si="96"/>
        <v>0</v>
      </c>
      <c r="V78" s="75" t="str">
        <f t="shared" si="97"/>
        <v/>
      </c>
      <c r="W78" s="76">
        <f t="shared" si="98"/>
        <v>0</v>
      </c>
      <c r="X78" s="75" t="s">
        <v>22</v>
      </c>
      <c r="Y78" s="154">
        <f t="shared" si="99"/>
        <v>4188.7902047863909</v>
      </c>
      <c r="Z78" s="76">
        <f t="shared" si="100"/>
        <v>897</v>
      </c>
      <c r="AA78" s="151">
        <f t="shared" si="101"/>
        <v>0</v>
      </c>
      <c r="AB78" s="151">
        <f t="shared" si="102"/>
        <v>0</v>
      </c>
      <c r="AC78" s="76">
        <f t="shared" si="103"/>
        <v>897</v>
      </c>
      <c r="AD78" s="177">
        <f t="shared" si="104"/>
        <v>1.3433661914286674</v>
      </c>
      <c r="AE78" s="136">
        <f t="shared" si="105"/>
        <v>0.46697772628610817</v>
      </c>
      <c r="AF78" s="178" t="s">
        <v>43</v>
      </c>
      <c r="AG78" s="84">
        <f t="shared" si="106"/>
        <v>0.43513878646531268</v>
      </c>
      <c r="AH78" s="178">
        <f t="shared" si="107"/>
        <v>21.8</v>
      </c>
      <c r="AI78" s="76">
        <f t="shared" si="108"/>
        <v>897000</v>
      </c>
      <c r="AJ78" s="156">
        <f t="shared" si="109"/>
        <v>0.71108818129212914</v>
      </c>
      <c r="AK78" s="75" t="str">
        <f t="shared" si="17"/>
        <v>V &gt; Vc</v>
      </c>
      <c r="AL78" s="150">
        <f t="shared" si="110"/>
        <v>1373.1208082898142</v>
      </c>
      <c r="AM78" s="149" t="str">
        <f t="shared" si="33"/>
        <v>H</v>
      </c>
      <c r="AN78" s="76">
        <f t="shared" si="111"/>
        <v>13</v>
      </c>
      <c r="AO78" s="75" t="str">
        <f t="shared" si="112"/>
        <v>-</v>
      </c>
      <c r="AP78" s="76">
        <f t="shared" si="113"/>
        <v>300</v>
      </c>
      <c r="AQ78" s="154">
        <f t="shared" si="114"/>
        <v>1474.8032179352085</v>
      </c>
      <c r="AR78" s="150" t="str">
        <f t="shared" si="115"/>
        <v>OK</v>
      </c>
      <c r="AS78" s="180" t="str">
        <f t="shared" si="116"/>
        <v>Stirrups Sufficient</v>
      </c>
      <c r="AT78" s="17">
        <v>88</v>
      </c>
      <c r="AU78" s="71">
        <f>VLOOKUP(AT78,'Summary-input'!A:D,4,0)</f>
        <v>1000</v>
      </c>
      <c r="AV78" s="54">
        <f t="shared" si="117"/>
        <v>897</v>
      </c>
      <c r="AW78" s="55"/>
      <c r="AX78" s="55"/>
      <c r="AY78" s="101"/>
      <c r="AZ78" s="102"/>
      <c r="BA78" s="103">
        <v>1</v>
      </c>
      <c r="BB78" s="62"/>
      <c r="BC78" s="64">
        <v>80</v>
      </c>
      <c r="BD78" s="64" t="s">
        <v>59</v>
      </c>
      <c r="BE78" s="64"/>
      <c r="BF78" s="64">
        <v>105</v>
      </c>
      <c r="BG78" s="64"/>
      <c r="BH78" s="102"/>
      <c r="BI78" s="182"/>
      <c r="BJ78" s="182">
        <f>VLOOKUP(AT78,'Summary-output-ULS'!$B:$H,7,0)</f>
        <v>1204.9994737115146</v>
      </c>
      <c r="BK78" s="182">
        <f>-VLOOKUP(AT78,'Summary-output-ULS'!$B:$H,5,0)</f>
        <v>1650.1773810643624</v>
      </c>
      <c r="BL78" s="182">
        <f>VLOOKUP(AT78,'Summary-output-SLS'!$B:$H,5,0)</f>
        <v>-1209.6971853620196</v>
      </c>
      <c r="BM78" s="182">
        <f>VLOOKUP(AT78,'Summary-output-SLS'!$B:$H,6,0)</f>
        <v>51.158571385590761</v>
      </c>
      <c r="BN78" s="182">
        <f>VLOOKUP(AT78,'Summary-output-SLS'!$B:$H,6,0)</f>
        <v>51.158571385590761</v>
      </c>
      <c r="BO78" s="64"/>
      <c r="BP78" s="182">
        <f>VLOOKUP(AT78,'Summary-output-ULS'!$B:$H,4,0)</f>
        <v>103</v>
      </c>
      <c r="BR78" s="174">
        <f t="shared" si="118"/>
        <v>637.84609861903982</v>
      </c>
      <c r="BS78" s="175"/>
      <c r="BT78" s="176"/>
      <c r="BV78" s="188"/>
      <c r="BW78" s="188"/>
      <c r="BX78" s="188"/>
      <c r="BY78" s="188"/>
    </row>
    <row r="79" spans="1:77" x14ac:dyDescent="0.25">
      <c r="A79" s="184">
        <f t="shared" si="89"/>
        <v>89</v>
      </c>
      <c r="B79" s="151" t="str">
        <f>VLOOKUP(A79,'Summary-input'!A:B,2,0)</f>
        <v>BASE</v>
      </c>
      <c r="C79" s="179">
        <v>103</v>
      </c>
      <c r="D79" s="75"/>
      <c r="E79" s="147"/>
      <c r="F79" s="152">
        <f t="shared" si="28"/>
        <v>1530.5746765812748</v>
      </c>
      <c r="G79" s="76">
        <f t="shared" si="29"/>
        <v>1614.2318390407127</v>
      </c>
      <c r="H79" s="155">
        <f t="shared" si="30"/>
        <v>-1080.3543636475181</v>
      </c>
      <c r="I79" s="152">
        <f t="shared" si="31"/>
        <v>1000</v>
      </c>
      <c r="J79" s="149" t="str">
        <f t="shared" si="32"/>
        <v>H</v>
      </c>
      <c r="K79" s="148">
        <v>40</v>
      </c>
      <c r="L79" s="75" t="str">
        <f t="shared" si="90"/>
        <v/>
      </c>
      <c r="M79" s="75" t="str">
        <f t="shared" si="91"/>
        <v/>
      </c>
      <c r="N79" s="148"/>
      <c r="O79" s="75" t="str">
        <f t="shared" si="92"/>
        <v/>
      </c>
      <c r="P79" s="148"/>
      <c r="Q79" s="75" t="str">
        <f t="shared" si="93"/>
        <v/>
      </c>
      <c r="R79" s="153">
        <v>0</v>
      </c>
      <c r="S79" s="76">
        <f t="shared" si="94"/>
        <v>4188.7902047863909</v>
      </c>
      <c r="T79" s="75" t="str">
        <f t="shared" si="95"/>
        <v/>
      </c>
      <c r="U79" s="76">
        <f t="shared" si="96"/>
        <v>0</v>
      </c>
      <c r="V79" s="75" t="str">
        <f t="shared" si="97"/>
        <v/>
      </c>
      <c r="W79" s="76">
        <f t="shared" si="98"/>
        <v>0</v>
      </c>
      <c r="X79" s="75" t="s">
        <v>22</v>
      </c>
      <c r="Y79" s="154">
        <f t="shared" si="99"/>
        <v>4188.7902047863909</v>
      </c>
      <c r="Z79" s="76">
        <f t="shared" si="100"/>
        <v>897</v>
      </c>
      <c r="AA79" s="151">
        <f t="shared" si="101"/>
        <v>0</v>
      </c>
      <c r="AB79" s="151">
        <f t="shared" si="102"/>
        <v>0</v>
      </c>
      <c r="AC79" s="76">
        <f t="shared" si="103"/>
        <v>897</v>
      </c>
      <c r="AD79" s="177">
        <f t="shared" si="104"/>
        <v>1.7063262838141302</v>
      </c>
      <c r="AE79" s="136">
        <f t="shared" si="105"/>
        <v>0.46697772628610817</v>
      </c>
      <c r="AF79" s="178" t="s">
        <v>43</v>
      </c>
      <c r="AG79" s="84">
        <f t="shared" si="106"/>
        <v>0.43513878646531268</v>
      </c>
      <c r="AH79" s="178">
        <f t="shared" si="107"/>
        <v>21.8</v>
      </c>
      <c r="AI79" s="76">
        <f t="shared" si="108"/>
        <v>897000</v>
      </c>
      <c r="AJ79" s="156">
        <f t="shared" si="109"/>
        <v>0.70507722108750537</v>
      </c>
      <c r="AK79" s="75" t="str">
        <f t="shared" si="17"/>
        <v>V &gt; Vc</v>
      </c>
      <c r="AL79" s="150">
        <f t="shared" si="110"/>
        <v>1744.1202115896976</v>
      </c>
      <c r="AM79" s="149" t="str">
        <f t="shared" si="33"/>
        <v>H</v>
      </c>
      <c r="AN79" s="76">
        <f t="shared" si="111"/>
        <v>13</v>
      </c>
      <c r="AO79" s="75" t="str">
        <f t="shared" si="112"/>
        <v>-</v>
      </c>
      <c r="AP79" s="76">
        <f t="shared" si="113"/>
        <v>150</v>
      </c>
      <c r="AQ79" s="154">
        <f t="shared" si="114"/>
        <v>2949.606435870417</v>
      </c>
      <c r="AR79" s="150" t="str">
        <f t="shared" si="115"/>
        <v>OK</v>
      </c>
      <c r="AS79" s="180" t="str">
        <f t="shared" si="116"/>
        <v>Stirrups Sufficient</v>
      </c>
      <c r="AT79" s="17">
        <v>89</v>
      </c>
      <c r="AU79" s="71">
        <f>VLOOKUP(AT79,'Summary-input'!A:D,4,0)</f>
        <v>1000</v>
      </c>
      <c r="AV79" s="54">
        <f t="shared" si="117"/>
        <v>897</v>
      </c>
      <c r="AW79" s="55"/>
      <c r="AX79" s="55"/>
      <c r="AY79" s="101"/>
      <c r="AZ79" s="102"/>
      <c r="BA79" s="103">
        <v>1</v>
      </c>
      <c r="BB79" s="62"/>
      <c r="BC79" s="64">
        <v>80</v>
      </c>
      <c r="BD79" s="64" t="s">
        <v>59</v>
      </c>
      <c r="BE79" s="64"/>
      <c r="BF79" s="64">
        <v>105</v>
      </c>
      <c r="BG79" s="64"/>
      <c r="BH79" s="102"/>
      <c r="BI79" s="182"/>
      <c r="BJ79" s="182">
        <f>VLOOKUP(AT79,'Summary-output-ULS'!$B:$H,7,0)</f>
        <v>1530.5746765812748</v>
      </c>
      <c r="BK79" s="182">
        <f>-VLOOKUP(AT79,'Summary-output-ULS'!$B:$H,5,0)</f>
        <v>1614.2318390407127</v>
      </c>
      <c r="BL79" s="182">
        <f>VLOOKUP(AT79,'Summary-output-SLS'!$B:$H,5,0)</f>
        <v>-1183.0708579370908</v>
      </c>
      <c r="BM79" s="182">
        <f>VLOOKUP(AT79,'Summary-output-SLS'!$B:$H,6,0)</f>
        <v>-1080.3543636475181</v>
      </c>
      <c r="BN79" s="182">
        <f>VLOOKUP(AT79,'Summary-output-SLS'!$B:$H,6,0)</f>
        <v>-1080.3543636475181</v>
      </c>
      <c r="BO79" s="64"/>
      <c r="BP79" s="182">
        <f>VLOOKUP(AT79,'Summary-output-ULS'!$B:$H,4,0)</f>
        <v>103</v>
      </c>
      <c r="BR79" s="174">
        <f t="shared" si="118"/>
        <v>632.4542673154923</v>
      </c>
      <c r="BS79" s="175"/>
      <c r="BT79" s="176"/>
      <c r="BV79" s="188"/>
      <c r="BW79" s="188"/>
      <c r="BX79" s="188"/>
      <c r="BY79" s="188"/>
    </row>
    <row r="80" spans="1:77" x14ac:dyDescent="0.25">
      <c r="A80" s="184">
        <f t="shared" si="89"/>
        <v>90</v>
      </c>
      <c r="B80" s="151" t="str">
        <f>VLOOKUP(A80,'Summary-input'!A:B,2,0)</f>
        <v>BASE</v>
      </c>
      <c r="C80" s="179">
        <v>103</v>
      </c>
      <c r="D80" s="75"/>
      <c r="E80" s="147"/>
      <c r="F80" s="152">
        <f t="shared" si="28"/>
        <v>1815.4484963886937</v>
      </c>
      <c r="G80" s="76">
        <f t="shared" si="29"/>
        <v>1448.2644220170596</v>
      </c>
      <c r="H80" s="155">
        <f t="shared" si="30"/>
        <v>-2465.2863770838962</v>
      </c>
      <c r="I80" s="152">
        <f t="shared" si="31"/>
        <v>1000</v>
      </c>
      <c r="J80" s="149" t="str">
        <f t="shared" si="32"/>
        <v>H</v>
      </c>
      <c r="K80" s="148">
        <v>40</v>
      </c>
      <c r="L80" s="75" t="str">
        <f t="shared" si="90"/>
        <v/>
      </c>
      <c r="M80" s="75" t="str">
        <f t="shared" si="91"/>
        <v/>
      </c>
      <c r="N80" s="148"/>
      <c r="O80" s="75" t="str">
        <f t="shared" si="92"/>
        <v/>
      </c>
      <c r="P80" s="148"/>
      <c r="Q80" s="75" t="str">
        <f t="shared" si="93"/>
        <v/>
      </c>
      <c r="R80" s="153">
        <v>0</v>
      </c>
      <c r="S80" s="76">
        <f t="shared" si="94"/>
        <v>4188.7902047863909</v>
      </c>
      <c r="T80" s="75" t="str">
        <f t="shared" si="95"/>
        <v/>
      </c>
      <c r="U80" s="76">
        <f t="shared" si="96"/>
        <v>0</v>
      </c>
      <c r="V80" s="75" t="str">
        <f t="shared" si="97"/>
        <v/>
      </c>
      <c r="W80" s="76">
        <f t="shared" si="98"/>
        <v>0</v>
      </c>
      <c r="X80" s="75" t="s">
        <v>22</v>
      </c>
      <c r="Y80" s="154">
        <f t="shared" si="99"/>
        <v>4188.7902047863909</v>
      </c>
      <c r="Z80" s="76">
        <f t="shared" si="100"/>
        <v>897</v>
      </c>
      <c r="AA80" s="151">
        <f t="shared" si="101"/>
        <v>0</v>
      </c>
      <c r="AB80" s="151">
        <f t="shared" si="102"/>
        <v>0</v>
      </c>
      <c r="AC80" s="76">
        <f t="shared" si="103"/>
        <v>897</v>
      </c>
      <c r="AD80" s="177">
        <f t="shared" si="104"/>
        <v>2.0239113672114755</v>
      </c>
      <c r="AE80" s="136">
        <f t="shared" si="105"/>
        <v>0.46697772628610817</v>
      </c>
      <c r="AF80" s="178" t="s">
        <v>43</v>
      </c>
      <c r="AG80" s="84">
        <f t="shared" si="106"/>
        <v>0.43513878646531268</v>
      </c>
      <c r="AH80" s="178">
        <f t="shared" si="107"/>
        <v>21.8</v>
      </c>
      <c r="AI80" s="76">
        <f t="shared" si="108"/>
        <v>897000</v>
      </c>
      <c r="AJ80" s="156">
        <f t="shared" si="109"/>
        <v>0.67732347242134261</v>
      </c>
      <c r="AK80" s="75" t="str">
        <f t="shared" si="17"/>
        <v>V &gt; Vc</v>
      </c>
      <c r="AL80" s="150">
        <f t="shared" si="110"/>
        <v>2068.739581347379</v>
      </c>
      <c r="AM80" s="149" t="str">
        <f t="shared" si="33"/>
        <v>H</v>
      </c>
      <c r="AN80" s="76">
        <f t="shared" si="111"/>
        <v>13</v>
      </c>
      <c r="AO80" s="75" t="str">
        <f t="shared" si="112"/>
        <v>-</v>
      </c>
      <c r="AP80" s="76">
        <f t="shared" si="113"/>
        <v>150</v>
      </c>
      <c r="AQ80" s="154">
        <f t="shared" si="114"/>
        <v>2949.606435870417</v>
      </c>
      <c r="AR80" s="150" t="str">
        <f t="shared" si="115"/>
        <v>OK</v>
      </c>
      <c r="AS80" s="180" t="str">
        <f t="shared" si="116"/>
        <v>Stirrups Sufficient</v>
      </c>
      <c r="AT80" s="17">
        <v>90</v>
      </c>
      <c r="AU80" s="71">
        <f>VLOOKUP(AT80,'Summary-input'!A:D,4,0)</f>
        <v>1000</v>
      </c>
      <c r="AV80" s="54">
        <f t="shared" si="117"/>
        <v>897</v>
      </c>
      <c r="AW80" s="55"/>
      <c r="AX80" s="55"/>
      <c r="AY80" s="101"/>
      <c r="AZ80" s="102"/>
      <c r="BA80" s="103">
        <v>1</v>
      </c>
      <c r="BB80" s="62"/>
      <c r="BC80" s="64">
        <v>80</v>
      </c>
      <c r="BD80" s="64" t="s">
        <v>59</v>
      </c>
      <c r="BE80" s="64"/>
      <c r="BF80" s="64">
        <v>105</v>
      </c>
      <c r="BG80" s="64"/>
      <c r="BH80" s="102"/>
      <c r="BI80" s="182"/>
      <c r="BJ80" s="182">
        <f>VLOOKUP(AT80,'Summary-output-ULS'!$B:$H,7,0)</f>
        <v>1815.4484963886937</v>
      </c>
      <c r="BK80" s="182">
        <f>-VLOOKUP(AT80,'Summary-output-ULS'!$B:$H,5,0)</f>
        <v>1448.2644220170596</v>
      </c>
      <c r="BL80" s="182">
        <f>VLOOKUP(AT80,'Summary-output-SLS'!$B:$H,5,0)</f>
        <v>-1061.3820305121646</v>
      </c>
      <c r="BM80" s="182">
        <f>VLOOKUP(AT80,'Summary-output-SLS'!$B:$H,6,0)</f>
        <v>-2465.2863770838962</v>
      </c>
      <c r="BN80" s="182">
        <f>VLOOKUP(AT80,'Summary-output-SLS'!$B:$H,6,0)</f>
        <v>-2465.2863770838962</v>
      </c>
      <c r="BO80" s="64"/>
      <c r="BP80" s="182">
        <f>VLOOKUP(AT80,'Summary-output-ULS'!$B:$H,4,0)</f>
        <v>103</v>
      </c>
      <c r="BR80" s="174">
        <f t="shared" si="118"/>
        <v>607.55915476194434</v>
      </c>
      <c r="BS80" s="175"/>
      <c r="BT80" s="176"/>
      <c r="BV80" s="188"/>
      <c r="BW80" s="188"/>
      <c r="BX80" s="188"/>
      <c r="BY80" s="188"/>
    </row>
    <row r="81" spans="1:93" x14ac:dyDescent="0.25">
      <c r="A81" s="184">
        <f t="shared" si="89"/>
        <v>91</v>
      </c>
      <c r="B81" s="151" t="str">
        <f>VLOOKUP(A81,'Summary-input'!A:B,2,0)</f>
        <v>BASE</v>
      </c>
      <c r="C81" s="179">
        <v>103</v>
      </c>
      <c r="D81" s="75"/>
      <c r="E81" s="147"/>
      <c r="F81" s="152" t="e">
        <f t="shared" si="28"/>
        <v>#N/A</v>
      </c>
      <c r="G81" s="76" t="e">
        <f t="shared" si="29"/>
        <v>#N/A</v>
      </c>
      <c r="H81" s="155" t="e">
        <f t="shared" si="30"/>
        <v>#N/A</v>
      </c>
      <c r="I81" s="152">
        <f t="shared" si="31"/>
        <v>1000</v>
      </c>
      <c r="J81" s="149" t="str">
        <f t="shared" si="32"/>
        <v>H</v>
      </c>
      <c r="K81" s="148">
        <v>40</v>
      </c>
      <c r="L81" s="75" t="str">
        <f t="shared" si="90"/>
        <v/>
      </c>
      <c r="M81" s="75" t="str">
        <f t="shared" si="91"/>
        <v/>
      </c>
      <c r="N81" s="148"/>
      <c r="O81" s="75" t="str">
        <f t="shared" si="92"/>
        <v/>
      </c>
      <c r="P81" s="148"/>
      <c r="Q81" s="75" t="str">
        <f t="shared" si="93"/>
        <v/>
      </c>
      <c r="R81" s="153">
        <v>0</v>
      </c>
      <c r="S81" s="76">
        <f t="shared" si="94"/>
        <v>4188.7902047863909</v>
      </c>
      <c r="T81" s="75" t="str">
        <f t="shared" si="95"/>
        <v/>
      </c>
      <c r="U81" s="76">
        <f t="shared" si="96"/>
        <v>0</v>
      </c>
      <c r="V81" s="75" t="str">
        <f t="shared" si="97"/>
        <v/>
      </c>
      <c r="W81" s="76">
        <f t="shared" si="98"/>
        <v>0</v>
      </c>
      <c r="X81" s="75" t="s">
        <v>22</v>
      </c>
      <c r="Y81" s="154">
        <f t="shared" si="99"/>
        <v>4188.7902047863909</v>
      </c>
      <c r="Z81" s="76">
        <f t="shared" si="100"/>
        <v>897</v>
      </c>
      <c r="AA81" s="151">
        <f t="shared" si="101"/>
        <v>0</v>
      </c>
      <c r="AB81" s="151">
        <f t="shared" si="102"/>
        <v>0</v>
      </c>
      <c r="AC81" s="76">
        <f t="shared" si="103"/>
        <v>897</v>
      </c>
      <c r="AD81" s="177" t="e">
        <f t="shared" si="104"/>
        <v>#N/A</v>
      </c>
      <c r="AE81" s="136">
        <f t="shared" si="105"/>
        <v>0.46697772628610817</v>
      </c>
      <c r="AF81" s="178" t="s">
        <v>43</v>
      </c>
      <c r="AG81" s="84">
        <f t="shared" si="106"/>
        <v>0.43513878646531268</v>
      </c>
      <c r="AH81" s="178" t="e">
        <f t="shared" si="107"/>
        <v>#N/A</v>
      </c>
      <c r="AI81" s="76">
        <f t="shared" si="108"/>
        <v>897000</v>
      </c>
      <c r="AJ81" s="156" t="e">
        <f t="shared" si="109"/>
        <v>#N/A</v>
      </c>
      <c r="AK81" s="75" t="e">
        <f t="shared" si="17"/>
        <v>#N/A</v>
      </c>
      <c r="AL81" s="150" t="e">
        <f t="shared" si="110"/>
        <v>#N/A</v>
      </c>
      <c r="AM81" s="149" t="e">
        <f t="shared" si="33"/>
        <v>#N/A</v>
      </c>
      <c r="AN81" s="76" t="e">
        <f t="shared" si="111"/>
        <v>#N/A</v>
      </c>
      <c r="AO81" s="75" t="e">
        <f t="shared" si="112"/>
        <v>#N/A</v>
      </c>
      <c r="AP81" s="76" t="e">
        <f t="shared" si="113"/>
        <v>#N/A</v>
      </c>
      <c r="AQ81" s="154" t="e">
        <f t="shared" si="114"/>
        <v>#N/A</v>
      </c>
      <c r="AR81" s="150" t="e">
        <f t="shared" si="115"/>
        <v>#N/A</v>
      </c>
      <c r="AS81" s="180" t="e">
        <f t="shared" si="116"/>
        <v>#N/A</v>
      </c>
      <c r="AT81" s="17">
        <v>91</v>
      </c>
      <c r="AU81" s="71">
        <f>VLOOKUP(AT81,'Summary-input'!A:D,4,0)</f>
        <v>1000</v>
      </c>
      <c r="AV81" s="54">
        <f t="shared" si="117"/>
        <v>897</v>
      </c>
      <c r="AW81" s="55"/>
      <c r="AX81" s="55"/>
      <c r="AY81" s="101"/>
      <c r="AZ81" s="102"/>
      <c r="BA81" s="103">
        <v>1</v>
      </c>
      <c r="BB81" s="62"/>
      <c r="BC81" s="64">
        <v>80</v>
      </c>
      <c r="BD81" s="64" t="s">
        <v>59</v>
      </c>
      <c r="BE81" s="64"/>
      <c r="BF81" s="64">
        <v>105</v>
      </c>
      <c r="BG81" s="64"/>
      <c r="BH81" s="102"/>
      <c r="BI81" s="182"/>
      <c r="BJ81" s="182" t="e">
        <f>VLOOKUP(AT81,'Summary-output-ULS'!$B:$H,7,0)</f>
        <v>#N/A</v>
      </c>
      <c r="BK81" s="182" t="e">
        <f>-VLOOKUP(AT81,'Summary-output-ULS'!$B:$H,5,0)</f>
        <v>#N/A</v>
      </c>
      <c r="BL81" s="182" t="e">
        <f>VLOOKUP(AT81,'Summary-output-SLS'!$B:$H,5,0)</f>
        <v>#N/A</v>
      </c>
      <c r="BM81" s="182" t="e">
        <f>VLOOKUP(AT81,'Summary-output-SLS'!$B:$H,6,0)</f>
        <v>#N/A</v>
      </c>
      <c r="BN81" s="182" t="e">
        <f>VLOOKUP(AT81,'Summary-output-SLS'!$B:$H,6,0)</f>
        <v>#N/A</v>
      </c>
      <c r="BO81" s="64"/>
      <c r="BP81" s="182" t="e">
        <f>VLOOKUP(AT81,'Summary-output-ULS'!$B:$H,4,0)</f>
        <v>#N/A</v>
      </c>
      <c r="BR81" s="174" t="e">
        <f t="shared" si="118"/>
        <v>#N/A</v>
      </c>
      <c r="BS81" s="175"/>
      <c r="BT81" s="176"/>
      <c r="BV81" s="188"/>
      <c r="BW81" s="188"/>
      <c r="BX81" s="188"/>
      <c r="BY81" s="188"/>
    </row>
    <row r="82" spans="1:93" x14ac:dyDescent="0.25">
      <c r="A82" s="184">
        <f t="shared" si="89"/>
        <v>57</v>
      </c>
      <c r="B82" s="151" t="str">
        <f>VLOOKUP(A82,'Summary-input'!A:B,2,0)</f>
        <v>BASE</v>
      </c>
      <c r="C82" s="179">
        <v>103</v>
      </c>
      <c r="D82" s="75"/>
      <c r="E82" s="147"/>
      <c r="F82" s="152">
        <f t="shared" si="28"/>
        <v>1184.1793308030979</v>
      </c>
      <c r="G82" s="76">
        <f t="shared" si="29"/>
        <v>1903.5003531964612</v>
      </c>
      <c r="H82" s="155">
        <f t="shared" si="30"/>
        <v>-1116.7009469097786</v>
      </c>
      <c r="I82" s="152">
        <f t="shared" si="31"/>
        <v>1000</v>
      </c>
      <c r="J82" s="149" t="str">
        <f t="shared" si="32"/>
        <v>H</v>
      </c>
      <c r="K82" s="148">
        <v>40</v>
      </c>
      <c r="L82" s="75" t="str">
        <f t="shared" si="90"/>
        <v/>
      </c>
      <c r="M82" s="75" t="str">
        <f t="shared" si="91"/>
        <v/>
      </c>
      <c r="N82" s="148"/>
      <c r="O82" s="75" t="str">
        <f t="shared" si="92"/>
        <v/>
      </c>
      <c r="P82" s="148"/>
      <c r="Q82" s="75" t="str">
        <f t="shared" si="93"/>
        <v/>
      </c>
      <c r="R82" s="153">
        <v>0</v>
      </c>
      <c r="S82" s="76">
        <f t="shared" si="94"/>
        <v>4188.7902047863909</v>
      </c>
      <c r="T82" s="75" t="str">
        <f t="shared" si="95"/>
        <v/>
      </c>
      <c r="U82" s="76">
        <f t="shared" si="96"/>
        <v>0</v>
      </c>
      <c r="V82" s="75" t="str">
        <f t="shared" si="97"/>
        <v/>
      </c>
      <c r="W82" s="76">
        <f t="shared" si="98"/>
        <v>0</v>
      </c>
      <c r="X82" s="75" t="s">
        <v>22</v>
      </c>
      <c r="Y82" s="154">
        <f t="shared" si="99"/>
        <v>4188.7902047863909</v>
      </c>
      <c r="Z82" s="76">
        <f t="shared" si="100"/>
        <v>897</v>
      </c>
      <c r="AA82" s="151">
        <f t="shared" si="101"/>
        <v>0</v>
      </c>
      <c r="AB82" s="151">
        <f t="shared" si="102"/>
        <v>0</v>
      </c>
      <c r="AC82" s="76">
        <f t="shared" si="103"/>
        <v>897</v>
      </c>
      <c r="AD82" s="177">
        <f t="shared" si="104"/>
        <v>1.3201553297693398</v>
      </c>
      <c r="AE82" s="136">
        <f t="shared" si="105"/>
        <v>0.46697772628610817</v>
      </c>
      <c r="AF82" s="178" t="s">
        <v>43</v>
      </c>
      <c r="AG82" s="84">
        <f t="shared" si="106"/>
        <v>0.43513878646531268</v>
      </c>
      <c r="AH82" s="178">
        <f t="shared" si="107"/>
        <v>21.8</v>
      </c>
      <c r="AI82" s="76">
        <f t="shared" si="108"/>
        <v>897000</v>
      </c>
      <c r="AJ82" s="156">
        <f t="shared" si="109"/>
        <v>0.75344988231756371</v>
      </c>
      <c r="AK82" s="75" t="str">
        <f t="shared" si="17"/>
        <v>V &gt; Vc</v>
      </c>
      <c r="AL82" s="150">
        <f t="shared" si="110"/>
        <v>1349.3958423601123</v>
      </c>
      <c r="AM82" s="149" t="str">
        <f t="shared" si="33"/>
        <v>H</v>
      </c>
      <c r="AN82" s="76">
        <f t="shared" si="111"/>
        <v>13</v>
      </c>
      <c r="AO82" s="75" t="str">
        <f t="shared" si="112"/>
        <v>-</v>
      </c>
      <c r="AP82" s="76">
        <f t="shared" si="113"/>
        <v>300</v>
      </c>
      <c r="AQ82" s="154">
        <f t="shared" si="114"/>
        <v>1474.8032179352085</v>
      </c>
      <c r="AR82" s="150" t="str">
        <f t="shared" si="115"/>
        <v>OK</v>
      </c>
      <c r="AS82" s="180" t="str">
        <f t="shared" si="116"/>
        <v>Stirrups Sufficient</v>
      </c>
      <c r="AT82" s="17">
        <v>57</v>
      </c>
      <c r="AU82" s="71">
        <f>VLOOKUP(AT82,'Summary-input'!A:D,4,0)</f>
        <v>1000</v>
      </c>
      <c r="AV82" s="54">
        <f t="shared" si="117"/>
        <v>897</v>
      </c>
      <c r="AW82" s="55"/>
      <c r="AX82" s="55"/>
      <c r="AY82" s="101"/>
      <c r="AZ82" s="102"/>
      <c r="BA82" s="103">
        <v>1</v>
      </c>
      <c r="BB82" s="62"/>
      <c r="BC82" s="64">
        <v>80</v>
      </c>
      <c r="BD82" s="64" t="s">
        <v>59</v>
      </c>
      <c r="BE82" s="64"/>
      <c r="BF82" s="64">
        <v>105</v>
      </c>
      <c r="BG82" s="64"/>
      <c r="BH82" s="102"/>
      <c r="BI82" s="182"/>
      <c r="BJ82" s="182">
        <f>VLOOKUP(AT82,'Summary-output-ULS'!$B:$H,7,0)</f>
        <v>1184.1793308030979</v>
      </c>
      <c r="BK82" s="182">
        <f>-VLOOKUP(AT82,'Summary-output-ULS'!$B:$H,5,0)</f>
        <v>1903.5003531964612</v>
      </c>
      <c r="BL82" s="182">
        <f>VLOOKUP(AT82,'Summary-output-SLS'!$B:$H,5,0)</f>
        <v>-1375.8067440971915</v>
      </c>
      <c r="BM82" s="182">
        <f>VLOOKUP(AT82,'Summary-output-SLS'!$B:$H,6,0)</f>
        <v>-1116.7009469097786</v>
      </c>
      <c r="BN82" s="182">
        <f>VLOOKUP(AT82,'Summary-output-SLS'!$B:$H,6,0)</f>
        <v>-1116.7009469097786</v>
      </c>
      <c r="BO82" s="64"/>
      <c r="BP82" s="182">
        <f>VLOOKUP(AT82,'Summary-output-ULS'!$B:$H,4,0)</f>
        <v>101</v>
      </c>
      <c r="BR82" s="174">
        <f t="shared" si="118"/>
        <v>675.84454443885465</v>
      </c>
      <c r="BS82" s="175"/>
      <c r="BT82" s="176"/>
      <c r="BV82" s="188"/>
      <c r="BW82" s="188"/>
      <c r="BX82" s="188"/>
      <c r="BY82" s="188"/>
    </row>
    <row r="83" spans="1:93" x14ac:dyDescent="0.25">
      <c r="A83" s="184">
        <f t="shared" si="89"/>
        <v>92</v>
      </c>
      <c r="B83" s="151" t="str">
        <f>VLOOKUP(A83,'Summary-input'!A:B,2,0)</f>
        <v>BASE</v>
      </c>
      <c r="C83" s="179">
        <v>103</v>
      </c>
      <c r="D83" s="75"/>
      <c r="E83" s="147"/>
      <c r="F83" s="152" t="e">
        <f t="shared" si="28"/>
        <v>#N/A</v>
      </c>
      <c r="G83" s="76" t="e">
        <f t="shared" si="29"/>
        <v>#N/A</v>
      </c>
      <c r="H83" s="155" t="e">
        <f t="shared" si="30"/>
        <v>#N/A</v>
      </c>
      <c r="I83" s="152">
        <f t="shared" si="31"/>
        <v>1000</v>
      </c>
      <c r="J83" s="149" t="str">
        <f t="shared" si="32"/>
        <v>H</v>
      </c>
      <c r="K83" s="148">
        <v>40</v>
      </c>
      <c r="L83" s="75" t="str">
        <f t="shared" si="90"/>
        <v/>
      </c>
      <c r="M83" s="75" t="str">
        <f t="shared" si="91"/>
        <v/>
      </c>
      <c r="N83" s="148"/>
      <c r="O83" s="75" t="str">
        <f t="shared" si="92"/>
        <v/>
      </c>
      <c r="P83" s="148"/>
      <c r="Q83" s="75" t="str">
        <f t="shared" si="93"/>
        <v/>
      </c>
      <c r="R83" s="153">
        <v>0</v>
      </c>
      <c r="S83" s="76">
        <f t="shared" si="94"/>
        <v>4188.7902047863909</v>
      </c>
      <c r="T83" s="75" t="str">
        <f t="shared" si="95"/>
        <v/>
      </c>
      <c r="U83" s="76">
        <f t="shared" si="96"/>
        <v>0</v>
      </c>
      <c r="V83" s="75" t="str">
        <f t="shared" si="97"/>
        <v/>
      </c>
      <c r="W83" s="76">
        <f t="shared" si="98"/>
        <v>0</v>
      </c>
      <c r="X83" s="75" t="s">
        <v>22</v>
      </c>
      <c r="Y83" s="154">
        <f t="shared" si="99"/>
        <v>4188.7902047863909</v>
      </c>
      <c r="Z83" s="76">
        <f t="shared" si="100"/>
        <v>897</v>
      </c>
      <c r="AA83" s="151">
        <f t="shared" si="101"/>
        <v>0</v>
      </c>
      <c r="AB83" s="151">
        <f t="shared" si="102"/>
        <v>0</v>
      </c>
      <c r="AC83" s="76">
        <f t="shared" si="103"/>
        <v>897</v>
      </c>
      <c r="AD83" s="177" t="e">
        <f t="shared" si="104"/>
        <v>#N/A</v>
      </c>
      <c r="AE83" s="136">
        <f t="shared" si="105"/>
        <v>0.46697772628610817</v>
      </c>
      <c r="AF83" s="178" t="s">
        <v>43</v>
      </c>
      <c r="AG83" s="84">
        <f t="shared" si="106"/>
        <v>0.43513878646531268</v>
      </c>
      <c r="AH83" s="178" t="e">
        <f t="shared" si="107"/>
        <v>#N/A</v>
      </c>
      <c r="AI83" s="76">
        <f t="shared" si="108"/>
        <v>897000</v>
      </c>
      <c r="AJ83" s="156" t="e">
        <f t="shared" si="109"/>
        <v>#N/A</v>
      </c>
      <c r="AK83" s="75" t="e">
        <f t="shared" si="17"/>
        <v>#N/A</v>
      </c>
      <c r="AL83" s="150" t="e">
        <f t="shared" si="110"/>
        <v>#N/A</v>
      </c>
      <c r="AM83" s="149" t="e">
        <f t="shared" si="33"/>
        <v>#N/A</v>
      </c>
      <c r="AN83" s="76" t="e">
        <f t="shared" si="111"/>
        <v>#N/A</v>
      </c>
      <c r="AO83" s="75" t="e">
        <f t="shared" si="112"/>
        <v>#N/A</v>
      </c>
      <c r="AP83" s="76" t="e">
        <f t="shared" si="113"/>
        <v>#N/A</v>
      </c>
      <c r="AQ83" s="154" t="e">
        <f t="shared" si="114"/>
        <v>#N/A</v>
      </c>
      <c r="AR83" s="150" t="e">
        <f t="shared" si="115"/>
        <v>#N/A</v>
      </c>
      <c r="AS83" s="180" t="e">
        <f t="shared" si="116"/>
        <v>#N/A</v>
      </c>
      <c r="AT83" s="17">
        <v>92</v>
      </c>
      <c r="AU83" s="71">
        <f>VLOOKUP(AT83,'Summary-input'!A:D,4,0)</f>
        <v>1000</v>
      </c>
      <c r="AV83" s="54">
        <f t="shared" si="117"/>
        <v>897</v>
      </c>
      <c r="AW83" s="55"/>
      <c r="AX83" s="55"/>
      <c r="AY83" s="101"/>
      <c r="AZ83" s="102"/>
      <c r="BA83" s="103">
        <v>1</v>
      </c>
      <c r="BB83" s="62"/>
      <c r="BC83" s="64">
        <v>80</v>
      </c>
      <c r="BD83" s="64" t="s">
        <v>59</v>
      </c>
      <c r="BE83" s="64"/>
      <c r="BF83" s="64">
        <v>105</v>
      </c>
      <c r="BG83" s="64"/>
      <c r="BH83" s="102"/>
      <c r="BI83" s="182"/>
      <c r="BJ83" s="182" t="e">
        <f>VLOOKUP(AT83,'Summary-output-ULS'!$B:$H,7,0)</f>
        <v>#N/A</v>
      </c>
      <c r="BK83" s="182" t="e">
        <f>-VLOOKUP(AT83,'Summary-output-ULS'!$B:$H,5,0)</f>
        <v>#N/A</v>
      </c>
      <c r="BL83" s="182" t="e">
        <f>VLOOKUP(AT83,'Summary-output-SLS'!$B:$H,5,0)</f>
        <v>#N/A</v>
      </c>
      <c r="BM83" s="182" t="e">
        <f>VLOOKUP(AT83,'Summary-output-SLS'!$B:$H,6,0)</f>
        <v>#N/A</v>
      </c>
      <c r="BN83" s="182" t="e">
        <f>VLOOKUP(AT83,'Summary-output-SLS'!$B:$H,6,0)</f>
        <v>#N/A</v>
      </c>
      <c r="BO83" s="64"/>
      <c r="BP83" s="182" t="e">
        <f>VLOOKUP(AT83,'Summary-output-ULS'!$B:$H,4,0)</f>
        <v>#N/A</v>
      </c>
      <c r="BR83" s="174" t="e">
        <f t="shared" si="118"/>
        <v>#N/A</v>
      </c>
      <c r="BS83" s="175"/>
      <c r="BT83" s="176"/>
      <c r="BV83" s="188"/>
      <c r="BW83" s="188"/>
      <c r="BX83" s="188"/>
      <c r="BY83" s="188"/>
    </row>
    <row r="84" spans="1:93" x14ac:dyDescent="0.25">
      <c r="A84" s="184">
        <f t="shared" si="89"/>
        <v>93</v>
      </c>
      <c r="B84" s="151" t="str">
        <f>VLOOKUP(A84,'Summary-input'!A:B,2,0)</f>
        <v>BASE</v>
      </c>
      <c r="C84" s="179">
        <v>103</v>
      </c>
      <c r="D84" s="75"/>
      <c r="E84" s="147"/>
      <c r="F84" s="152" t="e">
        <f t="shared" si="28"/>
        <v>#N/A</v>
      </c>
      <c r="G84" s="76" t="e">
        <f t="shared" si="29"/>
        <v>#N/A</v>
      </c>
      <c r="H84" s="155" t="e">
        <f t="shared" si="30"/>
        <v>#N/A</v>
      </c>
      <c r="I84" s="152">
        <f t="shared" si="31"/>
        <v>1000</v>
      </c>
      <c r="J84" s="149" t="str">
        <f t="shared" si="32"/>
        <v>H</v>
      </c>
      <c r="K84" s="148">
        <v>40</v>
      </c>
      <c r="L84" s="75" t="str">
        <f t="shared" si="90"/>
        <v/>
      </c>
      <c r="M84" s="75" t="str">
        <f t="shared" si="91"/>
        <v/>
      </c>
      <c r="N84" s="148"/>
      <c r="O84" s="75" t="str">
        <f t="shared" si="92"/>
        <v/>
      </c>
      <c r="P84" s="148"/>
      <c r="Q84" s="75" t="str">
        <f t="shared" si="93"/>
        <v/>
      </c>
      <c r="R84" s="153">
        <v>0</v>
      </c>
      <c r="S84" s="76">
        <f t="shared" si="94"/>
        <v>4188.7902047863909</v>
      </c>
      <c r="T84" s="75" t="str">
        <f t="shared" si="95"/>
        <v/>
      </c>
      <c r="U84" s="76">
        <f t="shared" si="96"/>
        <v>0</v>
      </c>
      <c r="V84" s="75" t="str">
        <f t="shared" si="97"/>
        <v/>
      </c>
      <c r="W84" s="76">
        <f t="shared" si="98"/>
        <v>0</v>
      </c>
      <c r="X84" s="75" t="s">
        <v>22</v>
      </c>
      <c r="Y84" s="154">
        <f t="shared" si="99"/>
        <v>4188.7902047863909</v>
      </c>
      <c r="Z84" s="76">
        <f t="shared" si="100"/>
        <v>897</v>
      </c>
      <c r="AA84" s="151">
        <f t="shared" si="101"/>
        <v>0</v>
      </c>
      <c r="AB84" s="151">
        <f t="shared" si="102"/>
        <v>0</v>
      </c>
      <c r="AC84" s="76">
        <f t="shared" si="103"/>
        <v>897</v>
      </c>
      <c r="AD84" s="177" t="e">
        <f t="shared" si="104"/>
        <v>#N/A</v>
      </c>
      <c r="AE84" s="136">
        <f t="shared" si="105"/>
        <v>0.46697772628610817</v>
      </c>
      <c r="AF84" s="178" t="s">
        <v>43</v>
      </c>
      <c r="AG84" s="84">
        <f t="shared" si="106"/>
        <v>0.43513878646531268</v>
      </c>
      <c r="AH84" s="178" t="e">
        <f t="shared" si="107"/>
        <v>#N/A</v>
      </c>
      <c r="AI84" s="76">
        <f t="shared" si="108"/>
        <v>897000</v>
      </c>
      <c r="AJ84" s="156" t="e">
        <f t="shared" si="109"/>
        <v>#N/A</v>
      </c>
      <c r="AK84" s="75" t="e">
        <f t="shared" si="17"/>
        <v>#N/A</v>
      </c>
      <c r="AL84" s="150" t="e">
        <f t="shared" si="110"/>
        <v>#N/A</v>
      </c>
      <c r="AM84" s="149" t="e">
        <f t="shared" si="33"/>
        <v>#N/A</v>
      </c>
      <c r="AN84" s="76" t="e">
        <f t="shared" si="111"/>
        <v>#N/A</v>
      </c>
      <c r="AO84" s="75" t="e">
        <f t="shared" si="112"/>
        <v>#N/A</v>
      </c>
      <c r="AP84" s="76" t="e">
        <f t="shared" si="113"/>
        <v>#N/A</v>
      </c>
      <c r="AQ84" s="154" t="e">
        <f t="shared" si="114"/>
        <v>#N/A</v>
      </c>
      <c r="AR84" s="150" t="e">
        <f t="shared" si="115"/>
        <v>#N/A</v>
      </c>
      <c r="AS84" s="180" t="e">
        <f t="shared" si="116"/>
        <v>#N/A</v>
      </c>
      <c r="AT84" s="17">
        <v>93</v>
      </c>
      <c r="AU84" s="71">
        <f>VLOOKUP(AT84,'Summary-input'!A:D,4,0)</f>
        <v>1000</v>
      </c>
      <c r="AV84" s="54">
        <f t="shared" si="117"/>
        <v>897</v>
      </c>
      <c r="AW84" s="55"/>
      <c r="AX84" s="55"/>
      <c r="AY84" s="101"/>
      <c r="AZ84" s="102"/>
      <c r="BA84" s="103">
        <v>1</v>
      </c>
      <c r="BB84" s="62"/>
      <c r="BC84" s="64">
        <v>80</v>
      </c>
      <c r="BD84" s="64" t="s">
        <v>59</v>
      </c>
      <c r="BE84" s="64"/>
      <c r="BF84" s="64">
        <v>105</v>
      </c>
      <c r="BG84" s="64"/>
      <c r="BH84" s="102"/>
      <c r="BI84" s="182"/>
      <c r="BJ84" s="182" t="e">
        <f>VLOOKUP(AT84,'Summary-output-ULS'!$B:$H,7,0)</f>
        <v>#N/A</v>
      </c>
      <c r="BK84" s="182" t="e">
        <f>-VLOOKUP(AT84,'Summary-output-ULS'!$B:$H,5,0)</f>
        <v>#N/A</v>
      </c>
      <c r="BL84" s="182" t="e">
        <f>VLOOKUP(AT84,'Summary-output-SLS'!$B:$H,5,0)</f>
        <v>#N/A</v>
      </c>
      <c r="BM84" s="182" t="e">
        <f>VLOOKUP(AT84,'Summary-output-SLS'!$B:$H,6,0)</f>
        <v>#N/A</v>
      </c>
      <c r="BN84" s="182" t="e">
        <f>VLOOKUP(AT84,'Summary-output-SLS'!$B:$H,6,0)</f>
        <v>#N/A</v>
      </c>
      <c r="BO84" s="64"/>
      <c r="BP84" s="182" t="e">
        <f>VLOOKUP(AT84,'Summary-output-ULS'!$B:$H,4,0)</f>
        <v>#N/A</v>
      </c>
      <c r="BR84" s="174" t="e">
        <f t="shared" si="118"/>
        <v>#N/A</v>
      </c>
      <c r="BS84" s="175"/>
      <c r="BT84" s="176"/>
      <c r="BV84" s="188"/>
      <c r="BW84" s="188"/>
      <c r="BX84" s="188"/>
      <c r="BY84" s="188"/>
    </row>
    <row r="85" spans="1:93" x14ac:dyDescent="0.25">
      <c r="A85" s="184">
        <f t="shared" si="89"/>
        <v>94</v>
      </c>
      <c r="B85" s="151" t="str">
        <f>VLOOKUP(A85,'Summary-input'!A:B,2,0)</f>
        <v>BASE</v>
      </c>
      <c r="C85" s="179">
        <v>103</v>
      </c>
      <c r="D85" s="75"/>
      <c r="E85" s="147"/>
      <c r="F85" s="152" t="e">
        <f t="shared" si="28"/>
        <v>#N/A</v>
      </c>
      <c r="G85" s="76" t="e">
        <f t="shared" si="29"/>
        <v>#N/A</v>
      </c>
      <c r="H85" s="155" t="e">
        <f t="shared" si="30"/>
        <v>#N/A</v>
      </c>
      <c r="I85" s="152">
        <f t="shared" si="31"/>
        <v>1000</v>
      </c>
      <c r="J85" s="149" t="str">
        <f t="shared" si="32"/>
        <v>H</v>
      </c>
      <c r="K85" s="148">
        <v>40</v>
      </c>
      <c r="L85" s="75" t="str">
        <f t="shared" si="90"/>
        <v/>
      </c>
      <c r="M85" s="75" t="str">
        <f t="shared" si="91"/>
        <v/>
      </c>
      <c r="N85" s="148"/>
      <c r="O85" s="75" t="str">
        <f t="shared" si="92"/>
        <v/>
      </c>
      <c r="P85" s="148"/>
      <c r="Q85" s="75" t="str">
        <f t="shared" si="93"/>
        <v/>
      </c>
      <c r="R85" s="153">
        <v>0</v>
      </c>
      <c r="S85" s="76">
        <f t="shared" si="94"/>
        <v>4188.7902047863909</v>
      </c>
      <c r="T85" s="75" t="str">
        <f t="shared" si="95"/>
        <v/>
      </c>
      <c r="U85" s="76">
        <f t="shared" si="96"/>
        <v>0</v>
      </c>
      <c r="V85" s="75" t="str">
        <f t="shared" si="97"/>
        <v/>
      </c>
      <c r="W85" s="76">
        <f t="shared" si="98"/>
        <v>0</v>
      </c>
      <c r="X85" s="75" t="s">
        <v>22</v>
      </c>
      <c r="Y85" s="154">
        <f t="shared" si="99"/>
        <v>4188.7902047863909</v>
      </c>
      <c r="Z85" s="76">
        <f t="shared" si="100"/>
        <v>897</v>
      </c>
      <c r="AA85" s="151">
        <f t="shared" si="101"/>
        <v>0</v>
      </c>
      <c r="AB85" s="151">
        <f t="shared" si="102"/>
        <v>0</v>
      </c>
      <c r="AC85" s="76">
        <f t="shared" si="103"/>
        <v>897</v>
      </c>
      <c r="AD85" s="177" t="e">
        <f t="shared" si="104"/>
        <v>#N/A</v>
      </c>
      <c r="AE85" s="136">
        <f t="shared" si="105"/>
        <v>0.46697772628610817</v>
      </c>
      <c r="AF85" s="178" t="s">
        <v>43</v>
      </c>
      <c r="AG85" s="84">
        <f t="shared" si="106"/>
        <v>0.43513878646531268</v>
      </c>
      <c r="AH85" s="178" t="e">
        <f t="shared" si="107"/>
        <v>#N/A</v>
      </c>
      <c r="AI85" s="76">
        <f t="shared" si="108"/>
        <v>897000</v>
      </c>
      <c r="AJ85" s="156" t="e">
        <f t="shared" si="109"/>
        <v>#N/A</v>
      </c>
      <c r="AK85" s="75" t="e">
        <f t="shared" si="17"/>
        <v>#N/A</v>
      </c>
      <c r="AL85" s="150" t="e">
        <f t="shared" si="110"/>
        <v>#N/A</v>
      </c>
      <c r="AM85" s="149" t="e">
        <f t="shared" si="33"/>
        <v>#N/A</v>
      </c>
      <c r="AN85" s="76" t="e">
        <f t="shared" si="111"/>
        <v>#N/A</v>
      </c>
      <c r="AO85" s="75" t="e">
        <f t="shared" si="112"/>
        <v>#N/A</v>
      </c>
      <c r="AP85" s="76" t="e">
        <f t="shared" si="113"/>
        <v>#N/A</v>
      </c>
      <c r="AQ85" s="154" t="e">
        <f t="shared" si="114"/>
        <v>#N/A</v>
      </c>
      <c r="AR85" s="150" t="e">
        <f t="shared" si="115"/>
        <v>#N/A</v>
      </c>
      <c r="AS85" s="180" t="e">
        <f t="shared" si="116"/>
        <v>#N/A</v>
      </c>
      <c r="AT85" s="17">
        <v>94</v>
      </c>
      <c r="AU85" s="71">
        <f>VLOOKUP(AT85,'Summary-input'!A:D,4,0)</f>
        <v>1000</v>
      </c>
      <c r="AV85" s="54">
        <f t="shared" si="117"/>
        <v>897</v>
      </c>
      <c r="AW85" s="55"/>
      <c r="AX85" s="55"/>
      <c r="AY85" s="101"/>
      <c r="AZ85" s="102"/>
      <c r="BA85" s="103">
        <v>1</v>
      </c>
      <c r="BB85" s="62"/>
      <c r="BC85" s="64">
        <v>80</v>
      </c>
      <c r="BD85" s="64" t="s">
        <v>59</v>
      </c>
      <c r="BE85" s="64"/>
      <c r="BF85" s="64">
        <v>105</v>
      </c>
      <c r="BG85" s="64"/>
      <c r="BH85" s="102"/>
      <c r="BI85" s="182"/>
      <c r="BJ85" s="182" t="e">
        <f>VLOOKUP(AT85,'Summary-output-ULS'!$B:$H,7,0)</f>
        <v>#N/A</v>
      </c>
      <c r="BK85" s="182" t="e">
        <f>-VLOOKUP(AT85,'Summary-output-ULS'!$B:$H,5,0)</f>
        <v>#N/A</v>
      </c>
      <c r="BL85" s="182" t="e">
        <f>VLOOKUP(AT85,'Summary-output-SLS'!$B:$H,5,0)</f>
        <v>#N/A</v>
      </c>
      <c r="BM85" s="182" t="e">
        <f>VLOOKUP(AT85,'Summary-output-SLS'!$B:$H,6,0)</f>
        <v>#N/A</v>
      </c>
      <c r="BN85" s="182" t="e">
        <f>VLOOKUP(AT85,'Summary-output-SLS'!$B:$H,6,0)</f>
        <v>#N/A</v>
      </c>
      <c r="BO85" s="64"/>
      <c r="BP85" s="182" t="e">
        <f>VLOOKUP(AT85,'Summary-output-ULS'!$B:$H,4,0)</f>
        <v>#N/A</v>
      </c>
      <c r="BR85" s="174" t="e">
        <f t="shared" si="118"/>
        <v>#N/A</v>
      </c>
      <c r="BS85" s="175"/>
      <c r="BT85" s="176"/>
      <c r="BV85" s="188"/>
      <c r="BW85" s="188"/>
      <c r="BX85" s="188"/>
      <c r="BY85" s="188"/>
    </row>
    <row r="86" spans="1:93" x14ac:dyDescent="0.25">
      <c r="A86" s="184">
        <f t="shared" si="89"/>
        <v>95</v>
      </c>
      <c r="B86" s="151" t="str">
        <f>VLOOKUP(A86,'Summary-input'!A:B,2,0)</f>
        <v>BASE</v>
      </c>
      <c r="C86" s="179">
        <v>103</v>
      </c>
      <c r="D86" s="75"/>
      <c r="E86" s="147"/>
      <c r="F86" s="152" t="e">
        <f t="shared" si="28"/>
        <v>#N/A</v>
      </c>
      <c r="G86" s="76" t="e">
        <f t="shared" si="29"/>
        <v>#N/A</v>
      </c>
      <c r="H86" s="155" t="e">
        <f t="shared" si="30"/>
        <v>#N/A</v>
      </c>
      <c r="I86" s="152">
        <f t="shared" si="31"/>
        <v>1000</v>
      </c>
      <c r="J86" s="149" t="str">
        <f t="shared" si="32"/>
        <v>H</v>
      </c>
      <c r="K86" s="148">
        <v>40</v>
      </c>
      <c r="L86" s="75" t="str">
        <f t="shared" si="90"/>
        <v/>
      </c>
      <c r="M86" s="75" t="str">
        <f t="shared" si="91"/>
        <v/>
      </c>
      <c r="N86" s="148"/>
      <c r="O86" s="75" t="str">
        <f t="shared" si="92"/>
        <v/>
      </c>
      <c r="P86" s="148"/>
      <c r="Q86" s="75" t="str">
        <f t="shared" si="93"/>
        <v/>
      </c>
      <c r="R86" s="153">
        <v>0</v>
      </c>
      <c r="S86" s="76">
        <f t="shared" si="94"/>
        <v>4188.7902047863909</v>
      </c>
      <c r="T86" s="75" t="str">
        <f t="shared" si="95"/>
        <v/>
      </c>
      <c r="U86" s="76">
        <f t="shared" si="96"/>
        <v>0</v>
      </c>
      <c r="V86" s="75" t="str">
        <f t="shared" si="97"/>
        <v/>
      </c>
      <c r="W86" s="76">
        <f t="shared" si="98"/>
        <v>0</v>
      </c>
      <c r="X86" s="75" t="s">
        <v>22</v>
      </c>
      <c r="Y86" s="154">
        <f t="shared" si="99"/>
        <v>4188.7902047863909</v>
      </c>
      <c r="Z86" s="76">
        <f t="shared" si="100"/>
        <v>897</v>
      </c>
      <c r="AA86" s="151">
        <f t="shared" si="101"/>
        <v>0</v>
      </c>
      <c r="AB86" s="151">
        <f t="shared" si="102"/>
        <v>0</v>
      </c>
      <c r="AC86" s="76">
        <f t="shared" si="103"/>
        <v>897</v>
      </c>
      <c r="AD86" s="177" t="e">
        <f t="shared" si="104"/>
        <v>#N/A</v>
      </c>
      <c r="AE86" s="136">
        <f t="shared" si="105"/>
        <v>0.46697772628610817</v>
      </c>
      <c r="AF86" s="178" t="s">
        <v>43</v>
      </c>
      <c r="AG86" s="84">
        <f t="shared" si="106"/>
        <v>0.43513878646531268</v>
      </c>
      <c r="AH86" s="178" t="e">
        <f t="shared" si="107"/>
        <v>#N/A</v>
      </c>
      <c r="AI86" s="76">
        <f t="shared" si="108"/>
        <v>897000</v>
      </c>
      <c r="AJ86" s="156" t="e">
        <f t="shared" si="109"/>
        <v>#N/A</v>
      </c>
      <c r="AK86" s="75" t="e">
        <f t="shared" si="17"/>
        <v>#N/A</v>
      </c>
      <c r="AL86" s="150" t="e">
        <f t="shared" si="110"/>
        <v>#N/A</v>
      </c>
      <c r="AM86" s="149" t="e">
        <f t="shared" si="33"/>
        <v>#N/A</v>
      </c>
      <c r="AN86" s="76" t="e">
        <f t="shared" si="111"/>
        <v>#N/A</v>
      </c>
      <c r="AO86" s="75" t="e">
        <f t="shared" si="112"/>
        <v>#N/A</v>
      </c>
      <c r="AP86" s="76" t="e">
        <f t="shared" si="113"/>
        <v>#N/A</v>
      </c>
      <c r="AQ86" s="154" t="e">
        <f t="shared" si="114"/>
        <v>#N/A</v>
      </c>
      <c r="AR86" s="150" t="e">
        <f t="shared" si="115"/>
        <v>#N/A</v>
      </c>
      <c r="AS86" s="180" t="e">
        <f t="shared" si="116"/>
        <v>#N/A</v>
      </c>
      <c r="AT86" s="17">
        <v>95</v>
      </c>
      <c r="AU86" s="71">
        <f>VLOOKUP(AT86,'Summary-input'!A:D,4,0)</f>
        <v>1000</v>
      </c>
      <c r="AV86" s="54">
        <f t="shared" si="117"/>
        <v>897</v>
      </c>
      <c r="AW86" s="55"/>
      <c r="AX86" s="55"/>
      <c r="AY86" s="101"/>
      <c r="AZ86" s="102"/>
      <c r="BA86" s="103">
        <v>1</v>
      </c>
      <c r="BB86" s="62"/>
      <c r="BC86" s="64">
        <v>80</v>
      </c>
      <c r="BD86" s="64" t="s">
        <v>59</v>
      </c>
      <c r="BE86" s="64"/>
      <c r="BF86" s="64">
        <v>105</v>
      </c>
      <c r="BG86" s="64"/>
      <c r="BH86" s="102"/>
      <c r="BI86" s="182"/>
      <c r="BJ86" s="182" t="e">
        <f>VLOOKUP(AT86,'Summary-output-ULS'!$B:$H,7,0)</f>
        <v>#N/A</v>
      </c>
      <c r="BK86" s="182" t="e">
        <f>-VLOOKUP(AT86,'Summary-output-ULS'!$B:$H,5,0)</f>
        <v>#N/A</v>
      </c>
      <c r="BL86" s="182" t="e">
        <f>VLOOKUP(AT86,'Summary-output-SLS'!$B:$H,5,0)</f>
        <v>#N/A</v>
      </c>
      <c r="BM86" s="182" t="e">
        <f>VLOOKUP(AT86,'Summary-output-SLS'!$B:$H,6,0)</f>
        <v>#N/A</v>
      </c>
      <c r="BN86" s="182" t="e">
        <f>VLOOKUP(AT86,'Summary-output-SLS'!$B:$H,6,0)</f>
        <v>#N/A</v>
      </c>
      <c r="BO86" s="64"/>
      <c r="BP86" s="182" t="e">
        <f>VLOOKUP(AT86,'Summary-output-ULS'!$B:$H,4,0)</f>
        <v>#N/A</v>
      </c>
      <c r="BR86" s="174" t="e">
        <f t="shared" si="118"/>
        <v>#N/A</v>
      </c>
      <c r="BS86" s="175"/>
      <c r="BT86" s="176"/>
      <c r="BV86" s="188"/>
      <c r="BW86" s="188"/>
      <c r="BX86" s="188"/>
      <c r="BY86" s="188"/>
    </row>
    <row r="87" spans="1:93" x14ac:dyDescent="0.25">
      <c r="A87" s="184">
        <f t="shared" si="89"/>
        <v>96</v>
      </c>
      <c r="B87" s="151" t="str">
        <f>VLOOKUP(A87,'Summary-input'!A:B,2,0)</f>
        <v>BASE</v>
      </c>
      <c r="C87" s="179">
        <v>103</v>
      </c>
      <c r="D87" s="75"/>
      <c r="E87" s="147"/>
      <c r="F87" s="152" t="e">
        <f t="shared" si="28"/>
        <v>#N/A</v>
      </c>
      <c r="G87" s="76" t="e">
        <f t="shared" si="29"/>
        <v>#N/A</v>
      </c>
      <c r="H87" s="155" t="e">
        <f t="shared" si="30"/>
        <v>#N/A</v>
      </c>
      <c r="I87" s="152">
        <f t="shared" si="31"/>
        <v>1000</v>
      </c>
      <c r="J87" s="149" t="str">
        <f t="shared" si="32"/>
        <v>H</v>
      </c>
      <c r="K87" s="148">
        <v>40</v>
      </c>
      <c r="L87" s="75" t="str">
        <f t="shared" si="90"/>
        <v/>
      </c>
      <c r="M87" s="75" t="str">
        <f t="shared" si="91"/>
        <v/>
      </c>
      <c r="N87" s="148"/>
      <c r="O87" s="75" t="str">
        <f t="shared" si="92"/>
        <v/>
      </c>
      <c r="P87" s="148"/>
      <c r="Q87" s="75" t="str">
        <f t="shared" si="93"/>
        <v/>
      </c>
      <c r="R87" s="153">
        <v>0</v>
      </c>
      <c r="S87" s="76">
        <f t="shared" si="94"/>
        <v>4188.7902047863909</v>
      </c>
      <c r="T87" s="75" t="str">
        <f t="shared" si="95"/>
        <v/>
      </c>
      <c r="U87" s="76">
        <f t="shared" si="96"/>
        <v>0</v>
      </c>
      <c r="V87" s="75" t="str">
        <f t="shared" si="97"/>
        <v/>
      </c>
      <c r="W87" s="76">
        <f t="shared" si="98"/>
        <v>0</v>
      </c>
      <c r="X87" s="75" t="s">
        <v>22</v>
      </c>
      <c r="Y87" s="154">
        <f t="shared" si="99"/>
        <v>4188.7902047863909</v>
      </c>
      <c r="Z87" s="76">
        <f t="shared" si="100"/>
        <v>897</v>
      </c>
      <c r="AA87" s="151">
        <f t="shared" si="101"/>
        <v>0</v>
      </c>
      <c r="AB87" s="151">
        <f t="shared" si="102"/>
        <v>0</v>
      </c>
      <c r="AC87" s="76">
        <f t="shared" si="103"/>
        <v>897</v>
      </c>
      <c r="AD87" s="177" t="e">
        <f t="shared" si="104"/>
        <v>#N/A</v>
      </c>
      <c r="AE87" s="136">
        <f t="shared" si="105"/>
        <v>0.46697772628610817</v>
      </c>
      <c r="AF87" s="178" t="s">
        <v>43</v>
      </c>
      <c r="AG87" s="84">
        <f t="shared" si="106"/>
        <v>0.43513878646531268</v>
      </c>
      <c r="AH87" s="178" t="e">
        <f t="shared" si="107"/>
        <v>#N/A</v>
      </c>
      <c r="AI87" s="76">
        <f t="shared" si="108"/>
        <v>897000</v>
      </c>
      <c r="AJ87" s="156" t="e">
        <f t="shared" si="109"/>
        <v>#N/A</v>
      </c>
      <c r="AK87" s="75" t="e">
        <f t="shared" si="17"/>
        <v>#N/A</v>
      </c>
      <c r="AL87" s="150" t="e">
        <f t="shared" si="110"/>
        <v>#N/A</v>
      </c>
      <c r="AM87" s="149" t="e">
        <f t="shared" si="33"/>
        <v>#N/A</v>
      </c>
      <c r="AN87" s="76" t="e">
        <f t="shared" si="111"/>
        <v>#N/A</v>
      </c>
      <c r="AO87" s="75" t="e">
        <f t="shared" si="112"/>
        <v>#N/A</v>
      </c>
      <c r="AP87" s="76" t="e">
        <f t="shared" si="113"/>
        <v>#N/A</v>
      </c>
      <c r="AQ87" s="154" t="e">
        <f t="shared" si="114"/>
        <v>#N/A</v>
      </c>
      <c r="AR87" s="150" t="e">
        <f t="shared" si="115"/>
        <v>#N/A</v>
      </c>
      <c r="AS87" s="180" t="e">
        <f t="shared" si="116"/>
        <v>#N/A</v>
      </c>
      <c r="AT87" s="17">
        <v>96</v>
      </c>
      <c r="AU87" s="71">
        <f>VLOOKUP(AT87,'Summary-input'!A:D,4,0)</f>
        <v>1000</v>
      </c>
      <c r="AV87" s="54">
        <f t="shared" si="117"/>
        <v>897</v>
      </c>
      <c r="AW87" s="55"/>
      <c r="AX87" s="55"/>
      <c r="AY87" s="101"/>
      <c r="AZ87" s="102"/>
      <c r="BA87" s="103">
        <v>1</v>
      </c>
      <c r="BB87" s="62"/>
      <c r="BC87" s="64">
        <v>80</v>
      </c>
      <c r="BD87" s="64" t="s">
        <v>59</v>
      </c>
      <c r="BE87" s="64"/>
      <c r="BF87" s="64">
        <v>105</v>
      </c>
      <c r="BG87" s="64"/>
      <c r="BH87" s="102"/>
      <c r="BI87" s="182"/>
      <c r="BJ87" s="182" t="e">
        <f>VLOOKUP(AT87,'Summary-output-ULS'!$B:$H,7,0)</f>
        <v>#N/A</v>
      </c>
      <c r="BK87" s="182" t="e">
        <f>-VLOOKUP(AT87,'Summary-output-ULS'!$B:$H,5,0)</f>
        <v>#N/A</v>
      </c>
      <c r="BL87" s="182" t="e">
        <f>VLOOKUP(AT87,'Summary-output-SLS'!$B:$H,5,0)</f>
        <v>#N/A</v>
      </c>
      <c r="BM87" s="182" t="e">
        <f>VLOOKUP(AT87,'Summary-output-SLS'!$B:$H,6,0)</f>
        <v>#N/A</v>
      </c>
      <c r="BN87" s="182" t="e">
        <f>VLOOKUP(AT87,'Summary-output-SLS'!$B:$H,6,0)</f>
        <v>#N/A</v>
      </c>
      <c r="BO87" s="64"/>
      <c r="BP87" s="182" t="e">
        <f>VLOOKUP(AT87,'Summary-output-ULS'!$B:$H,4,0)</f>
        <v>#N/A</v>
      </c>
      <c r="BR87" s="174" t="e">
        <f t="shared" si="118"/>
        <v>#N/A</v>
      </c>
      <c r="BS87" s="175"/>
      <c r="BT87" s="176"/>
      <c r="BV87" s="188"/>
      <c r="BW87" s="188"/>
      <c r="BX87" s="188"/>
      <c r="BY87" s="188"/>
    </row>
    <row r="88" spans="1:93" x14ac:dyDescent="0.25">
      <c r="A88" s="184">
        <f t="shared" si="89"/>
        <v>97</v>
      </c>
      <c r="B88" s="151" t="str">
        <f>VLOOKUP(A88,'Summary-input'!A:B,2,0)</f>
        <v>BASE</v>
      </c>
      <c r="C88" s="179">
        <v>103</v>
      </c>
      <c r="D88" s="75"/>
      <c r="E88" s="147"/>
      <c r="F88" s="152" t="e">
        <f t="shared" si="28"/>
        <v>#N/A</v>
      </c>
      <c r="G88" s="76" t="e">
        <f t="shared" si="29"/>
        <v>#N/A</v>
      </c>
      <c r="H88" s="155" t="e">
        <f t="shared" si="30"/>
        <v>#N/A</v>
      </c>
      <c r="I88" s="152">
        <f t="shared" si="31"/>
        <v>1000</v>
      </c>
      <c r="J88" s="149" t="str">
        <f t="shared" si="32"/>
        <v>H</v>
      </c>
      <c r="K88" s="148">
        <v>40</v>
      </c>
      <c r="L88" s="75" t="str">
        <f t="shared" si="90"/>
        <v/>
      </c>
      <c r="M88" s="75" t="str">
        <f t="shared" si="91"/>
        <v/>
      </c>
      <c r="N88" s="148"/>
      <c r="O88" s="75" t="str">
        <f t="shared" si="92"/>
        <v/>
      </c>
      <c r="P88" s="148"/>
      <c r="Q88" s="75" t="str">
        <f t="shared" si="93"/>
        <v/>
      </c>
      <c r="R88" s="153">
        <v>0</v>
      </c>
      <c r="S88" s="76">
        <f t="shared" si="94"/>
        <v>4188.7902047863909</v>
      </c>
      <c r="T88" s="75" t="str">
        <f t="shared" si="95"/>
        <v/>
      </c>
      <c r="U88" s="76">
        <f t="shared" si="96"/>
        <v>0</v>
      </c>
      <c r="V88" s="75" t="str">
        <f t="shared" si="97"/>
        <v/>
      </c>
      <c r="W88" s="76">
        <f t="shared" si="98"/>
        <v>0</v>
      </c>
      <c r="X88" s="75" t="s">
        <v>22</v>
      </c>
      <c r="Y88" s="154">
        <f t="shared" si="99"/>
        <v>4188.7902047863909</v>
      </c>
      <c r="Z88" s="76">
        <f t="shared" si="100"/>
        <v>897</v>
      </c>
      <c r="AA88" s="151">
        <f t="shared" si="101"/>
        <v>0</v>
      </c>
      <c r="AB88" s="151">
        <f t="shared" si="102"/>
        <v>0</v>
      </c>
      <c r="AC88" s="76">
        <f t="shared" si="103"/>
        <v>897</v>
      </c>
      <c r="AD88" s="177" t="e">
        <f t="shared" si="104"/>
        <v>#N/A</v>
      </c>
      <c r="AE88" s="136">
        <f t="shared" si="105"/>
        <v>0.46697772628610817</v>
      </c>
      <c r="AF88" s="178" t="s">
        <v>43</v>
      </c>
      <c r="AG88" s="84">
        <f t="shared" si="106"/>
        <v>0.43513878646531268</v>
      </c>
      <c r="AH88" s="178" t="e">
        <f t="shared" si="107"/>
        <v>#N/A</v>
      </c>
      <c r="AI88" s="76">
        <f t="shared" si="108"/>
        <v>897000</v>
      </c>
      <c r="AJ88" s="156" t="e">
        <f t="shared" si="109"/>
        <v>#N/A</v>
      </c>
      <c r="AK88" s="75" t="e">
        <f t="shared" si="17"/>
        <v>#N/A</v>
      </c>
      <c r="AL88" s="150" t="e">
        <f t="shared" si="110"/>
        <v>#N/A</v>
      </c>
      <c r="AM88" s="149" t="e">
        <f t="shared" si="33"/>
        <v>#N/A</v>
      </c>
      <c r="AN88" s="76" t="e">
        <f t="shared" si="111"/>
        <v>#N/A</v>
      </c>
      <c r="AO88" s="75" t="e">
        <f t="shared" si="112"/>
        <v>#N/A</v>
      </c>
      <c r="AP88" s="76" t="e">
        <f t="shared" si="113"/>
        <v>#N/A</v>
      </c>
      <c r="AQ88" s="154" t="e">
        <f t="shared" si="114"/>
        <v>#N/A</v>
      </c>
      <c r="AR88" s="150" t="e">
        <f t="shared" si="115"/>
        <v>#N/A</v>
      </c>
      <c r="AS88" s="180" t="e">
        <f t="shared" si="116"/>
        <v>#N/A</v>
      </c>
      <c r="AT88" s="17">
        <v>97</v>
      </c>
      <c r="AU88" s="71">
        <f>VLOOKUP(AT88,'Summary-input'!A:D,4,0)</f>
        <v>1000</v>
      </c>
      <c r="AV88" s="54">
        <f t="shared" si="117"/>
        <v>897</v>
      </c>
      <c r="AW88" s="55"/>
      <c r="AX88" s="55"/>
      <c r="AY88" s="101"/>
      <c r="AZ88" s="102"/>
      <c r="BA88" s="103">
        <v>1</v>
      </c>
      <c r="BB88" s="62"/>
      <c r="BC88" s="64">
        <v>80</v>
      </c>
      <c r="BD88" s="64" t="s">
        <v>59</v>
      </c>
      <c r="BE88" s="64"/>
      <c r="BF88" s="64">
        <v>105</v>
      </c>
      <c r="BG88" s="64"/>
      <c r="BH88" s="102"/>
      <c r="BI88" s="182"/>
      <c r="BJ88" s="182" t="e">
        <f>VLOOKUP(AT88,'Summary-output-ULS'!$B:$H,7,0)</f>
        <v>#N/A</v>
      </c>
      <c r="BK88" s="182" t="e">
        <f>-VLOOKUP(AT88,'Summary-output-ULS'!$B:$H,5,0)</f>
        <v>#N/A</v>
      </c>
      <c r="BL88" s="182" t="e">
        <f>VLOOKUP(AT88,'Summary-output-SLS'!$B:$H,5,0)</f>
        <v>#N/A</v>
      </c>
      <c r="BM88" s="182" t="e">
        <f>VLOOKUP(AT88,'Summary-output-SLS'!$B:$H,6,0)</f>
        <v>#N/A</v>
      </c>
      <c r="BN88" s="182" t="e">
        <f>VLOOKUP(AT88,'Summary-output-SLS'!$B:$H,6,0)</f>
        <v>#N/A</v>
      </c>
      <c r="BO88" s="64"/>
      <c r="BP88" s="182" t="e">
        <f>VLOOKUP(AT88,'Summary-output-ULS'!$B:$H,4,0)</f>
        <v>#N/A</v>
      </c>
      <c r="BR88" s="174" t="e">
        <f t="shared" si="118"/>
        <v>#N/A</v>
      </c>
      <c r="BS88" s="175"/>
      <c r="BT88" s="176"/>
      <c r="BV88" s="188"/>
      <c r="BW88" s="188"/>
      <c r="BX88" s="188"/>
      <c r="BY88" s="188"/>
    </row>
    <row r="89" spans="1:93" x14ac:dyDescent="0.25">
      <c r="A89" s="184">
        <f t="shared" si="89"/>
        <v>98</v>
      </c>
      <c r="B89" s="151" t="str">
        <f>VLOOKUP(A89,'Summary-input'!A:B,2,0)</f>
        <v>BASE</v>
      </c>
      <c r="C89" s="179">
        <v>103</v>
      </c>
      <c r="D89" s="75"/>
      <c r="E89" s="147"/>
      <c r="F89" s="152" t="e">
        <f t="shared" si="28"/>
        <v>#N/A</v>
      </c>
      <c r="G89" s="76" t="e">
        <f t="shared" si="29"/>
        <v>#N/A</v>
      </c>
      <c r="H89" s="155" t="e">
        <f t="shared" si="30"/>
        <v>#N/A</v>
      </c>
      <c r="I89" s="152">
        <f t="shared" si="31"/>
        <v>1000</v>
      </c>
      <c r="J89" s="149" t="str">
        <f t="shared" si="32"/>
        <v>H</v>
      </c>
      <c r="K89" s="148">
        <v>40</v>
      </c>
      <c r="L89" s="75" t="str">
        <f t="shared" si="90"/>
        <v/>
      </c>
      <c r="M89" s="75" t="str">
        <f t="shared" si="91"/>
        <v/>
      </c>
      <c r="N89" s="148"/>
      <c r="O89" s="75" t="str">
        <f t="shared" si="92"/>
        <v/>
      </c>
      <c r="P89" s="148"/>
      <c r="Q89" s="75" t="str">
        <f t="shared" si="93"/>
        <v/>
      </c>
      <c r="R89" s="153">
        <v>0</v>
      </c>
      <c r="S89" s="76">
        <f t="shared" si="94"/>
        <v>4188.7902047863909</v>
      </c>
      <c r="T89" s="75" t="str">
        <f t="shared" si="95"/>
        <v/>
      </c>
      <c r="U89" s="76">
        <f t="shared" si="96"/>
        <v>0</v>
      </c>
      <c r="V89" s="75" t="str">
        <f t="shared" si="97"/>
        <v/>
      </c>
      <c r="W89" s="76">
        <f t="shared" si="98"/>
        <v>0</v>
      </c>
      <c r="X89" s="75" t="s">
        <v>22</v>
      </c>
      <c r="Y89" s="154">
        <f t="shared" si="99"/>
        <v>4188.7902047863909</v>
      </c>
      <c r="Z89" s="76">
        <f t="shared" si="100"/>
        <v>897</v>
      </c>
      <c r="AA89" s="151">
        <f t="shared" si="101"/>
        <v>0</v>
      </c>
      <c r="AB89" s="151">
        <f t="shared" si="102"/>
        <v>0</v>
      </c>
      <c r="AC89" s="76">
        <f t="shared" si="103"/>
        <v>897</v>
      </c>
      <c r="AD89" s="177" t="e">
        <f t="shared" si="104"/>
        <v>#N/A</v>
      </c>
      <c r="AE89" s="136">
        <f t="shared" si="105"/>
        <v>0.46697772628610817</v>
      </c>
      <c r="AF89" s="178" t="s">
        <v>43</v>
      </c>
      <c r="AG89" s="84">
        <f t="shared" si="106"/>
        <v>0.43513878646531268</v>
      </c>
      <c r="AH89" s="178" t="e">
        <f t="shared" si="107"/>
        <v>#N/A</v>
      </c>
      <c r="AI89" s="76">
        <f t="shared" si="108"/>
        <v>897000</v>
      </c>
      <c r="AJ89" s="156" t="e">
        <f t="shared" si="109"/>
        <v>#N/A</v>
      </c>
      <c r="AK89" s="75" t="e">
        <f t="shared" si="17"/>
        <v>#N/A</v>
      </c>
      <c r="AL89" s="150" t="e">
        <f t="shared" si="110"/>
        <v>#N/A</v>
      </c>
      <c r="AM89" s="149" t="e">
        <f t="shared" si="33"/>
        <v>#N/A</v>
      </c>
      <c r="AN89" s="76" t="e">
        <f t="shared" si="111"/>
        <v>#N/A</v>
      </c>
      <c r="AO89" s="75" t="e">
        <f t="shared" si="112"/>
        <v>#N/A</v>
      </c>
      <c r="AP89" s="76" t="e">
        <f t="shared" si="113"/>
        <v>#N/A</v>
      </c>
      <c r="AQ89" s="154" t="e">
        <f t="shared" si="114"/>
        <v>#N/A</v>
      </c>
      <c r="AR89" s="150" t="e">
        <f t="shared" si="115"/>
        <v>#N/A</v>
      </c>
      <c r="AS89" s="180" t="e">
        <f t="shared" si="116"/>
        <v>#N/A</v>
      </c>
      <c r="AT89" s="17">
        <v>98</v>
      </c>
      <c r="AU89" s="71">
        <f>VLOOKUP(AT89,'Summary-input'!A:D,4,0)</f>
        <v>1000</v>
      </c>
      <c r="AV89" s="54">
        <f t="shared" si="117"/>
        <v>897</v>
      </c>
      <c r="AW89" s="55"/>
      <c r="AX89" s="55"/>
      <c r="AY89" s="101"/>
      <c r="AZ89" s="102"/>
      <c r="BA89" s="103">
        <v>1</v>
      </c>
      <c r="BB89" s="62"/>
      <c r="BC89" s="64">
        <v>80</v>
      </c>
      <c r="BD89" s="64" t="s">
        <v>59</v>
      </c>
      <c r="BE89" s="64"/>
      <c r="BF89" s="64">
        <v>105</v>
      </c>
      <c r="BG89" s="64"/>
      <c r="BH89" s="102"/>
      <c r="BI89" s="182"/>
      <c r="BJ89" s="182" t="e">
        <f>VLOOKUP(AT89,'Summary-output-ULS'!$B:$H,7,0)</f>
        <v>#N/A</v>
      </c>
      <c r="BK89" s="182" t="e">
        <f>-VLOOKUP(AT89,'Summary-output-ULS'!$B:$H,5,0)</f>
        <v>#N/A</v>
      </c>
      <c r="BL89" s="182" t="e">
        <f>VLOOKUP(AT89,'Summary-output-SLS'!$B:$H,5,0)</f>
        <v>#N/A</v>
      </c>
      <c r="BM89" s="182" t="e">
        <f>VLOOKUP(AT89,'Summary-output-SLS'!$B:$H,6,0)</f>
        <v>#N/A</v>
      </c>
      <c r="BN89" s="182" t="e">
        <f>VLOOKUP(AT89,'Summary-output-SLS'!$B:$H,6,0)</f>
        <v>#N/A</v>
      </c>
      <c r="BO89" s="64"/>
      <c r="BP89" s="182" t="e">
        <f>VLOOKUP(AT89,'Summary-output-ULS'!$B:$H,4,0)</f>
        <v>#N/A</v>
      </c>
      <c r="BR89" s="174" t="e">
        <f t="shared" si="118"/>
        <v>#N/A</v>
      </c>
      <c r="BS89" s="175"/>
      <c r="BT89" s="176"/>
      <c r="BV89" s="188"/>
      <c r="BW89" s="188"/>
      <c r="BX89" s="188"/>
      <c r="BY89" s="188"/>
    </row>
    <row r="90" spans="1:93" x14ac:dyDescent="0.25">
      <c r="A90" s="184">
        <f t="shared" si="89"/>
        <v>99</v>
      </c>
      <c r="B90" s="151" t="str">
        <f>VLOOKUP(A90,'Summary-input'!A:B,2,0)</f>
        <v>BASE</v>
      </c>
      <c r="C90" s="179">
        <v>103</v>
      </c>
      <c r="D90" s="75"/>
      <c r="E90" s="147"/>
      <c r="F90" s="152" t="e">
        <f t="shared" si="28"/>
        <v>#N/A</v>
      </c>
      <c r="G90" s="76" t="e">
        <f t="shared" si="29"/>
        <v>#N/A</v>
      </c>
      <c r="H90" s="155" t="e">
        <f t="shared" si="30"/>
        <v>#N/A</v>
      </c>
      <c r="I90" s="152">
        <f t="shared" si="31"/>
        <v>1000</v>
      </c>
      <c r="J90" s="149" t="str">
        <f t="shared" si="32"/>
        <v>H</v>
      </c>
      <c r="K90" s="148">
        <v>40</v>
      </c>
      <c r="L90" s="75" t="str">
        <f t="shared" si="90"/>
        <v/>
      </c>
      <c r="M90" s="75" t="str">
        <f t="shared" si="91"/>
        <v/>
      </c>
      <c r="N90" s="148"/>
      <c r="O90" s="75" t="str">
        <f t="shared" si="92"/>
        <v/>
      </c>
      <c r="P90" s="148"/>
      <c r="Q90" s="75" t="str">
        <f t="shared" si="93"/>
        <v/>
      </c>
      <c r="R90" s="153">
        <v>0</v>
      </c>
      <c r="S90" s="76">
        <f t="shared" si="94"/>
        <v>4188.7902047863909</v>
      </c>
      <c r="T90" s="75" t="str">
        <f t="shared" si="95"/>
        <v/>
      </c>
      <c r="U90" s="76">
        <f t="shared" si="96"/>
        <v>0</v>
      </c>
      <c r="V90" s="75" t="str">
        <f t="shared" si="97"/>
        <v/>
      </c>
      <c r="W90" s="76">
        <f t="shared" si="98"/>
        <v>0</v>
      </c>
      <c r="X90" s="75" t="s">
        <v>22</v>
      </c>
      <c r="Y90" s="154">
        <f t="shared" si="99"/>
        <v>4188.7902047863909</v>
      </c>
      <c r="Z90" s="76">
        <f t="shared" si="100"/>
        <v>897</v>
      </c>
      <c r="AA90" s="151">
        <f t="shared" si="101"/>
        <v>0</v>
      </c>
      <c r="AB90" s="151">
        <f t="shared" si="102"/>
        <v>0</v>
      </c>
      <c r="AC90" s="76">
        <f t="shared" si="103"/>
        <v>897</v>
      </c>
      <c r="AD90" s="177" t="e">
        <f t="shared" si="104"/>
        <v>#N/A</v>
      </c>
      <c r="AE90" s="136">
        <f t="shared" si="105"/>
        <v>0.46697772628610817</v>
      </c>
      <c r="AF90" s="178" t="s">
        <v>43</v>
      </c>
      <c r="AG90" s="84">
        <f t="shared" si="106"/>
        <v>0.43513878646531268</v>
      </c>
      <c r="AH90" s="178" t="e">
        <f t="shared" si="107"/>
        <v>#N/A</v>
      </c>
      <c r="AI90" s="76">
        <f t="shared" si="108"/>
        <v>897000</v>
      </c>
      <c r="AJ90" s="156" t="e">
        <f t="shared" si="109"/>
        <v>#N/A</v>
      </c>
      <c r="AK90" s="75" t="e">
        <f t="shared" ref="AK90" si="119">IF($AD90&lt;=$AJ90,"V ≤ Vc","V &gt; Vc")</f>
        <v>#N/A</v>
      </c>
      <c r="AL90" s="150" t="e">
        <f t="shared" si="110"/>
        <v>#N/A</v>
      </c>
      <c r="AM90" s="149" t="e">
        <f t="shared" si="33"/>
        <v>#N/A</v>
      </c>
      <c r="AN90" s="76" t="e">
        <f t="shared" si="111"/>
        <v>#N/A</v>
      </c>
      <c r="AO90" s="75" t="e">
        <f t="shared" si="112"/>
        <v>#N/A</v>
      </c>
      <c r="AP90" s="76" t="e">
        <f t="shared" si="113"/>
        <v>#N/A</v>
      </c>
      <c r="AQ90" s="154" t="e">
        <f t="shared" si="114"/>
        <v>#N/A</v>
      </c>
      <c r="AR90" s="150" t="e">
        <f t="shared" si="115"/>
        <v>#N/A</v>
      </c>
      <c r="AS90" s="180" t="e">
        <f t="shared" si="116"/>
        <v>#N/A</v>
      </c>
      <c r="AT90" s="17">
        <v>99</v>
      </c>
      <c r="AU90" s="71">
        <f>VLOOKUP(AT90,'Summary-input'!A:D,4,0)</f>
        <v>1000</v>
      </c>
      <c r="AV90" s="54">
        <f t="shared" si="117"/>
        <v>897</v>
      </c>
      <c r="AW90" s="55"/>
      <c r="AX90" s="55"/>
      <c r="AY90" s="101"/>
      <c r="AZ90" s="102"/>
      <c r="BA90" s="103">
        <v>1</v>
      </c>
      <c r="BB90" s="62"/>
      <c r="BC90" s="64">
        <v>80</v>
      </c>
      <c r="BD90" s="64" t="s">
        <v>59</v>
      </c>
      <c r="BE90" s="64"/>
      <c r="BF90" s="64">
        <v>105</v>
      </c>
      <c r="BG90" s="64"/>
      <c r="BH90" s="102"/>
      <c r="BI90" s="182"/>
      <c r="BJ90" s="182" t="e">
        <f>VLOOKUP(AT90,'Summary-output-ULS'!$B:$H,7,0)</f>
        <v>#N/A</v>
      </c>
      <c r="BK90" s="182" t="e">
        <f>-VLOOKUP(AT90,'Summary-output-ULS'!$B:$H,5,0)</f>
        <v>#N/A</v>
      </c>
      <c r="BL90" s="182" t="e">
        <f>VLOOKUP(AT90,'Summary-output-SLS'!$B:$H,5,0)</f>
        <v>#N/A</v>
      </c>
      <c r="BM90" s="182" t="e">
        <f>VLOOKUP(AT90,'Summary-output-SLS'!$B:$H,6,0)</f>
        <v>#N/A</v>
      </c>
      <c r="BN90" s="182" t="e">
        <f>VLOOKUP(AT90,'Summary-output-SLS'!$B:$H,6,0)</f>
        <v>#N/A</v>
      </c>
      <c r="BO90" s="64"/>
      <c r="BP90" s="182" t="e">
        <f>VLOOKUP(AT90,'Summary-output-ULS'!$B:$H,4,0)</f>
        <v>#N/A</v>
      </c>
      <c r="BR90" s="174" t="e">
        <f t="shared" si="118"/>
        <v>#N/A</v>
      </c>
      <c r="BS90" s="175"/>
      <c r="BT90" s="176"/>
      <c r="BV90" s="188"/>
      <c r="BW90" s="188"/>
      <c r="BX90" s="188"/>
      <c r="BY90" s="188"/>
    </row>
    <row r="91" spans="1:93" x14ac:dyDescent="0.25">
      <c r="A91" s="184"/>
      <c r="B91" s="151"/>
      <c r="C91" s="179"/>
      <c r="D91" s="75"/>
      <c r="E91" s="147"/>
      <c r="F91" s="152"/>
      <c r="G91" s="76"/>
      <c r="H91" s="155"/>
      <c r="I91" s="152"/>
      <c r="J91" s="149"/>
      <c r="K91" s="148"/>
      <c r="L91" s="75"/>
      <c r="M91" s="75"/>
      <c r="N91" s="148"/>
      <c r="O91" s="75"/>
      <c r="P91" s="148"/>
      <c r="Q91" s="75"/>
      <c r="R91" s="153"/>
      <c r="S91" s="76"/>
      <c r="T91" s="75"/>
      <c r="U91" s="76"/>
      <c r="V91" s="75"/>
      <c r="W91" s="76"/>
      <c r="X91" s="75"/>
      <c r="Y91" s="154"/>
      <c r="Z91" s="76"/>
      <c r="AA91" s="151"/>
      <c r="AB91" s="151"/>
      <c r="AC91" s="76"/>
      <c r="AD91" s="177"/>
      <c r="AE91" s="136"/>
      <c r="AF91" s="178"/>
      <c r="AG91" s="84"/>
      <c r="AH91" s="178"/>
      <c r="AI91" s="76"/>
      <c r="AJ91" s="156"/>
      <c r="AK91" s="75"/>
      <c r="AL91" s="150"/>
      <c r="AM91" s="149"/>
      <c r="AN91" s="76"/>
      <c r="AO91" s="147"/>
      <c r="AP91" s="76"/>
      <c r="AQ91" s="154"/>
      <c r="AR91" s="150"/>
      <c r="AS91" s="180"/>
      <c r="AT91" s="17"/>
      <c r="AU91" s="104"/>
      <c r="AV91" s="54"/>
      <c r="AW91" s="55"/>
      <c r="AX91" s="55"/>
      <c r="AY91" s="101"/>
      <c r="AZ91" s="102"/>
      <c r="BA91" s="103"/>
      <c r="BB91" s="62"/>
      <c r="BC91" s="64"/>
      <c r="BD91" s="16"/>
      <c r="BE91" s="64"/>
      <c r="BF91" s="64"/>
      <c r="BG91" s="64"/>
      <c r="BH91" s="102"/>
      <c r="BI91" s="182"/>
      <c r="BJ91" s="182"/>
      <c r="BK91" s="63"/>
      <c r="BL91" s="63"/>
      <c r="BM91" s="63"/>
      <c r="BN91" s="63"/>
      <c r="BO91" s="64"/>
      <c r="BP91" s="65"/>
      <c r="BR91" s="174"/>
      <c r="BS91" s="175"/>
      <c r="BT91" s="176"/>
      <c r="BU91" s="18"/>
      <c r="BV91" s="188"/>
      <c r="BW91" s="188"/>
      <c r="BX91" s="188"/>
      <c r="BY91" s="18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</row>
    <row r="92" spans="1:93" x14ac:dyDescent="0.25">
      <c r="A92" s="184"/>
      <c r="B92" s="151"/>
      <c r="C92" s="179"/>
      <c r="D92" s="75"/>
      <c r="E92" s="147"/>
      <c r="F92" s="152"/>
      <c r="G92" s="76"/>
      <c r="H92" s="155"/>
      <c r="I92" s="152"/>
      <c r="J92" s="149"/>
      <c r="K92" s="148"/>
      <c r="L92" s="75"/>
      <c r="M92" s="75"/>
      <c r="N92" s="148"/>
      <c r="O92" s="75"/>
      <c r="P92" s="148"/>
      <c r="Q92" s="75"/>
      <c r="R92" s="153"/>
      <c r="S92" s="76"/>
      <c r="T92" s="75"/>
      <c r="U92" s="76"/>
      <c r="V92" s="75"/>
      <c r="W92" s="76"/>
      <c r="X92" s="75"/>
      <c r="Y92" s="154"/>
      <c r="Z92" s="76"/>
      <c r="AA92" s="151"/>
      <c r="AB92" s="151"/>
      <c r="AC92" s="76"/>
      <c r="AD92" s="177"/>
      <c r="AE92" s="136"/>
      <c r="AF92" s="178"/>
      <c r="AG92" s="84"/>
      <c r="AH92" s="178"/>
      <c r="AI92" s="76"/>
      <c r="AJ92" s="156"/>
      <c r="AK92" s="75"/>
      <c r="AL92" s="150"/>
      <c r="AM92" s="149"/>
      <c r="AN92" s="76"/>
      <c r="AO92" s="147"/>
      <c r="AP92" s="76"/>
      <c r="AQ92" s="154"/>
      <c r="AR92" s="150"/>
      <c r="AS92" s="180"/>
      <c r="AT92" s="17"/>
      <c r="AU92" s="104"/>
      <c r="AV92" s="54"/>
      <c r="AW92" s="55"/>
      <c r="AX92" s="55"/>
      <c r="AY92" s="101"/>
      <c r="AZ92" s="102"/>
      <c r="BA92" s="103"/>
      <c r="BB92" s="62"/>
      <c r="BC92" s="64"/>
      <c r="BD92" s="16"/>
      <c r="BE92" s="64"/>
      <c r="BF92" s="64"/>
      <c r="BG92" s="64"/>
      <c r="BH92" s="102"/>
      <c r="BI92" s="182"/>
      <c r="BJ92" s="182"/>
      <c r="BK92" s="63"/>
      <c r="BL92" s="63"/>
      <c r="BM92" s="63"/>
      <c r="BN92" s="63"/>
      <c r="BO92" s="64"/>
      <c r="BP92" s="65"/>
      <c r="BR92" s="174"/>
      <c r="BS92" s="175"/>
      <c r="BT92" s="176"/>
      <c r="BU92" s="18"/>
      <c r="BV92" s="188"/>
      <c r="BW92" s="188"/>
      <c r="BX92" s="188"/>
      <c r="BY92" s="18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</row>
    <row r="93" spans="1:93" x14ac:dyDescent="0.25">
      <c r="A93" s="184"/>
      <c r="B93" s="151"/>
      <c r="C93" s="179"/>
      <c r="D93" s="75"/>
      <c r="E93" s="147"/>
      <c r="F93" s="152"/>
      <c r="G93" s="76"/>
      <c r="H93" s="155"/>
      <c r="I93" s="152"/>
      <c r="J93" s="149"/>
      <c r="K93" s="148"/>
      <c r="L93" s="75"/>
      <c r="M93" s="75"/>
      <c r="N93" s="148"/>
      <c r="O93" s="75"/>
      <c r="P93" s="148"/>
      <c r="Q93" s="75"/>
      <c r="R93" s="153"/>
      <c r="S93" s="76"/>
      <c r="T93" s="75"/>
      <c r="U93" s="76"/>
      <c r="V93" s="75"/>
      <c r="W93" s="76"/>
      <c r="X93" s="75"/>
      <c r="Y93" s="154"/>
      <c r="Z93" s="76"/>
      <c r="AA93" s="151"/>
      <c r="AB93" s="151"/>
      <c r="AC93" s="76"/>
      <c r="AD93" s="177"/>
      <c r="AE93" s="136"/>
      <c r="AF93" s="178"/>
      <c r="AG93" s="84"/>
      <c r="AH93" s="178"/>
      <c r="AI93" s="76"/>
      <c r="AJ93" s="156"/>
      <c r="AK93" s="75"/>
      <c r="AL93" s="150"/>
      <c r="AM93" s="149"/>
      <c r="AN93" s="76"/>
      <c r="AO93" s="147"/>
      <c r="AP93" s="76"/>
      <c r="AQ93" s="154"/>
      <c r="AR93" s="150"/>
      <c r="AS93" s="180"/>
      <c r="AT93" s="17"/>
      <c r="AU93" s="104"/>
      <c r="AV93" s="54"/>
      <c r="AW93" s="55"/>
      <c r="AX93" s="55"/>
      <c r="AY93" s="101"/>
      <c r="AZ93" s="102"/>
      <c r="BA93" s="103"/>
      <c r="BB93" s="62"/>
      <c r="BC93" s="64"/>
      <c r="BD93" s="16"/>
      <c r="BE93" s="64"/>
      <c r="BF93" s="64"/>
      <c r="BG93" s="64"/>
      <c r="BH93" s="102"/>
      <c r="BI93" s="182"/>
      <c r="BJ93" s="182"/>
      <c r="BK93" s="63"/>
      <c r="BL93" s="63"/>
      <c r="BM93" s="63"/>
      <c r="BN93" s="63"/>
      <c r="BO93" s="64"/>
      <c r="BP93" s="65"/>
      <c r="BR93" s="174"/>
      <c r="BS93" s="175"/>
      <c r="BT93" s="176"/>
      <c r="BU93" s="18"/>
      <c r="BV93" s="188"/>
      <c r="BW93" s="188"/>
      <c r="BX93" s="188"/>
      <c r="BY93" s="18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</row>
    <row r="94" spans="1:93" x14ac:dyDescent="0.25">
      <c r="A94" s="184"/>
      <c r="B94" s="151"/>
      <c r="C94" s="179"/>
      <c r="D94" s="75"/>
      <c r="E94" s="147"/>
      <c r="F94" s="152"/>
      <c r="G94" s="76"/>
      <c r="H94" s="155"/>
      <c r="I94" s="152"/>
      <c r="J94" s="149"/>
      <c r="K94" s="148"/>
      <c r="L94" s="75"/>
      <c r="M94" s="75"/>
      <c r="N94" s="148"/>
      <c r="O94" s="75"/>
      <c r="P94" s="148"/>
      <c r="Q94" s="75"/>
      <c r="R94" s="153"/>
      <c r="S94" s="76"/>
      <c r="T94" s="75"/>
      <c r="U94" s="76"/>
      <c r="V94" s="75"/>
      <c r="W94" s="76"/>
      <c r="X94" s="75"/>
      <c r="Y94" s="154"/>
      <c r="Z94" s="76"/>
      <c r="AA94" s="151"/>
      <c r="AB94" s="151"/>
      <c r="AC94" s="76"/>
      <c r="AD94" s="177"/>
      <c r="AE94" s="136"/>
      <c r="AF94" s="178"/>
      <c r="AG94" s="84"/>
      <c r="AH94" s="178"/>
      <c r="AI94" s="76"/>
      <c r="AJ94" s="156"/>
      <c r="AK94" s="75"/>
      <c r="AL94" s="150"/>
      <c r="AM94" s="149"/>
      <c r="AN94" s="76"/>
      <c r="AO94" s="147"/>
      <c r="AP94" s="76"/>
      <c r="AQ94" s="154"/>
      <c r="AR94" s="150"/>
      <c r="AS94" s="180"/>
      <c r="AT94" s="17"/>
      <c r="AU94" s="104"/>
      <c r="AV94" s="54"/>
      <c r="AW94" s="55"/>
      <c r="AX94" s="55"/>
      <c r="AY94" s="101"/>
      <c r="AZ94" s="102"/>
      <c r="BA94" s="103"/>
      <c r="BB94" s="62"/>
      <c r="BC94" s="64"/>
      <c r="BD94" s="16"/>
      <c r="BE94" s="64"/>
      <c r="BF94" s="64"/>
      <c r="BG94" s="64"/>
      <c r="BH94" s="102"/>
      <c r="BI94" s="182"/>
      <c r="BJ94" s="182"/>
      <c r="BK94" s="63"/>
      <c r="BL94" s="63"/>
      <c r="BM94" s="63"/>
      <c r="BN94" s="63"/>
      <c r="BO94" s="64"/>
      <c r="BP94" s="65"/>
      <c r="BR94" s="174"/>
      <c r="BS94" s="175"/>
      <c r="BT94" s="176"/>
      <c r="BU94" s="18"/>
      <c r="BV94" s="188"/>
      <c r="BW94" s="188"/>
      <c r="BX94" s="188"/>
      <c r="BY94" s="18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</row>
    <row r="95" spans="1:93" x14ac:dyDescent="0.25">
      <c r="A95" s="184"/>
      <c r="B95" s="151"/>
      <c r="C95" s="179"/>
      <c r="D95" s="75"/>
      <c r="E95" s="147"/>
      <c r="F95" s="152"/>
      <c r="G95" s="76"/>
      <c r="H95" s="155"/>
      <c r="I95" s="152"/>
      <c r="J95" s="149"/>
      <c r="K95" s="148"/>
      <c r="L95" s="75"/>
      <c r="M95" s="75"/>
      <c r="N95" s="148"/>
      <c r="O95" s="75"/>
      <c r="P95" s="148"/>
      <c r="Q95" s="75"/>
      <c r="R95" s="153"/>
      <c r="S95" s="76"/>
      <c r="T95" s="75"/>
      <c r="U95" s="76"/>
      <c r="V95" s="75"/>
      <c r="W95" s="76"/>
      <c r="X95" s="75"/>
      <c r="Y95" s="154"/>
      <c r="Z95" s="76"/>
      <c r="AA95" s="151"/>
      <c r="AB95" s="151"/>
      <c r="AC95" s="76"/>
      <c r="AD95" s="177"/>
      <c r="AE95" s="136"/>
      <c r="AF95" s="178"/>
      <c r="AG95" s="84"/>
      <c r="AH95" s="178"/>
      <c r="AI95" s="76"/>
      <c r="AJ95" s="156"/>
      <c r="AK95" s="75"/>
      <c r="AL95" s="150"/>
      <c r="AM95" s="149"/>
      <c r="AN95" s="76"/>
      <c r="AO95" s="147"/>
      <c r="AP95" s="76"/>
      <c r="AQ95" s="154"/>
      <c r="AR95" s="150"/>
      <c r="AS95" s="180"/>
      <c r="AT95" s="17"/>
      <c r="AU95" s="104"/>
      <c r="AV95" s="54"/>
      <c r="AW95" s="55"/>
      <c r="AX95" s="55"/>
      <c r="AY95" s="101"/>
      <c r="AZ95" s="102"/>
      <c r="BA95" s="103"/>
      <c r="BB95" s="62"/>
      <c r="BC95" s="64"/>
      <c r="BD95" s="16"/>
      <c r="BE95" s="64"/>
      <c r="BF95" s="64"/>
      <c r="BG95" s="64"/>
      <c r="BH95" s="102"/>
      <c r="BI95" s="182"/>
      <c r="BJ95" s="182"/>
      <c r="BK95" s="63"/>
      <c r="BL95" s="63"/>
      <c r="BM95" s="63"/>
      <c r="BN95" s="63"/>
      <c r="BO95" s="64"/>
      <c r="BP95" s="65"/>
      <c r="BR95" s="174"/>
      <c r="BS95" s="175"/>
      <c r="BT95" s="176"/>
      <c r="BU95" s="18"/>
      <c r="BV95" s="188"/>
      <c r="BW95" s="188"/>
      <c r="BX95" s="188"/>
      <c r="BY95" s="18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</row>
    <row r="96" spans="1:93" x14ac:dyDescent="0.25">
      <c r="A96" s="184"/>
      <c r="B96" s="151"/>
      <c r="C96" s="179"/>
      <c r="D96" s="75"/>
      <c r="E96" s="147"/>
      <c r="F96" s="152"/>
      <c r="G96" s="76"/>
      <c r="H96" s="155"/>
      <c r="I96" s="152"/>
      <c r="J96" s="149"/>
      <c r="K96" s="148"/>
      <c r="L96" s="75"/>
      <c r="M96" s="75"/>
      <c r="N96" s="148"/>
      <c r="O96" s="75"/>
      <c r="P96" s="148"/>
      <c r="Q96" s="75"/>
      <c r="R96" s="153"/>
      <c r="S96" s="76"/>
      <c r="T96" s="75"/>
      <c r="U96" s="76"/>
      <c r="V96" s="75"/>
      <c r="W96" s="76"/>
      <c r="X96" s="75"/>
      <c r="Y96" s="154"/>
      <c r="Z96" s="76"/>
      <c r="AA96" s="151"/>
      <c r="AB96" s="151"/>
      <c r="AC96" s="76"/>
      <c r="AD96" s="177"/>
      <c r="AE96" s="136"/>
      <c r="AF96" s="178"/>
      <c r="AG96" s="84"/>
      <c r="AH96" s="178"/>
      <c r="AI96" s="76"/>
      <c r="AJ96" s="156"/>
      <c r="AK96" s="75"/>
      <c r="AL96" s="150"/>
      <c r="AM96" s="149"/>
      <c r="AN96" s="76"/>
      <c r="AO96" s="147"/>
      <c r="AP96" s="76"/>
      <c r="AQ96" s="154"/>
      <c r="AR96" s="150"/>
      <c r="AS96" s="180"/>
      <c r="AT96" s="17"/>
      <c r="AU96" s="104"/>
      <c r="AV96" s="54"/>
      <c r="AW96" s="55"/>
      <c r="AX96" s="55"/>
      <c r="AY96" s="101"/>
      <c r="AZ96" s="102"/>
      <c r="BA96" s="103"/>
      <c r="BB96" s="62"/>
      <c r="BC96" s="64"/>
      <c r="BD96" s="16"/>
      <c r="BE96" s="64"/>
      <c r="BF96" s="64"/>
      <c r="BG96" s="64"/>
      <c r="BH96" s="102"/>
      <c r="BI96" s="182"/>
      <c r="BJ96" s="182"/>
      <c r="BK96" s="63"/>
      <c r="BL96" s="63"/>
      <c r="BM96" s="63"/>
      <c r="BN96" s="63"/>
      <c r="BO96" s="64"/>
      <c r="BP96" s="65"/>
      <c r="BR96" s="174"/>
      <c r="BS96" s="175"/>
      <c r="BT96" s="176"/>
      <c r="BU96" s="18"/>
      <c r="BV96" s="188"/>
      <c r="BW96" s="188"/>
      <c r="BX96" s="188"/>
      <c r="BY96" s="18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</row>
    <row r="97" spans="1:93" x14ac:dyDescent="0.25">
      <c r="A97" s="184"/>
      <c r="B97" s="151"/>
      <c r="C97" s="179"/>
      <c r="D97" s="75"/>
      <c r="E97" s="147"/>
      <c r="F97" s="152"/>
      <c r="G97" s="76"/>
      <c r="H97" s="155"/>
      <c r="I97" s="152"/>
      <c r="J97" s="149"/>
      <c r="K97" s="148"/>
      <c r="L97" s="75"/>
      <c r="M97" s="75"/>
      <c r="N97" s="148"/>
      <c r="O97" s="75"/>
      <c r="P97" s="148"/>
      <c r="Q97" s="75"/>
      <c r="R97" s="153"/>
      <c r="S97" s="76"/>
      <c r="T97" s="75"/>
      <c r="U97" s="76"/>
      <c r="V97" s="75"/>
      <c r="W97" s="76"/>
      <c r="X97" s="75"/>
      <c r="Y97" s="154"/>
      <c r="Z97" s="76"/>
      <c r="AA97" s="151"/>
      <c r="AB97" s="151"/>
      <c r="AC97" s="76"/>
      <c r="AD97" s="177"/>
      <c r="AE97" s="136"/>
      <c r="AF97" s="178"/>
      <c r="AG97" s="84"/>
      <c r="AH97" s="178"/>
      <c r="AI97" s="76"/>
      <c r="AJ97" s="156"/>
      <c r="AK97" s="75"/>
      <c r="AL97" s="150"/>
      <c r="AM97" s="149"/>
      <c r="AN97" s="76"/>
      <c r="AO97" s="147"/>
      <c r="AP97" s="76"/>
      <c r="AQ97" s="154"/>
      <c r="AR97" s="150"/>
      <c r="AS97" s="180"/>
      <c r="AT97" s="17"/>
      <c r="AU97" s="104"/>
      <c r="AV97" s="54"/>
      <c r="AW97" s="55"/>
      <c r="AX97" s="55"/>
      <c r="AY97" s="101"/>
      <c r="AZ97" s="102"/>
      <c r="BA97" s="103"/>
      <c r="BB97" s="62"/>
      <c r="BC97" s="64"/>
      <c r="BD97" s="16"/>
      <c r="BE97" s="64"/>
      <c r="BF97" s="64"/>
      <c r="BG97" s="64"/>
      <c r="BH97" s="102"/>
      <c r="BI97" s="182"/>
      <c r="BJ97" s="182"/>
      <c r="BK97" s="63"/>
      <c r="BL97" s="63"/>
      <c r="BM97" s="63"/>
      <c r="BN97" s="63"/>
      <c r="BO97" s="64"/>
      <c r="BP97" s="65"/>
      <c r="BR97" s="174"/>
      <c r="BS97" s="175"/>
      <c r="BT97" s="176"/>
      <c r="BU97" s="18"/>
      <c r="BV97" s="188"/>
      <c r="BW97" s="188"/>
      <c r="BX97" s="188"/>
      <c r="BY97" s="18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</row>
    <row r="98" spans="1:93" x14ac:dyDescent="0.25">
      <c r="A98" s="184"/>
      <c r="B98" s="151"/>
      <c r="C98" s="179"/>
      <c r="D98" s="75"/>
      <c r="E98" s="147"/>
      <c r="F98" s="152"/>
      <c r="G98" s="76"/>
      <c r="H98" s="155"/>
      <c r="I98" s="152"/>
      <c r="J98" s="149"/>
      <c r="K98" s="148"/>
      <c r="L98" s="75"/>
      <c r="M98" s="75"/>
      <c r="N98" s="148"/>
      <c r="O98" s="75"/>
      <c r="P98" s="148"/>
      <c r="Q98" s="75"/>
      <c r="R98" s="153"/>
      <c r="S98" s="76"/>
      <c r="T98" s="75"/>
      <c r="U98" s="76"/>
      <c r="V98" s="75"/>
      <c r="W98" s="76"/>
      <c r="X98" s="75"/>
      <c r="Y98" s="154"/>
      <c r="Z98" s="76"/>
      <c r="AA98" s="151"/>
      <c r="AB98" s="151"/>
      <c r="AC98" s="76"/>
      <c r="AD98" s="177"/>
      <c r="AE98" s="136"/>
      <c r="AF98" s="178"/>
      <c r="AG98" s="84"/>
      <c r="AH98" s="178"/>
      <c r="AI98" s="76"/>
      <c r="AJ98" s="156"/>
      <c r="AK98" s="75"/>
      <c r="AL98" s="150"/>
      <c r="AM98" s="149"/>
      <c r="AN98" s="76"/>
      <c r="AO98" s="147"/>
      <c r="AP98" s="76"/>
      <c r="AQ98" s="154"/>
      <c r="AR98" s="150"/>
      <c r="AS98" s="180"/>
      <c r="AT98" s="17"/>
      <c r="AU98" s="104"/>
      <c r="AV98" s="54"/>
      <c r="AW98" s="55"/>
      <c r="AX98" s="55"/>
      <c r="AY98" s="101"/>
      <c r="AZ98" s="102"/>
      <c r="BA98" s="103"/>
      <c r="BB98" s="62"/>
      <c r="BC98" s="64"/>
      <c r="BD98" s="16"/>
      <c r="BE98" s="64"/>
      <c r="BF98" s="64"/>
      <c r="BG98" s="64"/>
      <c r="BH98" s="102"/>
      <c r="BI98" s="182"/>
      <c r="BJ98" s="182"/>
      <c r="BK98" s="63"/>
      <c r="BL98" s="63"/>
      <c r="BM98" s="63"/>
      <c r="BN98" s="63"/>
      <c r="BO98" s="64"/>
      <c r="BP98" s="65"/>
      <c r="BR98" s="174"/>
      <c r="BS98" s="175"/>
      <c r="BT98" s="176"/>
      <c r="BU98" s="18"/>
      <c r="BV98" s="188"/>
      <c r="BW98" s="188"/>
      <c r="BX98" s="188"/>
      <c r="BY98" s="18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</row>
    <row r="99" spans="1:93" x14ac:dyDescent="0.25">
      <c r="A99" s="184"/>
      <c r="B99" s="151"/>
      <c r="C99" s="179"/>
      <c r="D99" s="75"/>
      <c r="E99" s="147"/>
      <c r="F99" s="152"/>
      <c r="G99" s="76"/>
      <c r="H99" s="155"/>
      <c r="I99" s="152"/>
      <c r="J99" s="149"/>
      <c r="K99" s="148"/>
      <c r="L99" s="75"/>
      <c r="M99" s="75"/>
      <c r="N99" s="148"/>
      <c r="O99" s="75"/>
      <c r="P99" s="148"/>
      <c r="Q99" s="75"/>
      <c r="R99" s="153"/>
      <c r="S99" s="76"/>
      <c r="T99" s="75"/>
      <c r="U99" s="76"/>
      <c r="V99" s="75"/>
      <c r="W99" s="76"/>
      <c r="X99" s="75"/>
      <c r="Y99" s="154"/>
      <c r="Z99" s="76"/>
      <c r="AA99" s="151"/>
      <c r="AB99" s="151"/>
      <c r="AC99" s="76"/>
      <c r="AD99" s="177"/>
      <c r="AE99" s="136"/>
      <c r="AF99" s="178"/>
      <c r="AG99" s="84"/>
      <c r="AH99" s="178"/>
      <c r="AI99" s="76"/>
      <c r="AJ99" s="156"/>
      <c r="AK99" s="75"/>
      <c r="AL99" s="150"/>
      <c r="AM99" s="149"/>
      <c r="AN99" s="76"/>
      <c r="AO99" s="147"/>
      <c r="AP99" s="76"/>
      <c r="AQ99" s="154"/>
      <c r="AR99" s="150"/>
      <c r="AS99" s="180"/>
      <c r="AT99" s="17"/>
      <c r="AU99" s="104"/>
      <c r="AV99" s="54"/>
      <c r="AW99" s="55"/>
      <c r="AX99" s="55"/>
      <c r="AY99" s="101"/>
      <c r="AZ99" s="102"/>
      <c r="BA99" s="103"/>
      <c r="BB99" s="62"/>
      <c r="BC99" s="64"/>
      <c r="BD99" s="16"/>
      <c r="BE99" s="64"/>
      <c r="BF99" s="64"/>
      <c r="BG99" s="64"/>
      <c r="BH99" s="102"/>
      <c r="BI99" s="182"/>
      <c r="BJ99" s="182"/>
      <c r="BK99" s="63"/>
      <c r="BL99" s="63"/>
      <c r="BM99" s="63"/>
      <c r="BN99" s="63"/>
      <c r="BO99" s="64"/>
      <c r="BP99" s="65"/>
      <c r="BR99" s="174"/>
      <c r="BS99" s="175"/>
      <c r="BT99" s="176"/>
      <c r="BU99" s="18"/>
      <c r="BV99" s="188"/>
      <c r="BW99" s="188"/>
      <c r="BX99" s="188"/>
      <c r="BY99" s="18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</row>
    <row r="100" spans="1:93" x14ac:dyDescent="0.25">
      <c r="A100" s="184"/>
      <c r="B100" s="151"/>
      <c r="C100" s="179"/>
      <c r="D100" s="75"/>
      <c r="E100" s="147"/>
      <c r="F100" s="152"/>
      <c r="G100" s="76"/>
      <c r="H100" s="155"/>
      <c r="I100" s="152"/>
      <c r="J100" s="149"/>
      <c r="K100" s="148"/>
      <c r="L100" s="75"/>
      <c r="M100" s="75"/>
      <c r="N100" s="148"/>
      <c r="O100" s="75"/>
      <c r="P100" s="148"/>
      <c r="Q100" s="75"/>
      <c r="R100" s="153"/>
      <c r="S100" s="76"/>
      <c r="T100" s="75"/>
      <c r="U100" s="76"/>
      <c r="V100" s="75"/>
      <c r="W100" s="76"/>
      <c r="X100" s="75"/>
      <c r="Y100" s="154"/>
      <c r="Z100" s="76"/>
      <c r="AA100" s="151"/>
      <c r="AB100" s="151"/>
      <c r="AC100" s="76"/>
      <c r="AD100" s="177"/>
      <c r="AE100" s="136"/>
      <c r="AF100" s="178"/>
      <c r="AG100" s="84"/>
      <c r="AH100" s="178"/>
      <c r="AI100" s="76"/>
      <c r="AJ100" s="156"/>
      <c r="AK100" s="75"/>
      <c r="AL100" s="150"/>
      <c r="AM100" s="149"/>
      <c r="AN100" s="76"/>
      <c r="AO100" s="147"/>
      <c r="AP100" s="76"/>
      <c r="AQ100" s="154"/>
      <c r="AR100" s="150"/>
      <c r="AS100" s="180"/>
      <c r="AT100" s="17"/>
      <c r="AU100" s="104"/>
      <c r="AV100" s="54"/>
      <c r="AW100" s="55"/>
      <c r="AX100" s="55"/>
      <c r="AY100" s="101"/>
      <c r="AZ100" s="102"/>
      <c r="BA100" s="103"/>
      <c r="BB100" s="62"/>
      <c r="BC100" s="64"/>
      <c r="BD100" s="16"/>
      <c r="BE100" s="64"/>
      <c r="BF100" s="64"/>
      <c r="BG100" s="64"/>
      <c r="BH100" s="102"/>
      <c r="BI100" s="182"/>
      <c r="BJ100" s="182"/>
      <c r="BK100" s="63"/>
      <c r="BL100" s="63"/>
      <c r="BM100" s="63"/>
      <c r="BN100" s="63"/>
      <c r="BO100" s="64"/>
      <c r="BP100" s="65"/>
      <c r="BR100" s="174"/>
      <c r="BS100" s="175"/>
      <c r="BT100" s="176"/>
      <c r="BU100" s="18"/>
      <c r="BV100" s="188"/>
      <c r="BW100" s="188"/>
      <c r="BX100" s="188"/>
      <c r="BY100" s="18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</row>
    <row r="101" spans="1:93" x14ac:dyDescent="0.25">
      <c r="A101" s="184"/>
      <c r="B101" s="151"/>
      <c r="C101" s="179"/>
      <c r="D101" s="75"/>
      <c r="E101" s="147"/>
      <c r="F101" s="152"/>
      <c r="G101" s="76"/>
      <c r="H101" s="155"/>
      <c r="I101" s="152"/>
      <c r="J101" s="149"/>
      <c r="K101" s="148"/>
      <c r="L101" s="75"/>
      <c r="M101" s="75"/>
      <c r="N101" s="148"/>
      <c r="O101" s="75"/>
      <c r="P101" s="148"/>
      <c r="Q101" s="75"/>
      <c r="R101" s="153"/>
      <c r="S101" s="76"/>
      <c r="T101" s="75"/>
      <c r="U101" s="76"/>
      <c r="V101" s="75"/>
      <c r="W101" s="76"/>
      <c r="X101" s="75"/>
      <c r="Y101" s="154"/>
      <c r="Z101" s="76"/>
      <c r="AA101" s="151"/>
      <c r="AB101" s="151"/>
      <c r="AC101" s="76"/>
      <c r="AD101" s="177"/>
      <c r="AE101" s="136"/>
      <c r="AF101" s="178"/>
      <c r="AG101" s="84"/>
      <c r="AH101" s="178"/>
      <c r="AI101" s="76"/>
      <c r="AJ101" s="156"/>
      <c r="AK101" s="75"/>
      <c r="AL101" s="150"/>
      <c r="AM101" s="149"/>
      <c r="AN101" s="76"/>
      <c r="AO101" s="147"/>
      <c r="AP101" s="76"/>
      <c r="AQ101" s="154"/>
      <c r="AR101" s="150"/>
      <c r="AS101" s="180"/>
      <c r="AT101" s="17"/>
      <c r="AU101" s="104"/>
      <c r="AV101" s="54"/>
      <c r="AW101" s="55"/>
      <c r="AX101" s="55"/>
      <c r="AY101" s="101"/>
      <c r="AZ101" s="102"/>
      <c r="BA101" s="103"/>
      <c r="BB101" s="62"/>
      <c r="BC101" s="64"/>
      <c r="BD101" s="16"/>
      <c r="BE101" s="64"/>
      <c r="BF101" s="64"/>
      <c r="BG101" s="64"/>
      <c r="BH101" s="102"/>
      <c r="BI101" s="182"/>
      <c r="BJ101" s="182"/>
      <c r="BK101" s="63"/>
      <c r="BL101" s="63"/>
      <c r="BM101" s="63"/>
      <c r="BN101" s="63"/>
      <c r="BO101" s="64"/>
      <c r="BP101" s="65"/>
      <c r="BR101" s="174"/>
      <c r="BS101" s="175"/>
      <c r="BT101" s="176"/>
      <c r="BU101" s="18"/>
      <c r="BV101" s="188"/>
      <c r="BW101" s="188"/>
      <c r="BX101" s="188"/>
      <c r="BY101" s="18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</row>
    <row r="102" spans="1:93" x14ac:dyDescent="0.25">
      <c r="A102" s="184"/>
      <c r="B102" s="151"/>
      <c r="C102" s="179"/>
      <c r="D102" s="75"/>
      <c r="E102" s="147"/>
      <c r="F102" s="152"/>
      <c r="G102" s="76"/>
      <c r="H102" s="155"/>
      <c r="I102" s="152"/>
      <c r="J102" s="149"/>
      <c r="K102" s="148"/>
      <c r="L102" s="75"/>
      <c r="M102" s="75"/>
      <c r="N102" s="148"/>
      <c r="O102" s="75"/>
      <c r="P102" s="148"/>
      <c r="Q102" s="75"/>
      <c r="R102" s="153"/>
      <c r="S102" s="76"/>
      <c r="T102" s="75"/>
      <c r="U102" s="76"/>
      <c r="V102" s="75"/>
      <c r="W102" s="76"/>
      <c r="X102" s="75"/>
      <c r="Y102" s="154"/>
      <c r="Z102" s="76"/>
      <c r="AA102" s="151"/>
      <c r="AB102" s="151"/>
      <c r="AC102" s="76"/>
      <c r="AD102" s="177"/>
      <c r="AE102" s="136"/>
      <c r="AF102" s="178"/>
      <c r="AG102" s="84"/>
      <c r="AH102" s="178"/>
      <c r="AI102" s="76"/>
      <c r="AJ102" s="156"/>
      <c r="AK102" s="75"/>
      <c r="AL102" s="150"/>
      <c r="AM102" s="149"/>
      <c r="AN102" s="76"/>
      <c r="AO102" s="147"/>
      <c r="AP102" s="76"/>
      <c r="AQ102" s="154"/>
      <c r="AR102" s="150"/>
      <c r="AS102" s="180"/>
      <c r="AT102" s="17"/>
      <c r="AU102" s="104"/>
      <c r="AV102" s="54"/>
      <c r="AW102" s="55"/>
      <c r="AX102" s="55"/>
      <c r="AY102" s="101"/>
      <c r="AZ102" s="102"/>
      <c r="BA102" s="103"/>
      <c r="BB102" s="62"/>
      <c r="BC102" s="64"/>
      <c r="BD102" s="16"/>
      <c r="BE102" s="64"/>
      <c r="BF102" s="64"/>
      <c r="BG102" s="64"/>
      <c r="BH102" s="102"/>
      <c r="BI102" s="182"/>
      <c r="BJ102" s="182"/>
      <c r="BK102" s="63"/>
      <c r="BL102" s="63"/>
      <c r="BM102" s="63"/>
      <c r="BN102" s="63"/>
      <c r="BO102" s="64"/>
      <c r="BP102" s="65"/>
      <c r="BR102" s="174"/>
      <c r="BS102" s="175"/>
      <c r="BT102" s="176"/>
      <c r="BU102" s="18"/>
      <c r="BV102" s="188"/>
      <c r="BW102" s="188"/>
      <c r="BX102" s="188"/>
      <c r="BY102" s="18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</row>
    <row r="103" spans="1:93" x14ac:dyDescent="0.25">
      <c r="A103" s="184"/>
      <c r="B103" s="151"/>
      <c r="C103" s="179"/>
      <c r="D103" s="75"/>
      <c r="E103" s="147"/>
      <c r="F103" s="152"/>
      <c r="G103" s="76"/>
      <c r="H103" s="155"/>
      <c r="I103" s="152"/>
      <c r="J103" s="149"/>
      <c r="K103" s="148"/>
      <c r="L103" s="75"/>
      <c r="M103" s="75"/>
      <c r="N103" s="148"/>
      <c r="O103" s="75"/>
      <c r="P103" s="148"/>
      <c r="Q103" s="75"/>
      <c r="R103" s="153"/>
      <c r="S103" s="76"/>
      <c r="T103" s="75"/>
      <c r="U103" s="76"/>
      <c r="V103" s="75"/>
      <c r="W103" s="76"/>
      <c r="X103" s="75"/>
      <c r="Y103" s="154"/>
      <c r="Z103" s="76"/>
      <c r="AA103" s="151"/>
      <c r="AB103" s="151"/>
      <c r="AC103" s="76"/>
      <c r="AD103" s="177"/>
      <c r="AE103" s="136"/>
      <c r="AF103" s="178"/>
      <c r="AG103" s="84"/>
      <c r="AH103" s="178"/>
      <c r="AI103" s="76"/>
      <c r="AJ103" s="156"/>
      <c r="AK103" s="75"/>
      <c r="AL103" s="150"/>
      <c r="AM103" s="149"/>
      <c r="AN103" s="76"/>
      <c r="AO103" s="147"/>
      <c r="AP103" s="76"/>
      <c r="AQ103" s="154"/>
      <c r="AR103" s="150"/>
      <c r="AS103" s="180"/>
      <c r="AT103" s="17"/>
      <c r="AU103" s="104"/>
      <c r="AV103" s="54"/>
      <c r="AW103" s="55"/>
      <c r="AX103" s="55"/>
      <c r="AY103" s="101"/>
      <c r="AZ103" s="102"/>
      <c r="BA103" s="103"/>
      <c r="BB103" s="62"/>
      <c r="BC103" s="64"/>
      <c r="BD103" s="16"/>
      <c r="BE103" s="64"/>
      <c r="BF103" s="64"/>
      <c r="BG103" s="64"/>
      <c r="BH103" s="102"/>
      <c r="BI103" s="182"/>
      <c r="BJ103" s="182"/>
      <c r="BK103" s="63"/>
      <c r="BL103" s="63"/>
      <c r="BM103" s="63"/>
      <c r="BN103" s="63"/>
      <c r="BO103" s="64"/>
      <c r="BP103" s="65"/>
      <c r="BR103" s="174"/>
      <c r="BS103" s="175"/>
      <c r="BT103" s="176"/>
      <c r="BU103" s="18"/>
      <c r="BV103" s="188"/>
      <c r="BW103" s="188"/>
      <c r="BX103" s="188"/>
      <c r="BY103" s="18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</row>
    <row r="104" spans="1:93" ht="14.55" customHeight="1" x14ac:dyDescent="0.25">
      <c r="A104" s="184"/>
      <c r="B104" s="151"/>
      <c r="C104" s="179"/>
      <c r="D104" s="75"/>
      <c r="E104" s="147"/>
      <c r="F104" s="152"/>
      <c r="G104" s="76"/>
      <c r="H104" s="155"/>
      <c r="I104" s="152"/>
      <c r="J104" s="149"/>
      <c r="K104" s="148"/>
      <c r="L104" s="75"/>
      <c r="M104" s="75"/>
      <c r="N104" s="148"/>
      <c r="O104" s="75"/>
      <c r="P104" s="148"/>
      <c r="Q104" s="75"/>
      <c r="R104" s="153"/>
      <c r="S104" s="76"/>
      <c r="T104" s="75"/>
      <c r="U104" s="76"/>
      <c r="V104" s="75"/>
      <c r="W104" s="76"/>
      <c r="X104" s="75"/>
      <c r="Y104" s="154"/>
      <c r="Z104" s="76"/>
      <c r="AA104" s="151"/>
      <c r="AB104" s="151"/>
      <c r="AC104" s="76"/>
      <c r="AD104" s="177"/>
      <c r="AE104" s="136"/>
      <c r="AF104" s="178"/>
      <c r="AG104" s="84"/>
      <c r="AH104" s="178"/>
      <c r="AI104" s="76"/>
      <c r="AJ104" s="156"/>
      <c r="AK104" s="75"/>
      <c r="AL104" s="150"/>
      <c r="AM104" s="149"/>
      <c r="AN104" s="76"/>
      <c r="AO104" s="147"/>
      <c r="AP104" s="76"/>
      <c r="AQ104" s="154"/>
      <c r="AR104" s="150"/>
      <c r="AS104" s="180"/>
      <c r="AT104" s="17"/>
      <c r="AU104" s="104"/>
      <c r="AV104" s="54"/>
      <c r="AW104" s="55"/>
      <c r="AX104" s="55"/>
      <c r="AY104" s="101"/>
      <c r="AZ104" s="102"/>
      <c r="BA104" s="103"/>
      <c r="BB104" s="62"/>
      <c r="BC104" s="64"/>
      <c r="BD104" s="16"/>
      <c r="BE104" s="64"/>
      <c r="BF104" s="64"/>
      <c r="BG104" s="64"/>
      <c r="BH104" s="102"/>
      <c r="BI104" s="182"/>
      <c r="BJ104" s="182"/>
      <c r="BK104" s="63"/>
      <c r="BL104" s="63"/>
      <c r="BM104" s="63"/>
      <c r="BN104" s="63"/>
      <c r="BO104" s="64"/>
      <c r="BP104" s="65"/>
      <c r="BR104" s="174"/>
      <c r="BS104" s="175"/>
      <c r="BT104" s="176"/>
      <c r="BU104" s="18"/>
      <c r="BV104" s="188"/>
      <c r="BW104" s="188"/>
      <c r="BX104" s="188"/>
      <c r="BY104" s="18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</row>
    <row r="105" spans="1:93" x14ac:dyDescent="0.25">
      <c r="A105" s="184"/>
      <c r="B105" s="151"/>
      <c r="C105" s="179"/>
      <c r="D105" s="75"/>
      <c r="E105" s="147"/>
      <c r="F105" s="152"/>
      <c r="G105" s="76"/>
      <c r="H105" s="155"/>
      <c r="I105" s="152"/>
      <c r="J105" s="149"/>
      <c r="K105" s="148"/>
      <c r="L105" s="75"/>
      <c r="M105" s="75"/>
      <c r="N105" s="148"/>
      <c r="O105" s="75"/>
      <c r="P105" s="148"/>
      <c r="Q105" s="75"/>
      <c r="R105" s="153"/>
      <c r="S105" s="76"/>
      <c r="T105" s="75"/>
      <c r="U105" s="76"/>
      <c r="V105" s="75"/>
      <c r="W105" s="76"/>
      <c r="X105" s="75"/>
      <c r="Y105" s="154"/>
      <c r="Z105" s="76"/>
      <c r="AA105" s="151"/>
      <c r="AB105" s="151"/>
      <c r="AC105" s="76"/>
      <c r="AD105" s="177"/>
      <c r="AE105" s="136"/>
      <c r="AF105" s="178"/>
      <c r="AG105" s="84"/>
      <c r="AH105" s="178"/>
      <c r="AI105" s="76"/>
      <c r="AJ105" s="156"/>
      <c r="AK105" s="75"/>
      <c r="AL105" s="150"/>
      <c r="AM105" s="149"/>
      <c r="AN105" s="76"/>
      <c r="AO105" s="147"/>
      <c r="AP105" s="76"/>
      <c r="AQ105" s="154"/>
      <c r="AR105" s="150"/>
      <c r="AS105" s="180"/>
      <c r="AT105" s="17"/>
      <c r="AU105" s="104"/>
      <c r="AV105" s="54"/>
      <c r="AW105" s="55"/>
      <c r="AX105" s="55"/>
      <c r="AY105" s="101"/>
      <c r="AZ105" s="102"/>
      <c r="BA105" s="103"/>
      <c r="BB105" s="62"/>
      <c r="BC105" s="64"/>
      <c r="BD105" s="16"/>
      <c r="BE105" s="64"/>
      <c r="BF105" s="64"/>
      <c r="BG105" s="64"/>
      <c r="BH105" s="102"/>
      <c r="BI105" s="182"/>
      <c r="BJ105" s="182"/>
      <c r="BK105" s="63"/>
      <c r="BL105" s="63"/>
      <c r="BM105" s="63"/>
      <c r="BN105" s="63"/>
      <c r="BO105" s="64"/>
      <c r="BP105" s="65"/>
      <c r="BR105" s="174"/>
      <c r="BS105" s="175"/>
      <c r="BT105" s="176"/>
      <c r="BU105" s="18"/>
      <c r="BV105" s="188"/>
      <c r="BW105" s="188"/>
      <c r="BX105" s="188"/>
      <c r="BY105" s="18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</row>
    <row r="106" spans="1:93" x14ac:dyDescent="0.25">
      <c r="A106" s="184"/>
      <c r="B106" s="151"/>
      <c r="C106" s="179"/>
      <c r="D106" s="75"/>
      <c r="E106" s="147"/>
      <c r="F106" s="152"/>
      <c r="G106" s="76"/>
      <c r="H106" s="155"/>
      <c r="I106" s="152"/>
      <c r="J106" s="149"/>
      <c r="K106" s="148"/>
      <c r="L106" s="75"/>
      <c r="M106" s="75"/>
      <c r="N106" s="148"/>
      <c r="O106" s="75"/>
      <c r="P106" s="148"/>
      <c r="Q106" s="75"/>
      <c r="R106" s="153"/>
      <c r="S106" s="76"/>
      <c r="T106" s="75"/>
      <c r="U106" s="76"/>
      <c r="V106" s="75"/>
      <c r="W106" s="76"/>
      <c r="X106" s="75"/>
      <c r="Y106" s="154"/>
      <c r="Z106" s="76"/>
      <c r="AA106" s="151"/>
      <c r="AB106" s="151"/>
      <c r="AC106" s="76"/>
      <c r="AD106" s="177"/>
      <c r="AE106" s="136"/>
      <c r="AF106" s="178"/>
      <c r="AG106" s="84"/>
      <c r="AH106" s="178"/>
      <c r="AI106" s="76"/>
      <c r="AJ106" s="156"/>
      <c r="AK106" s="75"/>
      <c r="AL106" s="150"/>
      <c r="AM106" s="149"/>
      <c r="AN106" s="76"/>
      <c r="AO106" s="147"/>
      <c r="AP106" s="76"/>
      <c r="AQ106" s="154"/>
      <c r="AR106" s="150"/>
      <c r="AS106" s="180"/>
      <c r="AT106" s="17"/>
      <c r="AU106" s="104"/>
      <c r="AV106" s="54"/>
      <c r="AW106" s="55"/>
      <c r="AX106" s="55"/>
      <c r="AY106" s="101"/>
      <c r="AZ106" s="102"/>
      <c r="BA106" s="103"/>
      <c r="BB106" s="62"/>
      <c r="BC106" s="64"/>
      <c r="BD106" s="16"/>
      <c r="BE106" s="64"/>
      <c r="BF106" s="64"/>
      <c r="BG106" s="64"/>
      <c r="BH106" s="102"/>
      <c r="BI106" s="182"/>
      <c r="BJ106" s="182"/>
      <c r="BK106" s="63"/>
      <c r="BL106" s="63"/>
      <c r="BM106" s="63"/>
      <c r="BN106" s="63"/>
      <c r="BO106" s="64"/>
      <c r="BP106" s="65"/>
      <c r="BR106" s="174"/>
      <c r="BS106" s="175"/>
      <c r="BT106" s="176"/>
      <c r="BU106" s="18"/>
      <c r="BV106" s="188"/>
      <c r="BW106" s="188"/>
      <c r="BX106" s="188"/>
      <c r="BY106" s="18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</row>
    <row r="107" spans="1:93" x14ac:dyDescent="0.25">
      <c r="A107" s="184"/>
      <c r="B107" s="151"/>
      <c r="C107" s="179"/>
      <c r="D107" s="75"/>
      <c r="E107" s="147"/>
      <c r="F107" s="152"/>
      <c r="G107" s="76"/>
      <c r="H107" s="155"/>
      <c r="I107" s="152"/>
      <c r="J107" s="149"/>
      <c r="K107" s="148"/>
      <c r="L107" s="75"/>
      <c r="M107" s="75"/>
      <c r="N107" s="148"/>
      <c r="O107" s="75"/>
      <c r="P107" s="148"/>
      <c r="Q107" s="75"/>
      <c r="R107" s="153"/>
      <c r="S107" s="76"/>
      <c r="T107" s="75"/>
      <c r="U107" s="76"/>
      <c r="V107" s="75"/>
      <c r="W107" s="76"/>
      <c r="X107" s="75"/>
      <c r="Y107" s="154"/>
      <c r="Z107" s="76"/>
      <c r="AA107" s="151"/>
      <c r="AB107" s="151"/>
      <c r="AC107" s="76"/>
      <c r="AD107" s="177"/>
      <c r="AE107" s="136"/>
      <c r="AF107" s="178"/>
      <c r="AG107" s="84"/>
      <c r="AH107" s="178"/>
      <c r="AI107" s="76"/>
      <c r="AJ107" s="156"/>
      <c r="AK107" s="75"/>
      <c r="AL107" s="150"/>
      <c r="AM107" s="149"/>
      <c r="AN107" s="76"/>
      <c r="AO107" s="147"/>
      <c r="AP107" s="76"/>
      <c r="AQ107" s="154"/>
      <c r="AR107" s="150"/>
      <c r="AS107" s="180"/>
      <c r="AT107" s="17"/>
      <c r="AU107" s="104"/>
      <c r="AV107" s="54"/>
      <c r="AW107" s="55"/>
      <c r="AX107" s="55"/>
      <c r="AY107" s="101"/>
      <c r="AZ107" s="102"/>
      <c r="BA107" s="103"/>
      <c r="BB107" s="62"/>
      <c r="BC107" s="64"/>
      <c r="BD107" s="16"/>
      <c r="BE107" s="64"/>
      <c r="BF107" s="64"/>
      <c r="BG107" s="64"/>
      <c r="BH107" s="102"/>
      <c r="BI107" s="182"/>
      <c r="BJ107" s="182"/>
      <c r="BK107" s="63"/>
      <c r="BL107" s="63"/>
      <c r="BM107" s="63"/>
      <c r="BN107" s="63"/>
      <c r="BO107" s="64"/>
      <c r="BP107" s="65"/>
      <c r="BR107" s="174"/>
      <c r="BS107" s="175"/>
      <c r="BT107" s="176"/>
      <c r="BU107" s="18"/>
      <c r="BV107" s="188"/>
      <c r="BW107" s="188"/>
      <c r="BX107" s="188"/>
      <c r="BY107" s="18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</row>
    <row r="108" spans="1:93" x14ac:dyDescent="0.25">
      <c r="A108" s="184"/>
      <c r="B108" s="151"/>
      <c r="C108" s="179"/>
      <c r="D108" s="75"/>
      <c r="E108" s="147"/>
      <c r="F108" s="152"/>
      <c r="G108" s="76"/>
      <c r="H108" s="155"/>
      <c r="I108" s="152"/>
      <c r="J108" s="149"/>
      <c r="K108" s="148"/>
      <c r="L108" s="75"/>
      <c r="M108" s="75"/>
      <c r="N108" s="148"/>
      <c r="O108" s="75"/>
      <c r="P108" s="148"/>
      <c r="Q108" s="75"/>
      <c r="R108" s="153"/>
      <c r="S108" s="76"/>
      <c r="T108" s="75"/>
      <c r="U108" s="76"/>
      <c r="V108" s="75"/>
      <c r="W108" s="76"/>
      <c r="X108" s="75"/>
      <c r="Y108" s="154"/>
      <c r="Z108" s="76"/>
      <c r="AA108" s="151"/>
      <c r="AB108" s="151"/>
      <c r="AC108" s="76"/>
      <c r="AD108" s="177"/>
      <c r="AE108" s="136"/>
      <c r="AF108" s="178"/>
      <c r="AG108" s="84"/>
      <c r="AH108" s="178"/>
      <c r="AI108" s="76"/>
      <c r="AJ108" s="156"/>
      <c r="AK108" s="75"/>
      <c r="AL108" s="150"/>
      <c r="AM108" s="149"/>
      <c r="AN108" s="76"/>
      <c r="AO108" s="147"/>
      <c r="AP108" s="76"/>
      <c r="AQ108" s="154"/>
      <c r="AR108" s="150"/>
      <c r="AS108" s="180"/>
      <c r="AT108" s="17"/>
      <c r="AU108" s="104"/>
      <c r="AV108" s="54"/>
      <c r="AW108" s="55"/>
      <c r="AX108" s="55"/>
      <c r="AY108" s="101"/>
      <c r="AZ108" s="102"/>
      <c r="BA108" s="103"/>
      <c r="BB108" s="62"/>
      <c r="BC108" s="64"/>
      <c r="BD108" s="16"/>
      <c r="BE108" s="64"/>
      <c r="BF108" s="64"/>
      <c r="BG108" s="64"/>
      <c r="BH108" s="102"/>
      <c r="BI108" s="182"/>
      <c r="BJ108" s="182"/>
      <c r="BK108" s="63"/>
      <c r="BL108" s="63"/>
      <c r="BM108" s="63"/>
      <c r="BN108" s="63"/>
      <c r="BO108" s="64"/>
      <c r="BP108" s="65"/>
      <c r="BR108" s="174"/>
      <c r="BS108" s="175"/>
      <c r="BT108" s="176"/>
      <c r="BU108" s="18"/>
      <c r="BV108" s="188"/>
      <c r="BW108" s="188"/>
      <c r="BX108" s="188"/>
      <c r="BY108" s="18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</row>
    <row r="109" spans="1:93" x14ac:dyDescent="0.25">
      <c r="A109" s="184"/>
      <c r="B109" s="151"/>
      <c r="C109" s="179"/>
      <c r="D109" s="75"/>
      <c r="E109" s="147"/>
      <c r="F109" s="152"/>
      <c r="G109" s="76"/>
      <c r="H109" s="155"/>
      <c r="I109" s="152"/>
      <c r="J109" s="149"/>
      <c r="K109" s="148"/>
      <c r="L109" s="75"/>
      <c r="M109" s="75"/>
      <c r="N109" s="148"/>
      <c r="O109" s="75"/>
      <c r="P109" s="148"/>
      <c r="Q109" s="75"/>
      <c r="R109" s="153"/>
      <c r="S109" s="76"/>
      <c r="T109" s="75"/>
      <c r="U109" s="76"/>
      <c r="V109" s="75"/>
      <c r="W109" s="76"/>
      <c r="X109" s="75"/>
      <c r="Y109" s="154"/>
      <c r="Z109" s="76"/>
      <c r="AA109" s="151"/>
      <c r="AB109" s="151"/>
      <c r="AC109" s="76"/>
      <c r="AD109" s="177"/>
      <c r="AE109" s="136"/>
      <c r="AF109" s="178"/>
      <c r="AG109" s="84"/>
      <c r="AH109" s="178"/>
      <c r="AI109" s="76"/>
      <c r="AJ109" s="156"/>
      <c r="AK109" s="75"/>
      <c r="AL109" s="150"/>
      <c r="AM109" s="149"/>
      <c r="AN109" s="76"/>
      <c r="AO109" s="147"/>
      <c r="AP109" s="76"/>
      <c r="AQ109" s="154"/>
      <c r="AR109" s="150"/>
      <c r="AS109" s="180"/>
      <c r="AT109" s="17"/>
      <c r="AU109" s="104"/>
      <c r="AV109" s="54"/>
      <c r="AW109" s="55"/>
      <c r="AX109" s="55"/>
      <c r="AY109" s="101"/>
      <c r="AZ109" s="102"/>
      <c r="BA109" s="103"/>
      <c r="BB109" s="62"/>
      <c r="BC109" s="64"/>
      <c r="BD109" s="16"/>
      <c r="BE109" s="64"/>
      <c r="BF109" s="64"/>
      <c r="BG109" s="64"/>
      <c r="BH109" s="102"/>
      <c r="BI109" s="182"/>
      <c r="BJ109" s="182"/>
      <c r="BK109" s="63"/>
      <c r="BL109" s="63"/>
      <c r="BM109" s="63"/>
      <c r="BN109" s="63"/>
      <c r="BO109" s="64"/>
      <c r="BP109" s="65"/>
      <c r="BR109" s="174"/>
      <c r="BS109" s="175"/>
      <c r="BT109" s="176"/>
      <c r="BU109" s="18"/>
      <c r="BV109" s="188"/>
      <c r="BW109" s="188"/>
      <c r="BX109" s="188"/>
      <c r="BY109" s="18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</row>
    <row r="110" spans="1:93" x14ac:dyDescent="0.25">
      <c r="A110" s="184"/>
      <c r="B110" s="151"/>
      <c r="C110" s="179"/>
      <c r="D110" s="75"/>
      <c r="E110" s="147"/>
      <c r="F110" s="152"/>
      <c r="G110" s="76"/>
      <c r="H110" s="155"/>
      <c r="I110" s="152"/>
      <c r="J110" s="149"/>
      <c r="K110" s="148"/>
      <c r="L110" s="75"/>
      <c r="M110" s="75"/>
      <c r="N110" s="148"/>
      <c r="O110" s="75"/>
      <c r="P110" s="148"/>
      <c r="Q110" s="75"/>
      <c r="R110" s="153"/>
      <c r="S110" s="76"/>
      <c r="T110" s="75"/>
      <c r="U110" s="76"/>
      <c r="V110" s="75"/>
      <c r="W110" s="76"/>
      <c r="X110" s="75"/>
      <c r="Y110" s="154"/>
      <c r="Z110" s="76"/>
      <c r="AA110" s="151"/>
      <c r="AB110" s="151"/>
      <c r="AC110" s="76"/>
      <c r="AD110" s="177"/>
      <c r="AE110" s="136"/>
      <c r="AF110" s="178"/>
      <c r="AG110" s="84"/>
      <c r="AH110" s="178"/>
      <c r="AI110" s="76"/>
      <c r="AJ110" s="156"/>
      <c r="AK110" s="75"/>
      <c r="AL110" s="150"/>
      <c r="AM110" s="149"/>
      <c r="AN110" s="76"/>
      <c r="AO110" s="147"/>
      <c r="AP110" s="76"/>
      <c r="AQ110" s="154"/>
      <c r="AR110" s="150"/>
      <c r="AS110" s="180"/>
      <c r="AT110" s="17"/>
      <c r="AU110" s="104"/>
      <c r="AV110" s="54"/>
      <c r="AW110" s="55"/>
      <c r="AX110" s="55"/>
      <c r="AY110" s="101"/>
      <c r="AZ110" s="102"/>
      <c r="BA110" s="103"/>
      <c r="BB110" s="62"/>
      <c r="BC110" s="64"/>
      <c r="BD110" s="16"/>
      <c r="BE110" s="64"/>
      <c r="BF110" s="64"/>
      <c r="BG110" s="64"/>
      <c r="BH110" s="102"/>
      <c r="BI110" s="182"/>
      <c r="BJ110" s="182"/>
      <c r="BK110" s="63"/>
      <c r="BL110" s="63"/>
      <c r="BM110" s="63"/>
      <c r="BN110" s="63"/>
      <c r="BO110" s="64"/>
      <c r="BP110" s="65"/>
      <c r="BR110" s="174"/>
      <c r="BS110" s="175"/>
      <c r="BT110" s="176"/>
      <c r="BU110" s="18"/>
      <c r="BV110" s="188"/>
      <c r="BW110" s="188"/>
      <c r="BX110" s="188"/>
      <c r="BY110" s="18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</row>
    <row r="111" spans="1:93" x14ac:dyDescent="0.25">
      <c r="A111" s="218"/>
      <c r="B111" s="151"/>
      <c r="C111" s="179"/>
      <c r="D111" s="75"/>
      <c r="E111" s="147"/>
      <c r="F111" s="152"/>
      <c r="G111" s="76"/>
      <c r="H111" s="155"/>
      <c r="I111" s="152"/>
      <c r="J111" s="149"/>
      <c r="K111" s="148"/>
      <c r="L111" s="75"/>
      <c r="M111" s="75"/>
      <c r="N111" s="148"/>
      <c r="O111" s="75"/>
      <c r="P111" s="148"/>
      <c r="Q111" s="75"/>
      <c r="R111" s="153"/>
      <c r="S111" s="76"/>
      <c r="T111" s="75"/>
      <c r="U111" s="76"/>
      <c r="V111" s="75"/>
      <c r="W111" s="76"/>
      <c r="X111" s="75"/>
      <c r="Y111" s="154"/>
      <c r="Z111" s="76"/>
      <c r="AA111" s="151"/>
      <c r="AB111" s="151"/>
      <c r="AC111" s="76"/>
      <c r="AD111" s="177"/>
      <c r="AE111" s="136"/>
      <c r="AF111" s="178"/>
      <c r="AG111" s="84"/>
      <c r="AH111" s="178"/>
      <c r="AI111" s="76"/>
      <c r="AJ111" s="156"/>
      <c r="AK111" s="75"/>
      <c r="AL111" s="150"/>
      <c r="AM111" s="149"/>
      <c r="AN111" s="76"/>
      <c r="AO111" s="147"/>
      <c r="AP111" s="76"/>
      <c r="AQ111" s="154"/>
      <c r="AR111" s="150"/>
      <c r="AS111" s="180"/>
      <c r="AT111" s="17"/>
      <c r="AU111" s="104"/>
      <c r="AV111" s="54"/>
      <c r="AW111" s="55"/>
      <c r="AX111" s="55"/>
      <c r="AY111" s="101"/>
      <c r="AZ111" s="102"/>
      <c r="BA111" s="103"/>
      <c r="BB111" s="62"/>
      <c r="BC111" s="64"/>
      <c r="BD111" s="16"/>
      <c r="BE111" s="64"/>
      <c r="BF111" s="64"/>
      <c r="BG111" s="64"/>
      <c r="BH111" s="102"/>
      <c r="BI111" s="182"/>
      <c r="BJ111" s="182"/>
      <c r="BK111" s="63"/>
      <c r="BL111" s="63"/>
      <c r="BM111" s="63"/>
      <c r="BN111" s="63"/>
      <c r="BO111" s="64"/>
      <c r="BP111" s="65"/>
      <c r="BR111" s="174"/>
      <c r="BS111" s="175"/>
      <c r="BT111" s="176"/>
      <c r="BU111" s="18"/>
      <c r="BV111" s="188"/>
      <c r="BW111" s="188"/>
      <c r="BX111" s="188"/>
      <c r="BY111" s="18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</row>
    <row r="112" spans="1:93" x14ac:dyDescent="0.25">
      <c r="A112" s="184"/>
      <c r="B112" s="151"/>
      <c r="C112" s="179"/>
      <c r="D112" s="75"/>
      <c r="E112" s="147"/>
      <c r="F112" s="152"/>
      <c r="G112" s="76"/>
      <c r="H112" s="155"/>
      <c r="I112" s="152"/>
      <c r="J112" s="149"/>
      <c r="K112" s="148"/>
      <c r="L112" s="75"/>
      <c r="M112" s="75"/>
      <c r="N112" s="148"/>
      <c r="O112" s="75"/>
      <c r="P112" s="148"/>
      <c r="Q112" s="75"/>
      <c r="R112" s="153"/>
      <c r="S112" s="76"/>
      <c r="T112" s="75"/>
      <c r="U112" s="76"/>
      <c r="V112" s="75"/>
      <c r="W112" s="76"/>
      <c r="X112" s="75"/>
      <c r="Y112" s="154"/>
      <c r="Z112" s="76"/>
      <c r="AA112" s="151"/>
      <c r="AB112" s="151"/>
      <c r="AC112" s="76"/>
      <c r="AD112" s="177"/>
      <c r="AE112" s="136"/>
      <c r="AF112" s="178"/>
      <c r="AG112" s="84"/>
      <c r="AH112" s="178"/>
      <c r="AI112" s="76"/>
      <c r="AJ112" s="156"/>
      <c r="AK112" s="75"/>
      <c r="AL112" s="150"/>
      <c r="AM112" s="149"/>
      <c r="AN112" s="76"/>
      <c r="AO112" s="147"/>
      <c r="AP112" s="76"/>
      <c r="AQ112" s="154"/>
      <c r="AR112" s="150"/>
      <c r="AS112" s="180"/>
      <c r="AT112" s="17"/>
      <c r="AU112" s="104"/>
      <c r="AV112" s="54"/>
      <c r="AW112" s="55"/>
      <c r="AX112" s="55"/>
      <c r="AY112" s="101"/>
      <c r="AZ112" s="102"/>
      <c r="BA112" s="103"/>
      <c r="BB112" s="62"/>
      <c r="BC112" s="64"/>
      <c r="BD112" s="16"/>
      <c r="BE112" s="64"/>
      <c r="BF112" s="64"/>
      <c r="BG112" s="64"/>
      <c r="BH112" s="102"/>
      <c r="BI112" s="182"/>
      <c r="BJ112" s="182"/>
      <c r="BK112" s="63"/>
      <c r="BL112" s="63"/>
      <c r="BM112" s="63"/>
      <c r="BN112" s="63"/>
      <c r="BO112" s="64"/>
      <c r="BP112" s="65"/>
      <c r="BR112" s="174"/>
      <c r="BS112" s="175"/>
      <c r="BT112" s="176"/>
      <c r="BU112" s="18"/>
      <c r="BV112" s="188"/>
      <c r="BW112" s="188"/>
      <c r="BX112" s="188"/>
      <c r="BY112" s="18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</row>
    <row r="113" spans="1:93" x14ac:dyDescent="0.25">
      <c r="A113" s="184"/>
      <c r="B113" s="151"/>
      <c r="C113" s="179"/>
      <c r="D113" s="75"/>
      <c r="E113" s="147"/>
      <c r="F113" s="152"/>
      <c r="G113" s="76"/>
      <c r="H113" s="155"/>
      <c r="I113" s="152"/>
      <c r="J113" s="149"/>
      <c r="K113" s="148"/>
      <c r="L113" s="75"/>
      <c r="M113" s="75"/>
      <c r="N113" s="148"/>
      <c r="O113" s="75"/>
      <c r="P113" s="148"/>
      <c r="Q113" s="75"/>
      <c r="R113" s="153"/>
      <c r="S113" s="76"/>
      <c r="T113" s="75"/>
      <c r="U113" s="76"/>
      <c r="V113" s="75"/>
      <c r="W113" s="76"/>
      <c r="X113" s="75"/>
      <c r="Y113" s="154"/>
      <c r="Z113" s="76"/>
      <c r="AA113" s="151"/>
      <c r="AB113" s="151"/>
      <c r="AC113" s="76"/>
      <c r="AD113" s="177"/>
      <c r="AE113" s="136"/>
      <c r="AF113" s="178"/>
      <c r="AG113" s="84"/>
      <c r="AH113" s="178"/>
      <c r="AI113" s="76"/>
      <c r="AJ113" s="156"/>
      <c r="AK113" s="75"/>
      <c r="AL113" s="150"/>
      <c r="AM113" s="149"/>
      <c r="AN113" s="76"/>
      <c r="AO113" s="147"/>
      <c r="AP113" s="76"/>
      <c r="AQ113" s="154"/>
      <c r="AR113" s="150"/>
      <c r="AS113" s="180"/>
      <c r="AT113" s="17"/>
      <c r="AU113" s="104"/>
      <c r="AV113" s="54"/>
      <c r="AW113" s="55"/>
      <c r="AX113" s="55"/>
      <c r="AY113" s="101"/>
      <c r="AZ113" s="102"/>
      <c r="BA113" s="103"/>
      <c r="BB113" s="62"/>
      <c r="BC113" s="64"/>
      <c r="BD113" s="16"/>
      <c r="BE113" s="64"/>
      <c r="BF113" s="64"/>
      <c r="BG113" s="64"/>
      <c r="BH113" s="102"/>
      <c r="BI113" s="182"/>
      <c r="BJ113" s="182"/>
      <c r="BK113" s="63"/>
      <c r="BL113" s="63"/>
      <c r="BM113" s="63"/>
      <c r="BN113" s="63"/>
      <c r="BO113" s="64"/>
      <c r="BP113" s="65"/>
      <c r="BR113" s="174"/>
      <c r="BS113" s="175"/>
      <c r="BT113" s="176"/>
      <c r="BU113" s="18"/>
      <c r="BV113" s="188"/>
      <c r="BW113" s="188"/>
      <c r="BX113" s="188"/>
      <c r="BY113" s="18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</row>
    <row r="114" spans="1:93" x14ac:dyDescent="0.25">
      <c r="A114" s="184"/>
      <c r="B114" s="151"/>
      <c r="C114" s="179"/>
      <c r="D114" s="75"/>
      <c r="E114" s="147"/>
      <c r="F114" s="152"/>
      <c r="G114" s="76"/>
      <c r="H114" s="155"/>
      <c r="I114" s="152"/>
      <c r="J114" s="149"/>
      <c r="K114" s="148"/>
      <c r="L114" s="75"/>
      <c r="M114" s="75"/>
      <c r="N114" s="148"/>
      <c r="O114" s="75"/>
      <c r="P114" s="148"/>
      <c r="Q114" s="75"/>
      <c r="R114" s="153"/>
      <c r="S114" s="76"/>
      <c r="T114" s="75"/>
      <c r="U114" s="76"/>
      <c r="V114" s="75"/>
      <c r="W114" s="76"/>
      <c r="X114" s="75"/>
      <c r="Y114" s="154"/>
      <c r="Z114" s="76"/>
      <c r="AA114" s="151"/>
      <c r="AB114" s="151"/>
      <c r="AC114" s="76"/>
      <c r="AD114" s="177"/>
      <c r="AE114" s="136"/>
      <c r="AF114" s="178"/>
      <c r="AG114" s="84"/>
      <c r="AH114" s="178"/>
      <c r="AI114" s="76"/>
      <c r="AJ114" s="156"/>
      <c r="AK114" s="75"/>
      <c r="AL114" s="150"/>
      <c r="AM114" s="149"/>
      <c r="AN114" s="76"/>
      <c r="AO114" s="147"/>
      <c r="AP114" s="76"/>
      <c r="AQ114" s="154"/>
      <c r="AR114" s="150"/>
      <c r="AS114" s="180"/>
      <c r="AT114" s="17"/>
      <c r="AU114" s="104"/>
      <c r="AV114" s="54"/>
      <c r="AW114" s="55"/>
      <c r="AX114" s="55"/>
      <c r="AY114" s="101"/>
      <c r="AZ114" s="102"/>
      <c r="BA114" s="103"/>
      <c r="BB114" s="62"/>
      <c r="BC114" s="64"/>
      <c r="BD114" s="16"/>
      <c r="BE114" s="64"/>
      <c r="BF114" s="64"/>
      <c r="BG114" s="64"/>
      <c r="BH114" s="102"/>
      <c r="BI114" s="182"/>
      <c r="BJ114" s="182"/>
      <c r="BK114" s="63"/>
      <c r="BL114" s="63"/>
      <c r="BM114" s="63"/>
      <c r="BN114" s="63"/>
      <c r="BO114" s="64"/>
      <c r="BP114" s="65"/>
      <c r="BR114" s="174"/>
      <c r="BS114" s="175"/>
      <c r="BT114" s="176"/>
      <c r="BU114" s="18"/>
      <c r="BV114" s="188"/>
      <c r="BW114" s="188"/>
      <c r="BX114" s="188"/>
      <c r="BY114" s="18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</row>
    <row r="115" spans="1:93" x14ac:dyDescent="0.25">
      <c r="A115" s="184"/>
      <c r="B115" s="151"/>
      <c r="C115" s="179"/>
      <c r="D115" s="75"/>
      <c r="E115" s="147"/>
      <c r="F115" s="152"/>
      <c r="G115" s="76"/>
      <c r="H115" s="155"/>
      <c r="I115" s="152"/>
      <c r="J115" s="149"/>
      <c r="K115" s="148"/>
      <c r="L115" s="75"/>
      <c r="M115" s="75"/>
      <c r="N115" s="148"/>
      <c r="O115" s="75"/>
      <c r="P115" s="148"/>
      <c r="Q115" s="75"/>
      <c r="R115" s="153"/>
      <c r="S115" s="76"/>
      <c r="T115" s="75"/>
      <c r="U115" s="76"/>
      <c r="V115" s="75"/>
      <c r="W115" s="76"/>
      <c r="X115" s="75"/>
      <c r="Y115" s="154"/>
      <c r="Z115" s="76"/>
      <c r="AA115" s="151"/>
      <c r="AB115" s="151"/>
      <c r="AC115" s="76"/>
      <c r="AD115" s="177"/>
      <c r="AE115" s="136"/>
      <c r="AF115" s="178"/>
      <c r="AG115" s="84"/>
      <c r="AH115" s="178"/>
      <c r="AI115" s="76"/>
      <c r="AJ115" s="156"/>
      <c r="AK115" s="75"/>
      <c r="AL115" s="150"/>
      <c r="AM115" s="149"/>
      <c r="AN115" s="76"/>
      <c r="AO115" s="147"/>
      <c r="AP115" s="76"/>
      <c r="AQ115" s="154"/>
      <c r="AR115" s="150"/>
      <c r="AS115" s="180"/>
      <c r="AT115" s="17"/>
      <c r="AU115" s="104"/>
      <c r="AV115" s="54"/>
      <c r="AW115" s="55"/>
      <c r="AX115" s="55"/>
      <c r="AY115" s="101"/>
      <c r="AZ115" s="102"/>
      <c r="BA115" s="103"/>
      <c r="BB115" s="62"/>
      <c r="BC115" s="64"/>
      <c r="BD115" s="16"/>
      <c r="BE115" s="64"/>
      <c r="BF115" s="64"/>
      <c r="BG115" s="64"/>
      <c r="BH115" s="102"/>
      <c r="BI115" s="182"/>
      <c r="BJ115" s="182"/>
      <c r="BK115" s="63"/>
      <c r="BL115" s="63"/>
      <c r="BM115" s="63"/>
      <c r="BN115" s="63"/>
      <c r="BO115" s="64"/>
      <c r="BP115" s="65"/>
      <c r="BR115" s="174"/>
      <c r="BS115" s="175"/>
      <c r="BT115" s="176"/>
      <c r="BU115" s="18"/>
      <c r="BV115" s="188"/>
      <c r="BW115" s="188"/>
      <c r="BX115" s="188"/>
      <c r="BY115" s="18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</row>
    <row r="116" spans="1:93" x14ac:dyDescent="0.25">
      <c r="A116" s="184"/>
      <c r="B116" s="151"/>
      <c r="C116" s="179"/>
      <c r="D116" s="75"/>
      <c r="E116" s="147"/>
      <c r="F116" s="152"/>
      <c r="G116" s="76"/>
      <c r="H116" s="155"/>
      <c r="I116" s="152"/>
      <c r="J116" s="149"/>
      <c r="K116" s="148"/>
      <c r="L116" s="75"/>
      <c r="M116" s="75"/>
      <c r="N116" s="148"/>
      <c r="O116" s="75"/>
      <c r="P116" s="148"/>
      <c r="Q116" s="75"/>
      <c r="R116" s="153"/>
      <c r="S116" s="76"/>
      <c r="T116" s="75"/>
      <c r="U116" s="76"/>
      <c r="V116" s="75"/>
      <c r="W116" s="76"/>
      <c r="X116" s="75"/>
      <c r="Y116" s="154"/>
      <c r="Z116" s="76"/>
      <c r="AA116" s="151"/>
      <c r="AB116" s="151"/>
      <c r="AC116" s="76"/>
      <c r="AD116" s="177"/>
      <c r="AE116" s="136"/>
      <c r="AF116" s="178"/>
      <c r="AG116" s="84"/>
      <c r="AH116" s="178"/>
      <c r="AI116" s="76"/>
      <c r="AJ116" s="156"/>
      <c r="AK116" s="75"/>
      <c r="AL116" s="150"/>
      <c r="AM116" s="149"/>
      <c r="AN116" s="76"/>
      <c r="AO116" s="147"/>
      <c r="AP116" s="76"/>
      <c r="AQ116" s="154"/>
      <c r="AR116" s="150"/>
      <c r="AS116" s="180"/>
      <c r="AT116" s="17"/>
      <c r="AU116" s="104"/>
      <c r="AV116" s="54"/>
      <c r="AW116" s="55"/>
      <c r="AX116" s="55"/>
      <c r="AY116" s="101"/>
      <c r="AZ116" s="102"/>
      <c r="BA116" s="103"/>
      <c r="BB116" s="62"/>
      <c r="BC116" s="64"/>
      <c r="BD116" s="16"/>
      <c r="BE116" s="64"/>
      <c r="BF116" s="64"/>
      <c r="BG116" s="64"/>
      <c r="BH116" s="102"/>
      <c r="BI116" s="182"/>
      <c r="BJ116" s="182"/>
      <c r="BK116" s="63"/>
      <c r="BL116" s="63"/>
      <c r="BM116" s="63"/>
      <c r="BN116" s="63"/>
      <c r="BO116" s="64"/>
      <c r="BP116" s="65"/>
      <c r="BR116" s="174"/>
      <c r="BS116" s="175"/>
      <c r="BT116" s="176"/>
      <c r="BU116" s="18"/>
      <c r="BV116" s="188"/>
      <c r="BW116" s="188"/>
      <c r="BX116" s="188"/>
      <c r="BY116" s="18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</row>
    <row r="117" spans="1:93" x14ac:dyDescent="0.25">
      <c r="A117" s="184"/>
      <c r="B117" s="151"/>
      <c r="C117" s="179"/>
      <c r="D117" s="75"/>
      <c r="E117" s="147"/>
      <c r="F117" s="152"/>
      <c r="G117" s="76"/>
      <c r="H117" s="155"/>
      <c r="I117" s="152"/>
      <c r="J117" s="149"/>
      <c r="K117" s="148"/>
      <c r="L117" s="75"/>
      <c r="M117" s="75"/>
      <c r="N117" s="148"/>
      <c r="O117" s="75"/>
      <c r="P117" s="148"/>
      <c r="Q117" s="75"/>
      <c r="R117" s="153"/>
      <c r="S117" s="76"/>
      <c r="T117" s="75"/>
      <c r="U117" s="76"/>
      <c r="V117" s="75"/>
      <c r="W117" s="76"/>
      <c r="X117" s="75"/>
      <c r="Y117" s="154"/>
      <c r="Z117" s="76"/>
      <c r="AA117" s="151"/>
      <c r="AB117" s="151"/>
      <c r="AC117" s="76"/>
      <c r="AD117" s="177"/>
      <c r="AE117" s="136"/>
      <c r="AF117" s="178"/>
      <c r="AG117" s="84"/>
      <c r="AH117" s="178"/>
      <c r="AI117" s="76"/>
      <c r="AJ117" s="156"/>
      <c r="AK117" s="75"/>
      <c r="AL117" s="150"/>
      <c r="AM117" s="149"/>
      <c r="AN117" s="76"/>
      <c r="AO117" s="147"/>
      <c r="AP117" s="76"/>
      <c r="AQ117" s="154"/>
      <c r="AR117" s="150"/>
      <c r="AS117" s="180"/>
      <c r="AT117" s="17"/>
      <c r="AU117" s="104"/>
      <c r="AV117" s="54"/>
      <c r="AW117" s="55"/>
      <c r="AX117" s="55"/>
      <c r="AY117" s="101"/>
      <c r="AZ117" s="102"/>
      <c r="BA117" s="103"/>
      <c r="BB117" s="62"/>
      <c r="BC117" s="64"/>
      <c r="BD117" s="16"/>
      <c r="BE117" s="64"/>
      <c r="BF117" s="64"/>
      <c r="BG117" s="64"/>
      <c r="BH117" s="102"/>
      <c r="BI117" s="182"/>
      <c r="BJ117" s="182"/>
      <c r="BK117" s="63"/>
      <c r="BL117" s="63"/>
      <c r="BM117" s="63"/>
      <c r="BN117" s="63"/>
      <c r="BO117" s="64"/>
      <c r="BP117" s="65"/>
      <c r="BR117" s="174"/>
      <c r="BS117" s="175"/>
      <c r="BT117" s="176"/>
      <c r="BU117" s="18"/>
      <c r="BV117" s="188"/>
      <c r="BW117" s="188"/>
      <c r="BX117" s="188"/>
      <c r="BY117" s="18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</row>
    <row r="118" spans="1:93" x14ac:dyDescent="0.25">
      <c r="A118" s="184"/>
      <c r="B118" s="151"/>
      <c r="C118" s="179"/>
      <c r="D118" s="75"/>
      <c r="E118" s="147"/>
      <c r="F118" s="152"/>
      <c r="G118" s="76"/>
      <c r="H118" s="155"/>
      <c r="I118" s="152"/>
      <c r="J118" s="149"/>
      <c r="K118" s="148"/>
      <c r="L118" s="75"/>
      <c r="M118" s="75"/>
      <c r="N118" s="148"/>
      <c r="O118" s="75"/>
      <c r="P118" s="148"/>
      <c r="Q118" s="75"/>
      <c r="R118" s="153"/>
      <c r="S118" s="76"/>
      <c r="T118" s="75"/>
      <c r="U118" s="76"/>
      <c r="V118" s="75"/>
      <c r="W118" s="76"/>
      <c r="X118" s="75"/>
      <c r="Y118" s="154"/>
      <c r="Z118" s="76"/>
      <c r="AA118" s="151"/>
      <c r="AB118" s="151"/>
      <c r="AC118" s="76"/>
      <c r="AD118" s="177"/>
      <c r="AE118" s="136"/>
      <c r="AF118" s="178"/>
      <c r="AG118" s="84"/>
      <c r="AH118" s="178"/>
      <c r="AI118" s="76"/>
      <c r="AJ118" s="156"/>
      <c r="AK118" s="75"/>
      <c r="AL118" s="150"/>
      <c r="AM118" s="149"/>
      <c r="AN118" s="76"/>
      <c r="AO118" s="147"/>
      <c r="AP118" s="76"/>
      <c r="AQ118" s="154"/>
      <c r="AR118" s="150"/>
      <c r="AS118" s="180"/>
      <c r="AT118" s="17"/>
      <c r="AU118" s="104"/>
      <c r="AV118" s="54"/>
      <c r="AW118" s="55"/>
      <c r="AX118" s="55"/>
      <c r="AY118" s="101"/>
      <c r="AZ118" s="102"/>
      <c r="BA118" s="103"/>
      <c r="BB118" s="62"/>
      <c r="BC118" s="64"/>
      <c r="BD118" s="16"/>
      <c r="BE118" s="64"/>
      <c r="BF118" s="64"/>
      <c r="BG118" s="64"/>
      <c r="BH118" s="102"/>
      <c r="BI118" s="182"/>
      <c r="BJ118" s="182"/>
      <c r="BK118" s="63"/>
      <c r="BL118" s="63"/>
      <c r="BM118" s="63"/>
      <c r="BN118" s="63"/>
      <c r="BO118" s="64"/>
      <c r="BP118" s="65"/>
      <c r="BR118" s="174"/>
      <c r="BS118" s="175"/>
      <c r="BT118" s="176"/>
      <c r="BU118" s="18"/>
      <c r="BV118" s="188"/>
      <c r="BW118" s="188"/>
      <c r="BX118" s="188"/>
      <c r="BY118" s="18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</row>
    <row r="119" spans="1:93" x14ac:dyDescent="0.25">
      <c r="A119" s="184"/>
      <c r="B119" s="151"/>
      <c r="C119" s="179"/>
      <c r="D119" s="75"/>
      <c r="E119" s="147"/>
      <c r="F119" s="152"/>
      <c r="G119" s="76"/>
      <c r="H119" s="155"/>
      <c r="I119" s="152"/>
      <c r="J119" s="149"/>
      <c r="K119" s="148"/>
      <c r="L119" s="75"/>
      <c r="M119" s="75"/>
      <c r="N119" s="148"/>
      <c r="O119" s="75"/>
      <c r="P119" s="148"/>
      <c r="Q119" s="75"/>
      <c r="R119" s="153"/>
      <c r="S119" s="76"/>
      <c r="T119" s="75"/>
      <c r="U119" s="76"/>
      <c r="V119" s="75"/>
      <c r="W119" s="76"/>
      <c r="X119" s="75"/>
      <c r="Y119" s="154"/>
      <c r="Z119" s="76"/>
      <c r="AA119" s="151"/>
      <c r="AB119" s="151"/>
      <c r="AC119" s="76"/>
      <c r="AD119" s="177"/>
      <c r="AE119" s="136"/>
      <c r="AF119" s="178"/>
      <c r="AG119" s="84"/>
      <c r="AH119" s="178"/>
      <c r="AI119" s="76"/>
      <c r="AJ119" s="156"/>
      <c r="AK119" s="75"/>
      <c r="AL119" s="150"/>
      <c r="AM119" s="149"/>
      <c r="AN119" s="76"/>
      <c r="AO119" s="147"/>
      <c r="AP119" s="76"/>
      <c r="AQ119" s="154"/>
      <c r="AR119" s="150"/>
      <c r="AS119" s="180"/>
      <c r="AT119" s="17"/>
      <c r="AU119" s="104"/>
      <c r="AV119" s="54"/>
      <c r="AW119" s="55"/>
      <c r="AX119" s="55"/>
      <c r="AY119" s="101"/>
      <c r="AZ119" s="102"/>
      <c r="BA119" s="103"/>
      <c r="BB119" s="62"/>
      <c r="BC119" s="64"/>
      <c r="BD119" s="16"/>
      <c r="BE119" s="64"/>
      <c r="BF119" s="64"/>
      <c r="BG119" s="64"/>
      <c r="BH119" s="102"/>
      <c r="BI119" s="182"/>
      <c r="BJ119" s="182"/>
      <c r="BK119" s="63"/>
      <c r="BL119" s="63"/>
      <c r="BM119" s="63"/>
      <c r="BN119" s="63"/>
      <c r="BO119" s="64"/>
      <c r="BP119" s="65"/>
      <c r="BR119" s="174"/>
      <c r="BS119" s="175"/>
      <c r="BT119" s="176"/>
      <c r="BU119" s="18"/>
      <c r="BV119" s="188"/>
      <c r="BW119" s="188"/>
      <c r="BX119" s="188"/>
      <c r="BY119" s="18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</row>
    <row r="120" spans="1:93" x14ac:dyDescent="0.25">
      <c r="A120" s="184"/>
      <c r="B120" s="151"/>
      <c r="C120" s="179"/>
      <c r="D120" s="75"/>
      <c r="E120" s="147"/>
      <c r="F120" s="152"/>
      <c r="G120" s="76"/>
      <c r="H120" s="155"/>
      <c r="I120" s="152"/>
      <c r="J120" s="149"/>
      <c r="K120" s="148"/>
      <c r="L120" s="75"/>
      <c r="M120" s="75"/>
      <c r="N120" s="148"/>
      <c r="O120" s="75"/>
      <c r="P120" s="148"/>
      <c r="Q120" s="75"/>
      <c r="R120" s="153"/>
      <c r="S120" s="76"/>
      <c r="T120" s="75"/>
      <c r="U120" s="76"/>
      <c r="V120" s="75"/>
      <c r="W120" s="76"/>
      <c r="X120" s="75"/>
      <c r="Y120" s="154"/>
      <c r="Z120" s="76"/>
      <c r="AA120" s="151"/>
      <c r="AB120" s="151"/>
      <c r="AC120" s="76"/>
      <c r="AD120" s="177"/>
      <c r="AE120" s="136"/>
      <c r="AF120" s="178"/>
      <c r="AG120" s="84"/>
      <c r="AH120" s="178"/>
      <c r="AI120" s="76"/>
      <c r="AJ120" s="156"/>
      <c r="AK120" s="75"/>
      <c r="AL120" s="150"/>
      <c r="AM120" s="149"/>
      <c r="AN120" s="76"/>
      <c r="AO120" s="147"/>
      <c r="AP120" s="76"/>
      <c r="AQ120" s="154"/>
      <c r="AR120" s="150"/>
      <c r="AS120" s="180"/>
      <c r="AT120" s="17"/>
      <c r="AU120" s="104"/>
      <c r="AV120" s="54"/>
      <c r="AW120" s="55"/>
      <c r="AX120" s="55"/>
      <c r="AY120" s="101"/>
      <c r="AZ120" s="102"/>
      <c r="BA120" s="103"/>
      <c r="BB120" s="62"/>
      <c r="BC120" s="64"/>
      <c r="BD120" s="16"/>
      <c r="BE120" s="64"/>
      <c r="BF120" s="64"/>
      <c r="BG120" s="64"/>
      <c r="BH120" s="102"/>
      <c r="BI120" s="182"/>
      <c r="BJ120" s="182"/>
      <c r="BK120" s="63"/>
      <c r="BL120" s="63"/>
      <c r="BM120" s="63"/>
      <c r="BN120" s="63"/>
      <c r="BO120" s="64"/>
      <c r="BP120" s="65"/>
      <c r="BR120" s="174"/>
      <c r="BS120" s="175"/>
      <c r="BT120" s="176"/>
      <c r="BU120" s="18"/>
      <c r="BV120" s="188"/>
      <c r="BW120" s="188"/>
      <c r="BX120" s="188"/>
      <c r="BY120" s="18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</row>
    <row r="121" spans="1:93" x14ac:dyDescent="0.25">
      <c r="A121" s="184"/>
      <c r="B121" s="151"/>
      <c r="C121" s="179"/>
      <c r="D121" s="75"/>
      <c r="E121" s="147"/>
      <c r="F121" s="152"/>
      <c r="G121" s="76"/>
      <c r="H121" s="155"/>
      <c r="I121" s="152"/>
      <c r="J121" s="149"/>
      <c r="K121" s="148"/>
      <c r="L121" s="75"/>
      <c r="M121" s="75"/>
      <c r="N121" s="148"/>
      <c r="O121" s="75"/>
      <c r="P121" s="148"/>
      <c r="Q121" s="75"/>
      <c r="R121" s="153"/>
      <c r="S121" s="76"/>
      <c r="T121" s="75"/>
      <c r="U121" s="76"/>
      <c r="V121" s="75"/>
      <c r="W121" s="76"/>
      <c r="X121" s="75"/>
      <c r="Y121" s="154"/>
      <c r="Z121" s="76"/>
      <c r="AA121" s="151"/>
      <c r="AB121" s="151"/>
      <c r="AC121" s="76"/>
      <c r="AD121" s="177"/>
      <c r="AE121" s="136"/>
      <c r="AF121" s="178"/>
      <c r="AG121" s="84"/>
      <c r="AH121" s="178"/>
      <c r="AI121" s="76"/>
      <c r="AJ121" s="156"/>
      <c r="AK121" s="75"/>
      <c r="AL121" s="150"/>
      <c r="AM121" s="149"/>
      <c r="AN121" s="76"/>
      <c r="AO121" s="147"/>
      <c r="AP121" s="76"/>
      <c r="AQ121" s="154"/>
      <c r="AR121" s="150"/>
      <c r="AS121" s="180"/>
      <c r="AT121" s="17"/>
      <c r="AU121" s="104"/>
      <c r="AV121" s="54"/>
      <c r="AW121" s="55"/>
      <c r="AX121" s="55"/>
      <c r="AY121" s="101"/>
      <c r="AZ121" s="102"/>
      <c r="BA121" s="103"/>
      <c r="BB121" s="62"/>
      <c r="BC121" s="64"/>
      <c r="BD121" s="16"/>
      <c r="BE121" s="64"/>
      <c r="BF121" s="64"/>
      <c r="BG121" s="64"/>
      <c r="BH121" s="102"/>
      <c r="BI121" s="182"/>
      <c r="BJ121" s="182"/>
      <c r="BK121" s="63"/>
      <c r="BL121" s="63"/>
      <c r="BM121" s="63"/>
      <c r="BN121" s="63"/>
      <c r="BO121" s="64"/>
      <c r="BP121" s="65"/>
      <c r="BR121" s="174"/>
      <c r="BS121" s="175"/>
      <c r="BT121" s="176"/>
      <c r="BU121" s="18"/>
      <c r="BV121" s="188"/>
      <c r="BW121" s="188"/>
      <c r="BX121" s="188"/>
      <c r="BY121" s="18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</row>
    <row r="122" spans="1:93" x14ac:dyDescent="0.25">
      <c r="A122" s="184"/>
      <c r="B122" s="151"/>
      <c r="C122" s="179"/>
      <c r="D122" s="75"/>
      <c r="E122" s="147"/>
      <c r="F122" s="152"/>
      <c r="G122" s="76"/>
      <c r="H122" s="155"/>
      <c r="I122" s="152"/>
      <c r="J122" s="149"/>
      <c r="K122" s="148"/>
      <c r="L122" s="75"/>
      <c r="M122" s="75"/>
      <c r="N122" s="148"/>
      <c r="O122" s="75"/>
      <c r="P122" s="148"/>
      <c r="Q122" s="75"/>
      <c r="R122" s="153"/>
      <c r="S122" s="76"/>
      <c r="T122" s="75"/>
      <c r="U122" s="76"/>
      <c r="V122" s="75"/>
      <c r="W122" s="76"/>
      <c r="X122" s="75"/>
      <c r="Y122" s="154"/>
      <c r="Z122" s="76"/>
      <c r="AA122" s="151"/>
      <c r="AB122" s="151"/>
      <c r="AC122" s="76"/>
      <c r="AD122" s="177"/>
      <c r="AE122" s="136"/>
      <c r="AF122" s="178"/>
      <c r="AG122" s="84"/>
      <c r="AH122" s="178"/>
      <c r="AI122" s="76"/>
      <c r="AJ122" s="156"/>
      <c r="AK122" s="75"/>
      <c r="AL122" s="150"/>
      <c r="AM122" s="149"/>
      <c r="AN122" s="76"/>
      <c r="AO122" s="147"/>
      <c r="AP122" s="76"/>
      <c r="AQ122" s="154"/>
      <c r="AR122" s="150"/>
      <c r="AS122" s="180"/>
      <c r="AT122" s="17"/>
      <c r="AU122" s="104"/>
      <c r="AV122" s="54"/>
      <c r="AW122" s="55"/>
      <c r="AX122" s="55"/>
      <c r="AY122" s="101"/>
      <c r="AZ122" s="102"/>
      <c r="BA122" s="103"/>
      <c r="BB122" s="62"/>
      <c r="BC122" s="64"/>
      <c r="BD122" s="16"/>
      <c r="BE122" s="64"/>
      <c r="BF122" s="64"/>
      <c r="BG122" s="64"/>
      <c r="BH122" s="102"/>
      <c r="BI122" s="182"/>
      <c r="BJ122" s="182"/>
      <c r="BK122" s="63"/>
      <c r="BL122" s="63"/>
      <c r="BM122" s="63"/>
      <c r="BN122" s="63"/>
      <c r="BO122" s="64"/>
      <c r="BP122" s="65"/>
      <c r="BR122" s="174"/>
      <c r="BS122" s="175"/>
      <c r="BT122" s="176"/>
      <c r="BU122" s="18"/>
      <c r="BV122" s="188"/>
      <c r="BW122" s="188"/>
      <c r="BX122" s="188"/>
      <c r="BY122" s="18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</row>
    <row r="123" spans="1:93" x14ac:dyDescent="0.25">
      <c r="A123" s="184"/>
      <c r="B123" s="151"/>
      <c r="C123" s="179"/>
      <c r="D123" s="75"/>
      <c r="E123" s="147"/>
      <c r="F123" s="152"/>
      <c r="G123" s="76"/>
      <c r="H123" s="155"/>
      <c r="I123" s="152"/>
      <c r="J123" s="149"/>
      <c r="K123" s="148"/>
      <c r="L123" s="75"/>
      <c r="M123" s="75"/>
      <c r="N123" s="148"/>
      <c r="O123" s="75"/>
      <c r="P123" s="148"/>
      <c r="Q123" s="75"/>
      <c r="R123" s="153"/>
      <c r="S123" s="76"/>
      <c r="T123" s="75"/>
      <c r="U123" s="76"/>
      <c r="V123" s="75"/>
      <c r="W123" s="76"/>
      <c r="X123" s="75"/>
      <c r="Y123" s="154"/>
      <c r="Z123" s="76"/>
      <c r="AA123" s="151"/>
      <c r="AB123" s="151"/>
      <c r="AC123" s="76"/>
      <c r="AD123" s="177"/>
      <c r="AE123" s="136"/>
      <c r="AF123" s="178"/>
      <c r="AG123" s="84"/>
      <c r="AH123" s="178"/>
      <c r="AI123" s="76"/>
      <c r="AJ123" s="156"/>
      <c r="AK123" s="75"/>
      <c r="AL123" s="150"/>
      <c r="AM123" s="149"/>
      <c r="AN123" s="76"/>
      <c r="AO123" s="147"/>
      <c r="AP123" s="76"/>
      <c r="AQ123" s="154"/>
      <c r="AR123" s="150"/>
      <c r="AS123" s="180"/>
      <c r="AT123" s="17"/>
      <c r="AU123" s="104"/>
      <c r="AV123" s="54"/>
      <c r="AW123" s="55"/>
      <c r="AX123" s="55"/>
      <c r="AY123" s="101"/>
      <c r="AZ123" s="102"/>
      <c r="BA123" s="103"/>
      <c r="BB123" s="62"/>
      <c r="BC123" s="64"/>
      <c r="BD123" s="16"/>
      <c r="BE123" s="64"/>
      <c r="BF123" s="64"/>
      <c r="BG123" s="64"/>
      <c r="BH123" s="102"/>
      <c r="BI123" s="182"/>
      <c r="BJ123" s="182"/>
      <c r="BK123" s="63"/>
      <c r="BL123" s="63"/>
      <c r="BM123" s="63"/>
      <c r="BN123" s="63"/>
      <c r="BO123" s="64"/>
      <c r="BP123" s="65"/>
      <c r="BR123" s="174"/>
      <c r="BS123" s="175"/>
      <c r="BT123" s="176"/>
      <c r="BU123" s="18"/>
      <c r="BV123" s="188"/>
      <c r="BW123" s="188"/>
      <c r="BX123" s="188"/>
      <c r="BY123" s="18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</row>
    <row r="124" spans="1:93" x14ac:dyDescent="0.25">
      <c r="A124" s="184"/>
      <c r="B124" s="151"/>
      <c r="C124" s="179"/>
      <c r="D124" s="75"/>
      <c r="E124" s="147"/>
      <c r="F124" s="152"/>
      <c r="G124" s="76"/>
      <c r="H124" s="155"/>
      <c r="I124" s="152"/>
      <c r="J124" s="149"/>
      <c r="K124" s="148"/>
      <c r="L124" s="75"/>
      <c r="M124" s="75"/>
      <c r="N124" s="148"/>
      <c r="O124" s="75"/>
      <c r="P124" s="148"/>
      <c r="Q124" s="75"/>
      <c r="R124" s="153"/>
      <c r="S124" s="76"/>
      <c r="T124" s="75"/>
      <c r="U124" s="76"/>
      <c r="V124" s="75"/>
      <c r="W124" s="76"/>
      <c r="X124" s="75"/>
      <c r="Y124" s="154"/>
      <c r="Z124" s="76"/>
      <c r="AA124" s="151"/>
      <c r="AB124" s="151"/>
      <c r="AC124" s="76"/>
      <c r="AD124" s="177"/>
      <c r="AE124" s="136"/>
      <c r="AF124" s="178"/>
      <c r="AG124" s="84"/>
      <c r="AH124" s="178"/>
      <c r="AI124" s="76"/>
      <c r="AJ124" s="156"/>
      <c r="AK124" s="75"/>
      <c r="AL124" s="150"/>
      <c r="AM124" s="149"/>
      <c r="AN124" s="76"/>
      <c r="AO124" s="147"/>
      <c r="AP124" s="76"/>
      <c r="AQ124" s="154"/>
      <c r="AR124" s="150"/>
      <c r="AS124" s="180"/>
      <c r="AT124" s="17"/>
      <c r="AU124" s="104"/>
      <c r="AV124" s="54"/>
      <c r="AW124" s="55"/>
      <c r="AX124" s="55"/>
      <c r="AY124" s="101"/>
      <c r="AZ124" s="102"/>
      <c r="BA124" s="103"/>
      <c r="BB124" s="62"/>
      <c r="BC124" s="64"/>
      <c r="BD124" s="16"/>
      <c r="BE124" s="64"/>
      <c r="BF124" s="64"/>
      <c r="BG124" s="64"/>
      <c r="BH124" s="102"/>
      <c r="BI124" s="182"/>
      <c r="BJ124" s="182"/>
      <c r="BK124" s="63"/>
      <c r="BL124" s="63"/>
      <c r="BM124" s="63"/>
      <c r="BN124" s="63"/>
      <c r="BO124" s="64"/>
      <c r="BP124" s="65"/>
      <c r="BR124" s="174"/>
      <c r="BS124" s="175"/>
      <c r="BT124" s="176"/>
      <c r="BU124" s="18"/>
      <c r="BV124" s="188"/>
      <c r="BW124" s="188"/>
      <c r="BX124" s="188"/>
      <c r="BY124" s="18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</row>
    <row r="125" spans="1:93" x14ac:dyDescent="0.25">
      <c r="A125" s="184"/>
      <c r="B125" s="151"/>
      <c r="C125" s="179"/>
      <c r="D125" s="75"/>
      <c r="E125" s="147"/>
      <c r="F125" s="152"/>
      <c r="G125" s="76"/>
      <c r="H125" s="155"/>
      <c r="I125" s="152"/>
      <c r="J125" s="149"/>
      <c r="K125" s="148"/>
      <c r="L125" s="75"/>
      <c r="M125" s="75"/>
      <c r="N125" s="148"/>
      <c r="O125" s="75"/>
      <c r="P125" s="148"/>
      <c r="Q125" s="75"/>
      <c r="R125" s="153"/>
      <c r="S125" s="76"/>
      <c r="T125" s="75"/>
      <c r="U125" s="76"/>
      <c r="V125" s="75"/>
      <c r="W125" s="76"/>
      <c r="X125" s="75"/>
      <c r="Y125" s="154"/>
      <c r="Z125" s="76"/>
      <c r="AA125" s="151"/>
      <c r="AB125" s="151"/>
      <c r="AC125" s="76"/>
      <c r="AD125" s="177"/>
      <c r="AE125" s="136"/>
      <c r="AF125" s="178"/>
      <c r="AG125" s="84"/>
      <c r="AH125" s="178"/>
      <c r="AI125" s="76"/>
      <c r="AJ125" s="156"/>
      <c r="AK125" s="75"/>
      <c r="AL125" s="150"/>
      <c r="AM125" s="149"/>
      <c r="AN125" s="76"/>
      <c r="AO125" s="147"/>
      <c r="AP125" s="76"/>
      <c r="AQ125" s="154"/>
      <c r="AR125" s="150"/>
      <c r="AS125" s="180"/>
      <c r="AT125" s="17"/>
      <c r="AU125" s="104"/>
      <c r="AV125" s="54"/>
      <c r="AW125" s="55"/>
      <c r="AX125" s="55"/>
      <c r="AY125" s="101"/>
      <c r="AZ125" s="102"/>
      <c r="BA125" s="103"/>
      <c r="BB125" s="62"/>
      <c r="BC125" s="64"/>
      <c r="BD125" s="16"/>
      <c r="BE125" s="64"/>
      <c r="BF125" s="64"/>
      <c r="BG125" s="64"/>
      <c r="BH125" s="102"/>
      <c r="BI125" s="182"/>
      <c r="BJ125" s="182"/>
      <c r="BK125" s="63"/>
      <c r="BL125" s="63"/>
      <c r="BM125" s="63"/>
      <c r="BN125" s="63"/>
      <c r="BO125" s="64"/>
      <c r="BP125" s="65"/>
      <c r="BR125" s="174"/>
      <c r="BS125" s="175"/>
      <c r="BT125" s="176"/>
      <c r="BU125" s="18"/>
      <c r="BV125" s="188"/>
      <c r="BW125" s="188"/>
      <c r="BX125" s="188"/>
      <c r="BY125" s="18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</row>
    <row r="126" spans="1:93" x14ac:dyDescent="0.25">
      <c r="A126" s="184"/>
      <c r="B126" s="151"/>
      <c r="C126" s="179"/>
      <c r="D126" s="75"/>
      <c r="E126" s="147"/>
      <c r="F126" s="152"/>
      <c r="G126" s="76"/>
      <c r="H126" s="155"/>
      <c r="I126" s="152"/>
      <c r="J126" s="149"/>
      <c r="K126" s="148"/>
      <c r="L126" s="75"/>
      <c r="M126" s="75"/>
      <c r="N126" s="148"/>
      <c r="O126" s="75"/>
      <c r="P126" s="148"/>
      <c r="Q126" s="75"/>
      <c r="R126" s="153"/>
      <c r="S126" s="76"/>
      <c r="T126" s="75"/>
      <c r="U126" s="76"/>
      <c r="V126" s="75"/>
      <c r="W126" s="76"/>
      <c r="X126" s="75"/>
      <c r="Y126" s="154"/>
      <c r="Z126" s="76"/>
      <c r="AA126" s="151"/>
      <c r="AB126" s="151"/>
      <c r="AC126" s="76"/>
      <c r="AD126" s="177"/>
      <c r="AE126" s="136"/>
      <c r="AF126" s="178"/>
      <c r="AG126" s="84"/>
      <c r="AH126" s="178"/>
      <c r="AI126" s="76"/>
      <c r="AJ126" s="156"/>
      <c r="AK126" s="75"/>
      <c r="AL126" s="150"/>
      <c r="AM126" s="149"/>
      <c r="AN126" s="76"/>
      <c r="AO126" s="147"/>
      <c r="AP126" s="76"/>
      <c r="AQ126" s="154"/>
      <c r="AR126" s="150"/>
      <c r="AS126" s="180"/>
      <c r="AT126" s="17"/>
      <c r="AU126" s="104"/>
      <c r="AV126" s="54"/>
      <c r="AW126" s="55"/>
      <c r="AX126" s="55"/>
      <c r="AY126" s="101"/>
      <c r="AZ126" s="102"/>
      <c r="BA126" s="103"/>
      <c r="BB126" s="62"/>
      <c r="BC126" s="64"/>
      <c r="BD126" s="16"/>
      <c r="BE126" s="64"/>
      <c r="BF126" s="64"/>
      <c r="BG126" s="64"/>
      <c r="BH126" s="102"/>
      <c r="BI126" s="182"/>
      <c r="BJ126" s="182"/>
      <c r="BK126" s="63"/>
      <c r="BL126" s="63"/>
      <c r="BM126" s="63"/>
      <c r="BN126" s="63"/>
      <c r="BO126" s="64"/>
      <c r="BP126" s="65"/>
      <c r="BR126" s="174"/>
      <c r="BS126" s="175"/>
      <c r="BT126" s="176"/>
      <c r="BU126" s="18"/>
      <c r="BV126" s="188"/>
      <c r="BW126" s="188"/>
      <c r="BX126" s="188"/>
      <c r="BY126" s="18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</row>
    <row r="127" spans="1:93" x14ac:dyDescent="0.25">
      <c r="A127" s="184"/>
      <c r="B127" s="151"/>
      <c r="C127" s="179"/>
      <c r="D127" s="75"/>
      <c r="E127" s="147"/>
      <c r="F127" s="152"/>
      <c r="G127" s="76"/>
      <c r="H127" s="155"/>
      <c r="I127" s="152"/>
      <c r="J127" s="149"/>
      <c r="K127" s="148"/>
      <c r="L127" s="75"/>
      <c r="M127" s="75"/>
      <c r="N127" s="148"/>
      <c r="O127" s="75"/>
      <c r="P127" s="148"/>
      <c r="Q127" s="75"/>
      <c r="R127" s="153"/>
      <c r="S127" s="76"/>
      <c r="T127" s="75"/>
      <c r="U127" s="76"/>
      <c r="V127" s="75"/>
      <c r="W127" s="76"/>
      <c r="X127" s="75"/>
      <c r="Y127" s="154"/>
      <c r="Z127" s="76"/>
      <c r="AA127" s="151"/>
      <c r="AB127" s="151"/>
      <c r="AC127" s="76"/>
      <c r="AD127" s="177"/>
      <c r="AE127" s="136"/>
      <c r="AF127" s="178"/>
      <c r="AG127" s="84"/>
      <c r="AH127" s="178"/>
      <c r="AI127" s="76"/>
      <c r="AJ127" s="156"/>
      <c r="AK127" s="75"/>
      <c r="AL127" s="150"/>
      <c r="AM127" s="149"/>
      <c r="AN127" s="76"/>
      <c r="AO127" s="147"/>
      <c r="AP127" s="76"/>
      <c r="AQ127" s="154"/>
      <c r="AR127" s="150"/>
      <c r="AS127" s="180"/>
      <c r="AT127" s="17"/>
      <c r="AU127" s="104"/>
      <c r="AV127" s="54"/>
      <c r="AW127" s="55"/>
      <c r="AX127" s="55"/>
      <c r="AY127" s="101"/>
      <c r="AZ127" s="102"/>
      <c r="BA127" s="103"/>
      <c r="BB127" s="62"/>
      <c r="BC127" s="64"/>
      <c r="BD127" s="16"/>
      <c r="BE127" s="64"/>
      <c r="BF127" s="64"/>
      <c r="BG127" s="64"/>
      <c r="BH127" s="102"/>
      <c r="BI127" s="182"/>
      <c r="BJ127" s="182"/>
      <c r="BK127" s="63"/>
      <c r="BL127" s="63"/>
      <c r="BM127" s="63"/>
      <c r="BN127" s="63"/>
      <c r="BO127" s="64"/>
      <c r="BP127" s="65"/>
      <c r="BR127" s="174"/>
      <c r="BS127" s="175"/>
      <c r="BT127" s="176"/>
      <c r="BU127" s="18"/>
      <c r="BV127" s="188"/>
      <c r="BW127" s="188"/>
      <c r="BX127" s="188"/>
      <c r="BY127" s="18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</row>
    <row r="128" spans="1:93" x14ac:dyDescent="0.25">
      <c r="A128" s="184"/>
      <c r="B128" s="151"/>
      <c r="C128" s="179"/>
      <c r="D128" s="75"/>
      <c r="E128" s="147"/>
      <c r="F128" s="152"/>
      <c r="G128" s="76"/>
      <c r="H128" s="155"/>
      <c r="I128" s="152"/>
      <c r="J128" s="149"/>
      <c r="K128" s="148"/>
      <c r="L128" s="75"/>
      <c r="M128" s="75"/>
      <c r="N128" s="148"/>
      <c r="O128" s="75"/>
      <c r="P128" s="148"/>
      <c r="Q128" s="75"/>
      <c r="R128" s="153"/>
      <c r="S128" s="76"/>
      <c r="T128" s="75"/>
      <c r="U128" s="76"/>
      <c r="V128" s="75"/>
      <c r="W128" s="76"/>
      <c r="X128" s="75"/>
      <c r="Y128" s="154"/>
      <c r="Z128" s="76"/>
      <c r="AA128" s="151"/>
      <c r="AB128" s="151"/>
      <c r="AC128" s="76"/>
      <c r="AD128" s="177"/>
      <c r="AE128" s="136"/>
      <c r="AF128" s="178"/>
      <c r="AG128" s="84"/>
      <c r="AH128" s="178"/>
      <c r="AI128" s="76"/>
      <c r="AJ128" s="156"/>
      <c r="AK128" s="75"/>
      <c r="AL128" s="150"/>
      <c r="AM128" s="149"/>
      <c r="AN128" s="76"/>
      <c r="AO128" s="147"/>
      <c r="AP128" s="76"/>
      <c r="AQ128" s="154"/>
      <c r="AR128" s="150"/>
      <c r="AS128" s="180"/>
      <c r="AT128" s="17"/>
      <c r="AU128" s="104"/>
      <c r="AV128" s="54"/>
      <c r="AW128" s="55"/>
      <c r="AX128" s="55"/>
      <c r="AY128" s="101"/>
      <c r="AZ128" s="102"/>
      <c r="BA128" s="103"/>
      <c r="BB128" s="62"/>
      <c r="BC128" s="64"/>
      <c r="BD128" s="16"/>
      <c r="BE128" s="64"/>
      <c r="BF128" s="64"/>
      <c r="BG128" s="64"/>
      <c r="BH128" s="102"/>
      <c r="BI128" s="182"/>
      <c r="BJ128" s="182"/>
      <c r="BK128" s="63"/>
      <c r="BL128" s="63"/>
      <c r="BM128" s="63"/>
      <c r="BN128" s="63"/>
      <c r="BO128" s="64"/>
      <c r="BP128" s="65"/>
      <c r="BR128" s="174"/>
      <c r="BS128" s="175"/>
      <c r="BT128" s="176"/>
      <c r="BU128" s="18"/>
      <c r="BV128" s="188"/>
      <c r="BW128" s="188"/>
      <c r="BX128" s="188"/>
      <c r="BY128" s="18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</row>
    <row r="129" spans="1:93" x14ac:dyDescent="0.25">
      <c r="A129" s="184"/>
      <c r="B129" s="151"/>
      <c r="C129" s="179"/>
      <c r="D129" s="75"/>
      <c r="E129" s="147"/>
      <c r="F129" s="152"/>
      <c r="G129" s="76"/>
      <c r="H129" s="155"/>
      <c r="I129" s="152"/>
      <c r="J129" s="149"/>
      <c r="K129" s="148"/>
      <c r="L129" s="75"/>
      <c r="M129" s="75"/>
      <c r="N129" s="148"/>
      <c r="O129" s="75"/>
      <c r="P129" s="148"/>
      <c r="Q129" s="75"/>
      <c r="R129" s="153"/>
      <c r="S129" s="76"/>
      <c r="T129" s="75"/>
      <c r="U129" s="76"/>
      <c r="V129" s="75"/>
      <c r="W129" s="76"/>
      <c r="X129" s="75"/>
      <c r="Y129" s="154"/>
      <c r="Z129" s="76"/>
      <c r="AA129" s="151"/>
      <c r="AB129" s="151"/>
      <c r="AC129" s="76"/>
      <c r="AD129" s="177"/>
      <c r="AE129" s="136"/>
      <c r="AF129" s="178"/>
      <c r="AG129" s="84"/>
      <c r="AH129" s="178"/>
      <c r="AI129" s="76"/>
      <c r="AJ129" s="156"/>
      <c r="AK129" s="75"/>
      <c r="AL129" s="150"/>
      <c r="AM129" s="149"/>
      <c r="AN129" s="76"/>
      <c r="AO129" s="147"/>
      <c r="AP129" s="76"/>
      <c r="AQ129" s="154"/>
      <c r="AR129" s="150"/>
      <c r="AS129" s="180"/>
      <c r="AT129" s="17"/>
      <c r="AU129" s="104"/>
      <c r="AV129" s="54"/>
      <c r="AW129" s="55"/>
      <c r="AX129" s="55"/>
      <c r="AY129" s="101"/>
      <c r="AZ129" s="102"/>
      <c r="BA129" s="103"/>
      <c r="BB129" s="62"/>
      <c r="BC129" s="64"/>
      <c r="BD129" s="16"/>
      <c r="BE129" s="64"/>
      <c r="BF129" s="64"/>
      <c r="BG129" s="64"/>
      <c r="BH129" s="102"/>
      <c r="BI129" s="182"/>
      <c r="BJ129" s="182"/>
      <c r="BK129" s="63"/>
      <c r="BL129" s="63"/>
      <c r="BM129" s="63"/>
      <c r="BN129" s="63"/>
      <c r="BO129" s="64"/>
      <c r="BP129" s="65"/>
      <c r="BR129" s="174"/>
      <c r="BS129" s="175"/>
      <c r="BT129" s="176"/>
      <c r="BU129" s="18"/>
      <c r="BV129" s="188"/>
      <c r="BW129" s="188"/>
      <c r="BX129" s="188"/>
      <c r="BY129" s="18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</row>
    <row r="130" spans="1:93" x14ac:dyDescent="0.25">
      <c r="A130" s="184"/>
      <c r="B130" s="151"/>
      <c r="C130" s="179"/>
      <c r="D130" s="75"/>
      <c r="E130" s="147"/>
      <c r="F130" s="152"/>
      <c r="G130" s="76"/>
      <c r="H130" s="155"/>
      <c r="I130" s="152"/>
      <c r="J130" s="149"/>
      <c r="K130" s="148"/>
      <c r="L130" s="75"/>
      <c r="M130" s="75"/>
      <c r="N130" s="148"/>
      <c r="O130" s="75"/>
      <c r="P130" s="148"/>
      <c r="Q130" s="75"/>
      <c r="R130" s="153"/>
      <c r="S130" s="76"/>
      <c r="T130" s="75"/>
      <c r="U130" s="76"/>
      <c r="V130" s="75"/>
      <c r="W130" s="76"/>
      <c r="X130" s="75"/>
      <c r="Y130" s="154"/>
      <c r="Z130" s="76"/>
      <c r="AA130" s="151"/>
      <c r="AB130" s="151"/>
      <c r="AC130" s="76"/>
      <c r="AD130" s="177"/>
      <c r="AE130" s="136"/>
      <c r="AF130" s="178"/>
      <c r="AG130" s="84"/>
      <c r="AH130" s="178"/>
      <c r="AI130" s="76"/>
      <c r="AJ130" s="156"/>
      <c r="AK130" s="75"/>
      <c r="AL130" s="150"/>
      <c r="AM130" s="149"/>
      <c r="AN130" s="76"/>
      <c r="AO130" s="147"/>
      <c r="AP130" s="76"/>
      <c r="AQ130" s="154"/>
      <c r="AR130" s="150"/>
      <c r="AS130" s="180"/>
      <c r="AT130" s="17"/>
      <c r="AU130" s="104"/>
      <c r="AV130" s="54"/>
      <c r="AW130" s="55"/>
      <c r="AX130" s="55"/>
      <c r="AY130" s="101"/>
      <c r="AZ130" s="102"/>
      <c r="BA130" s="103"/>
      <c r="BB130" s="62"/>
      <c r="BC130" s="64"/>
      <c r="BD130" s="16"/>
      <c r="BE130" s="64"/>
      <c r="BF130" s="64"/>
      <c r="BG130" s="64"/>
      <c r="BH130" s="102"/>
      <c r="BI130" s="182"/>
      <c r="BJ130" s="182"/>
      <c r="BK130" s="63"/>
      <c r="BL130" s="63"/>
      <c r="BM130" s="63"/>
      <c r="BN130" s="63"/>
      <c r="BO130" s="64"/>
      <c r="BP130" s="65"/>
      <c r="BR130" s="174"/>
      <c r="BS130" s="175"/>
      <c r="BT130" s="176"/>
      <c r="BU130" s="18"/>
      <c r="BV130" s="188"/>
      <c r="BW130" s="188"/>
      <c r="BX130" s="188"/>
      <c r="BY130" s="18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</row>
    <row r="131" spans="1:93" x14ac:dyDescent="0.25">
      <c r="A131" s="184"/>
      <c r="B131" s="151"/>
      <c r="C131" s="179"/>
      <c r="D131" s="75"/>
      <c r="E131" s="147"/>
      <c r="F131" s="152"/>
      <c r="G131" s="76"/>
      <c r="H131" s="155"/>
      <c r="I131" s="152"/>
      <c r="J131" s="149"/>
      <c r="K131" s="148"/>
      <c r="L131" s="75"/>
      <c r="M131" s="75"/>
      <c r="N131" s="148"/>
      <c r="O131" s="75"/>
      <c r="P131" s="148"/>
      <c r="Q131" s="75"/>
      <c r="R131" s="153"/>
      <c r="S131" s="76"/>
      <c r="T131" s="75"/>
      <c r="U131" s="76"/>
      <c r="V131" s="75"/>
      <c r="W131" s="76"/>
      <c r="X131" s="75"/>
      <c r="Y131" s="154"/>
      <c r="Z131" s="76"/>
      <c r="AA131" s="151"/>
      <c r="AB131" s="151"/>
      <c r="AC131" s="76"/>
      <c r="AD131" s="177"/>
      <c r="AE131" s="136"/>
      <c r="AF131" s="178"/>
      <c r="AG131" s="84"/>
      <c r="AH131" s="178"/>
      <c r="AI131" s="76"/>
      <c r="AJ131" s="156"/>
      <c r="AK131" s="75"/>
      <c r="AL131" s="150"/>
      <c r="AM131" s="149"/>
      <c r="AN131" s="76"/>
      <c r="AO131" s="147"/>
      <c r="AP131" s="76"/>
      <c r="AQ131" s="154"/>
      <c r="AR131" s="150"/>
      <c r="AS131" s="180"/>
      <c r="AT131" s="17"/>
      <c r="AU131" s="104"/>
      <c r="AV131" s="54"/>
      <c r="AW131" s="55"/>
      <c r="AX131" s="55"/>
      <c r="AY131" s="101"/>
      <c r="AZ131" s="102"/>
      <c r="BA131" s="103"/>
      <c r="BB131" s="62"/>
      <c r="BC131" s="64"/>
      <c r="BD131" s="16"/>
      <c r="BE131" s="64"/>
      <c r="BF131" s="64"/>
      <c r="BG131" s="64"/>
      <c r="BH131" s="102"/>
      <c r="BI131" s="182"/>
      <c r="BJ131" s="182"/>
      <c r="BK131" s="63"/>
      <c r="BL131" s="63"/>
      <c r="BM131" s="63"/>
      <c r="BN131" s="63"/>
      <c r="BO131" s="64"/>
      <c r="BP131" s="65"/>
      <c r="BR131" s="174"/>
      <c r="BS131" s="175"/>
      <c r="BT131" s="176"/>
      <c r="BU131" s="18"/>
      <c r="BV131" s="188"/>
      <c r="BW131" s="188"/>
      <c r="BX131" s="188"/>
      <c r="BY131" s="18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</row>
    <row r="132" spans="1:93" x14ac:dyDescent="0.25">
      <c r="A132" s="184"/>
      <c r="B132" s="151"/>
      <c r="C132" s="179"/>
      <c r="D132" s="75"/>
      <c r="E132" s="147"/>
      <c r="F132" s="152"/>
      <c r="G132" s="76"/>
      <c r="H132" s="155"/>
      <c r="I132" s="152"/>
      <c r="J132" s="149"/>
      <c r="K132" s="148"/>
      <c r="L132" s="75"/>
      <c r="M132" s="75"/>
      <c r="N132" s="148"/>
      <c r="O132" s="75"/>
      <c r="P132" s="148"/>
      <c r="Q132" s="75"/>
      <c r="R132" s="153"/>
      <c r="S132" s="76"/>
      <c r="T132" s="75"/>
      <c r="U132" s="76"/>
      <c r="V132" s="75"/>
      <c r="W132" s="76"/>
      <c r="X132" s="75"/>
      <c r="Y132" s="154"/>
      <c r="Z132" s="76"/>
      <c r="AA132" s="151"/>
      <c r="AB132" s="151"/>
      <c r="AC132" s="76"/>
      <c r="AD132" s="177"/>
      <c r="AE132" s="136"/>
      <c r="AF132" s="178"/>
      <c r="AG132" s="84"/>
      <c r="AH132" s="178"/>
      <c r="AI132" s="76"/>
      <c r="AJ132" s="156"/>
      <c r="AK132" s="75"/>
      <c r="AL132" s="150"/>
      <c r="AM132" s="149"/>
      <c r="AN132" s="76"/>
      <c r="AO132" s="147"/>
      <c r="AP132" s="76"/>
      <c r="AQ132" s="154"/>
      <c r="AR132" s="150"/>
      <c r="AS132" s="180"/>
      <c r="AT132" s="17"/>
      <c r="AU132" s="104"/>
      <c r="AV132" s="54"/>
      <c r="AW132" s="55"/>
      <c r="AX132" s="55"/>
      <c r="AY132" s="101"/>
      <c r="AZ132" s="102"/>
      <c r="BA132" s="103"/>
      <c r="BB132" s="62"/>
      <c r="BC132" s="64"/>
      <c r="BD132" s="16"/>
      <c r="BE132" s="64"/>
      <c r="BF132" s="64"/>
      <c r="BG132" s="64"/>
      <c r="BH132" s="102"/>
      <c r="BI132" s="182"/>
      <c r="BJ132" s="182"/>
      <c r="BK132" s="63"/>
      <c r="BL132" s="63"/>
      <c r="BM132" s="63"/>
      <c r="BN132" s="63"/>
      <c r="BO132" s="64"/>
      <c r="BP132" s="65"/>
      <c r="BR132" s="174"/>
      <c r="BS132" s="175"/>
      <c r="BT132" s="176"/>
      <c r="BU132" s="18"/>
      <c r="BV132" s="188"/>
      <c r="BW132" s="188"/>
      <c r="BX132" s="188"/>
      <c r="BY132" s="18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</row>
    <row r="133" spans="1:93" x14ac:dyDescent="0.25">
      <c r="A133" s="184"/>
      <c r="B133" s="151"/>
      <c r="C133" s="179"/>
      <c r="D133" s="75"/>
      <c r="E133" s="147"/>
      <c r="F133" s="152"/>
      <c r="G133" s="76"/>
      <c r="H133" s="155"/>
      <c r="I133" s="152"/>
      <c r="J133" s="149"/>
      <c r="K133" s="148"/>
      <c r="L133" s="75"/>
      <c r="M133" s="75"/>
      <c r="N133" s="148"/>
      <c r="O133" s="75"/>
      <c r="P133" s="148"/>
      <c r="Q133" s="75"/>
      <c r="R133" s="153"/>
      <c r="S133" s="76"/>
      <c r="T133" s="75"/>
      <c r="U133" s="76"/>
      <c r="V133" s="75"/>
      <c r="W133" s="76"/>
      <c r="X133" s="75"/>
      <c r="Y133" s="154"/>
      <c r="Z133" s="76"/>
      <c r="AA133" s="151"/>
      <c r="AB133" s="151"/>
      <c r="AC133" s="76"/>
      <c r="AD133" s="177"/>
      <c r="AE133" s="136"/>
      <c r="AF133" s="178"/>
      <c r="AG133" s="84"/>
      <c r="AH133" s="178"/>
      <c r="AI133" s="76"/>
      <c r="AJ133" s="156"/>
      <c r="AK133" s="75"/>
      <c r="AL133" s="150"/>
      <c r="AM133" s="149"/>
      <c r="AN133" s="76"/>
      <c r="AO133" s="147"/>
      <c r="AP133" s="76"/>
      <c r="AQ133" s="154"/>
      <c r="AR133" s="150"/>
      <c r="AS133" s="180"/>
      <c r="AT133" s="17"/>
      <c r="AU133" s="104"/>
      <c r="AV133" s="54"/>
      <c r="AW133" s="55"/>
      <c r="AX133" s="55"/>
      <c r="AY133" s="101"/>
      <c r="AZ133" s="102"/>
      <c r="BA133" s="103"/>
      <c r="BB133" s="62"/>
      <c r="BC133" s="64"/>
      <c r="BD133" s="16"/>
      <c r="BE133" s="64"/>
      <c r="BF133" s="64"/>
      <c r="BG133" s="64"/>
      <c r="BH133" s="102"/>
      <c r="BI133" s="182"/>
      <c r="BJ133" s="182"/>
      <c r="BK133" s="63"/>
      <c r="BL133" s="63"/>
      <c r="BM133" s="63"/>
      <c r="BN133" s="63"/>
      <c r="BO133" s="64"/>
      <c r="BP133" s="65"/>
      <c r="BR133" s="174"/>
      <c r="BS133" s="175"/>
      <c r="BT133" s="176"/>
      <c r="BU133" s="18"/>
      <c r="BV133" s="188"/>
      <c r="BW133" s="188"/>
      <c r="BX133" s="188"/>
      <c r="BY133" s="18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</row>
    <row r="134" spans="1:93" x14ac:dyDescent="0.25">
      <c r="A134" s="184"/>
      <c r="B134" s="151"/>
      <c r="C134" s="179"/>
      <c r="D134" s="75"/>
      <c r="E134" s="147"/>
      <c r="F134" s="152"/>
      <c r="G134" s="76"/>
      <c r="H134" s="155"/>
      <c r="I134" s="152"/>
      <c r="J134" s="149"/>
      <c r="K134" s="148"/>
      <c r="L134" s="75"/>
      <c r="M134" s="75"/>
      <c r="N134" s="148"/>
      <c r="O134" s="75"/>
      <c r="P134" s="148"/>
      <c r="Q134" s="75"/>
      <c r="R134" s="153"/>
      <c r="S134" s="76"/>
      <c r="T134" s="75"/>
      <c r="U134" s="76"/>
      <c r="V134" s="75"/>
      <c r="W134" s="76"/>
      <c r="X134" s="75"/>
      <c r="Y134" s="154"/>
      <c r="Z134" s="76"/>
      <c r="AA134" s="151"/>
      <c r="AB134" s="151"/>
      <c r="AC134" s="76"/>
      <c r="AD134" s="177"/>
      <c r="AE134" s="136"/>
      <c r="AF134" s="178"/>
      <c r="AG134" s="84"/>
      <c r="AH134" s="178"/>
      <c r="AI134" s="76"/>
      <c r="AJ134" s="156"/>
      <c r="AK134" s="75"/>
      <c r="AL134" s="150"/>
      <c r="AM134" s="149"/>
      <c r="AN134" s="76"/>
      <c r="AO134" s="147"/>
      <c r="AP134" s="76"/>
      <c r="AQ134" s="154"/>
      <c r="AR134" s="150"/>
      <c r="AS134" s="180"/>
      <c r="AT134" s="17"/>
      <c r="AU134" s="104"/>
      <c r="AV134" s="54"/>
      <c r="AW134" s="55"/>
      <c r="AX134" s="55"/>
      <c r="AY134" s="101"/>
      <c r="AZ134" s="102"/>
      <c r="BA134" s="103"/>
      <c r="BB134" s="62"/>
      <c r="BC134" s="64"/>
      <c r="BD134" s="16"/>
      <c r="BE134" s="64"/>
      <c r="BF134" s="64"/>
      <c r="BG134" s="64"/>
      <c r="BH134" s="102"/>
      <c r="BI134" s="182"/>
      <c r="BJ134" s="182"/>
      <c r="BK134" s="63"/>
      <c r="BL134" s="63"/>
      <c r="BM134" s="63"/>
      <c r="BN134" s="63"/>
      <c r="BO134" s="64"/>
      <c r="BP134" s="65"/>
      <c r="BR134" s="174"/>
      <c r="BS134" s="175"/>
      <c r="BT134" s="176"/>
      <c r="BU134" s="18"/>
      <c r="BV134" s="188"/>
      <c r="BW134" s="188"/>
      <c r="BX134" s="188"/>
      <c r="BY134" s="18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</row>
    <row r="135" spans="1:93" x14ac:dyDescent="0.25">
      <c r="A135" s="184"/>
      <c r="B135" s="151"/>
      <c r="C135" s="179"/>
      <c r="D135" s="75"/>
      <c r="E135" s="147"/>
      <c r="F135" s="152"/>
      <c r="G135" s="76"/>
      <c r="H135" s="155"/>
      <c r="I135" s="152"/>
      <c r="J135" s="149"/>
      <c r="K135" s="148"/>
      <c r="L135" s="75"/>
      <c r="M135" s="75"/>
      <c r="N135" s="148"/>
      <c r="O135" s="75"/>
      <c r="P135" s="148"/>
      <c r="Q135" s="75"/>
      <c r="R135" s="153"/>
      <c r="S135" s="76"/>
      <c r="T135" s="75"/>
      <c r="U135" s="76"/>
      <c r="V135" s="75"/>
      <c r="W135" s="76"/>
      <c r="X135" s="75"/>
      <c r="Y135" s="154"/>
      <c r="Z135" s="76"/>
      <c r="AA135" s="151"/>
      <c r="AB135" s="151"/>
      <c r="AC135" s="76"/>
      <c r="AD135" s="177"/>
      <c r="AE135" s="136"/>
      <c r="AF135" s="178"/>
      <c r="AG135" s="84"/>
      <c r="AH135" s="178"/>
      <c r="AI135" s="76"/>
      <c r="AJ135" s="156"/>
      <c r="AK135" s="75"/>
      <c r="AL135" s="150"/>
      <c r="AM135" s="149"/>
      <c r="AN135" s="76"/>
      <c r="AO135" s="147"/>
      <c r="AP135" s="76"/>
      <c r="AQ135" s="154"/>
      <c r="AR135" s="150"/>
      <c r="AS135" s="180"/>
      <c r="AT135" s="17"/>
      <c r="AU135" s="104"/>
      <c r="AV135" s="54"/>
      <c r="AW135" s="55"/>
      <c r="AX135" s="55"/>
      <c r="AY135" s="101"/>
      <c r="AZ135" s="102"/>
      <c r="BA135" s="103"/>
      <c r="BB135" s="62"/>
      <c r="BC135" s="64"/>
      <c r="BD135" s="16"/>
      <c r="BE135" s="64"/>
      <c r="BF135" s="64"/>
      <c r="BG135" s="64"/>
      <c r="BH135" s="102"/>
      <c r="BI135" s="182"/>
      <c r="BJ135" s="182"/>
      <c r="BK135" s="63"/>
      <c r="BL135" s="63"/>
      <c r="BM135" s="63"/>
      <c r="BN135" s="63"/>
      <c r="BO135" s="64"/>
      <c r="BP135" s="65"/>
      <c r="BR135" s="174"/>
      <c r="BS135" s="175"/>
      <c r="BT135" s="176"/>
      <c r="BU135" s="18"/>
      <c r="BV135" s="188"/>
      <c r="BW135" s="188"/>
      <c r="BX135" s="188"/>
      <c r="BY135" s="18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</row>
    <row r="136" spans="1:93" x14ac:dyDescent="0.25">
      <c r="A136" s="184"/>
      <c r="B136" s="151"/>
      <c r="C136" s="179"/>
      <c r="D136" s="75"/>
      <c r="E136" s="147"/>
      <c r="F136" s="152"/>
      <c r="G136" s="76"/>
      <c r="H136" s="155"/>
      <c r="I136" s="152"/>
      <c r="J136" s="149"/>
      <c r="K136" s="148"/>
      <c r="L136" s="75"/>
      <c r="M136" s="75"/>
      <c r="N136" s="148"/>
      <c r="O136" s="75"/>
      <c r="P136" s="148"/>
      <c r="Q136" s="75"/>
      <c r="R136" s="153"/>
      <c r="S136" s="76"/>
      <c r="T136" s="75"/>
      <c r="U136" s="76"/>
      <c r="V136" s="75"/>
      <c r="W136" s="76"/>
      <c r="X136" s="75"/>
      <c r="Y136" s="154"/>
      <c r="Z136" s="76"/>
      <c r="AA136" s="151"/>
      <c r="AB136" s="151"/>
      <c r="AC136" s="76"/>
      <c r="AD136" s="177"/>
      <c r="AE136" s="136"/>
      <c r="AF136" s="178"/>
      <c r="AG136" s="84"/>
      <c r="AH136" s="178"/>
      <c r="AI136" s="76"/>
      <c r="AJ136" s="156"/>
      <c r="AK136" s="75"/>
      <c r="AL136" s="150"/>
      <c r="AM136" s="149"/>
      <c r="AN136" s="76"/>
      <c r="AO136" s="147"/>
      <c r="AP136" s="76"/>
      <c r="AQ136" s="154"/>
      <c r="AR136" s="150"/>
      <c r="AS136" s="180"/>
      <c r="AT136" s="17"/>
      <c r="AU136" s="104"/>
      <c r="AV136" s="54"/>
      <c r="AW136" s="55"/>
      <c r="AX136" s="55"/>
      <c r="AY136" s="101"/>
      <c r="AZ136" s="102"/>
      <c r="BA136" s="103"/>
      <c r="BB136" s="62"/>
      <c r="BC136" s="64"/>
      <c r="BD136" s="16"/>
      <c r="BE136" s="64"/>
      <c r="BF136" s="64"/>
      <c r="BG136" s="64"/>
      <c r="BH136" s="102"/>
      <c r="BI136" s="182"/>
      <c r="BJ136" s="182"/>
      <c r="BK136" s="63"/>
      <c r="BL136" s="63"/>
      <c r="BM136" s="63"/>
      <c r="BN136" s="63"/>
      <c r="BO136" s="64"/>
      <c r="BP136" s="65"/>
      <c r="BR136" s="174"/>
      <c r="BS136" s="175"/>
      <c r="BT136" s="176"/>
      <c r="BU136" s="18"/>
      <c r="BV136" s="188"/>
      <c r="BW136" s="188"/>
      <c r="BX136" s="188"/>
      <c r="BY136" s="18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</row>
    <row r="137" spans="1:93" x14ac:dyDescent="0.25">
      <c r="A137" s="184"/>
      <c r="B137" s="151"/>
      <c r="C137" s="179"/>
      <c r="D137" s="75"/>
      <c r="E137" s="147"/>
      <c r="F137" s="152"/>
      <c r="G137" s="76"/>
      <c r="H137" s="155"/>
      <c r="I137" s="152"/>
      <c r="J137" s="149"/>
      <c r="K137" s="148"/>
      <c r="L137" s="75"/>
      <c r="M137" s="75"/>
      <c r="N137" s="148"/>
      <c r="O137" s="75"/>
      <c r="P137" s="148"/>
      <c r="Q137" s="75"/>
      <c r="R137" s="153"/>
      <c r="S137" s="76"/>
      <c r="T137" s="75"/>
      <c r="U137" s="76"/>
      <c r="V137" s="75"/>
      <c r="W137" s="76"/>
      <c r="X137" s="75"/>
      <c r="Y137" s="154"/>
      <c r="Z137" s="76"/>
      <c r="AA137" s="151"/>
      <c r="AB137" s="151"/>
      <c r="AC137" s="76"/>
      <c r="AD137" s="177"/>
      <c r="AE137" s="136"/>
      <c r="AF137" s="178"/>
      <c r="AG137" s="84"/>
      <c r="AH137" s="178"/>
      <c r="AI137" s="76"/>
      <c r="AJ137" s="156"/>
      <c r="AK137" s="75"/>
      <c r="AL137" s="150"/>
      <c r="AM137" s="149"/>
      <c r="AN137" s="76"/>
      <c r="AO137" s="147"/>
      <c r="AP137" s="76"/>
      <c r="AQ137" s="154"/>
      <c r="AR137" s="150"/>
      <c r="AS137" s="180"/>
      <c r="AT137" s="17"/>
      <c r="AU137" s="104"/>
      <c r="AV137" s="54"/>
      <c r="AW137" s="55"/>
      <c r="AX137" s="55"/>
      <c r="AY137" s="101"/>
      <c r="AZ137" s="102"/>
      <c r="BA137" s="103"/>
      <c r="BB137" s="62"/>
      <c r="BC137" s="64"/>
      <c r="BD137" s="16"/>
      <c r="BE137" s="64"/>
      <c r="BF137" s="64"/>
      <c r="BG137" s="64"/>
      <c r="BH137" s="102"/>
      <c r="BI137" s="182"/>
      <c r="BJ137" s="182"/>
      <c r="BK137" s="63"/>
      <c r="BL137" s="63"/>
      <c r="BM137" s="63"/>
      <c r="BN137" s="63"/>
      <c r="BO137" s="64"/>
      <c r="BP137" s="65"/>
      <c r="BR137" s="174"/>
      <c r="BS137" s="175"/>
      <c r="BT137" s="176"/>
      <c r="BU137" s="18"/>
      <c r="BV137" s="188"/>
      <c r="BW137" s="188"/>
      <c r="BX137" s="188"/>
      <c r="BY137" s="18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</row>
    <row r="138" spans="1:93" x14ac:dyDescent="0.25">
      <c r="A138" s="184"/>
      <c r="B138" s="151"/>
      <c r="C138" s="179"/>
      <c r="D138" s="75"/>
      <c r="E138" s="147"/>
      <c r="F138" s="152"/>
      <c r="G138" s="76"/>
      <c r="H138" s="155"/>
      <c r="I138" s="152"/>
      <c r="J138" s="149"/>
      <c r="K138" s="148"/>
      <c r="L138" s="75"/>
      <c r="M138" s="75"/>
      <c r="N138" s="148"/>
      <c r="O138" s="75"/>
      <c r="P138" s="148"/>
      <c r="Q138" s="75"/>
      <c r="R138" s="153"/>
      <c r="S138" s="76"/>
      <c r="T138" s="75"/>
      <c r="U138" s="76"/>
      <c r="V138" s="75"/>
      <c r="W138" s="76"/>
      <c r="X138" s="75"/>
      <c r="Y138" s="154"/>
      <c r="Z138" s="76"/>
      <c r="AA138" s="151"/>
      <c r="AB138" s="151"/>
      <c r="AC138" s="76"/>
      <c r="AD138" s="177"/>
      <c r="AE138" s="136"/>
      <c r="AF138" s="178"/>
      <c r="AG138" s="84"/>
      <c r="AH138" s="178"/>
      <c r="AI138" s="76"/>
      <c r="AJ138" s="156"/>
      <c r="AK138" s="75"/>
      <c r="AL138" s="150"/>
      <c r="AM138" s="149"/>
      <c r="AN138" s="76"/>
      <c r="AO138" s="147"/>
      <c r="AP138" s="76"/>
      <c r="AQ138" s="154"/>
      <c r="AR138" s="150"/>
      <c r="AS138" s="180"/>
      <c r="AT138" s="17"/>
      <c r="AU138" s="104"/>
      <c r="AV138" s="54"/>
      <c r="AW138" s="55"/>
      <c r="AX138" s="55"/>
      <c r="AY138" s="101"/>
      <c r="AZ138" s="102"/>
      <c r="BA138" s="103"/>
      <c r="BB138" s="62"/>
      <c r="BC138" s="64"/>
      <c r="BD138" s="16"/>
      <c r="BE138" s="64"/>
      <c r="BF138" s="64"/>
      <c r="BG138" s="64"/>
      <c r="BH138" s="102"/>
      <c r="BI138" s="182"/>
      <c r="BJ138" s="182"/>
      <c r="BK138" s="63"/>
      <c r="BL138" s="63"/>
      <c r="BM138" s="63"/>
      <c r="BN138" s="63"/>
      <c r="BO138" s="64"/>
      <c r="BP138" s="65"/>
      <c r="BR138" s="174"/>
      <c r="BS138" s="175"/>
      <c r="BT138" s="176"/>
      <c r="BU138" s="18"/>
      <c r="BV138" s="188"/>
      <c r="BW138" s="188"/>
      <c r="BX138" s="188"/>
      <c r="BY138" s="18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</row>
    <row r="139" spans="1:93" s="18" customFormat="1" x14ac:dyDescent="0.25">
      <c r="A139" s="75"/>
      <c r="B139" s="76"/>
      <c r="C139" s="75"/>
      <c r="D139" s="75"/>
      <c r="E139" s="147"/>
      <c r="F139" s="76"/>
      <c r="G139" s="76"/>
      <c r="H139" s="76"/>
      <c r="I139" s="76"/>
      <c r="J139" s="75"/>
      <c r="K139" s="148"/>
      <c r="L139" s="75"/>
      <c r="M139" s="75"/>
      <c r="N139" s="148"/>
      <c r="O139" s="75"/>
      <c r="P139" s="148"/>
      <c r="Q139" s="75"/>
      <c r="R139" s="148"/>
      <c r="S139" s="76"/>
      <c r="T139" s="75"/>
      <c r="U139" s="76"/>
      <c r="V139" s="75"/>
      <c r="W139" s="76"/>
      <c r="X139" s="75"/>
      <c r="Y139" s="76"/>
      <c r="Z139" s="76"/>
      <c r="AA139" s="76"/>
      <c r="AB139" s="76"/>
      <c r="AC139" s="76"/>
      <c r="AD139" s="84"/>
      <c r="AE139" s="136"/>
      <c r="AF139" s="136"/>
      <c r="AG139" s="84"/>
      <c r="AH139" s="136"/>
      <c r="AI139" s="76"/>
      <c r="AJ139" s="185"/>
      <c r="AK139" s="75"/>
      <c r="AL139" s="76"/>
      <c r="AM139" s="75"/>
      <c r="AN139" s="76"/>
      <c r="AO139" s="147"/>
      <c r="AP139" s="76"/>
      <c r="AQ139" s="76"/>
      <c r="AR139" s="76"/>
      <c r="AS139" s="75"/>
      <c r="AT139" s="17"/>
      <c r="AU139" s="118"/>
      <c r="AV139" s="118"/>
      <c r="AW139" s="118"/>
      <c r="AX139" s="118"/>
      <c r="AY139" s="119"/>
      <c r="AZ139" s="120"/>
      <c r="BA139" s="121"/>
      <c r="BB139" s="112"/>
      <c r="BC139" s="71"/>
      <c r="BD139" s="1"/>
      <c r="BE139" s="71"/>
      <c r="BF139" s="71"/>
      <c r="BG139" s="71"/>
      <c r="BH139" s="120"/>
      <c r="BI139" s="186"/>
      <c r="BJ139" s="186"/>
      <c r="BK139" s="72"/>
      <c r="BL139" s="72"/>
      <c r="BM139" s="72"/>
      <c r="BN139" s="72"/>
      <c r="BO139" s="71"/>
      <c r="BP139" s="71"/>
      <c r="BR139" s="85"/>
      <c r="BS139" s="187"/>
      <c r="BT139" s="187"/>
    </row>
    <row r="140" spans="1:93" s="18" customFormat="1" x14ac:dyDescent="0.25">
      <c r="A140" s="117"/>
      <c r="B140" s="2"/>
      <c r="C140" s="2"/>
      <c r="D140" s="71"/>
      <c r="E140" s="73"/>
      <c r="F140" s="72"/>
      <c r="G140" s="72"/>
      <c r="H140" s="72"/>
      <c r="I140" s="72"/>
      <c r="J140" s="75"/>
      <c r="K140" s="148"/>
      <c r="L140" s="75"/>
      <c r="M140" s="75"/>
      <c r="N140" s="148"/>
      <c r="O140" s="75"/>
      <c r="P140" s="148"/>
      <c r="Q140" s="75"/>
      <c r="R140" s="148"/>
      <c r="S140" s="76"/>
      <c r="T140" s="75"/>
      <c r="U140" s="76"/>
      <c r="V140" s="75"/>
      <c r="W140" s="76"/>
      <c r="X140" s="75"/>
      <c r="Y140" s="76"/>
      <c r="Z140" s="76"/>
      <c r="AA140" s="76"/>
      <c r="AB140" s="76"/>
      <c r="AC140" s="76"/>
      <c r="AD140" s="84"/>
      <c r="AE140" s="136"/>
      <c r="AF140" s="136"/>
      <c r="AG140" s="84"/>
      <c r="AH140" s="136"/>
      <c r="AI140" s="76"/>
      <c r="AJ140" s="185"/>
      <c r="AK140" s="75"/>
      <c r="AL140" s="76"/>
      <c r="AM140" s="75"/>
      <c r="AN140" s="76"/>
      <c r="AO140" s="147"/>
      <c r="AP140" s="76"/>
      <c r="AQ140" s="76"/>
      <c r="AR140" s="76"/>
      <c r="AS140" s="75"/>
      <c r="AT140" s="17"/>
      <c r="AU140" s="118"/>
      <c r="AV140" s="118"/>
      <c r="AW140" s="118"/>
      <c r="AX140" s="118"/>
      <c r="AY140" s="119"/>
      <c r="AZ140" s="120"/>
      <c r="BA140" s="121"/>
      <c r="BB140" s="112"/>
      <c r="BC140" s="71"/>
      <c r="BD140" s="1"/>
      <c r="BE140" s="71"/>
      <c r="BF140" s="71"/>
      <c r="BG140" s="71"/>
      <c r="BH140" s="120"/>
      <c r="BI140" s="186"/>
      <c r="BJ140" s="186"/>
      <c r="BK140" s="72"/>
      <c r="BL140" s="72"/>
      <c r="BM140" s="72"/>
      <c r="BN140" s="72"/>
      <c r="BO140" s="71"/>
      <c r="BP140" s="71"/>
      <c r="BR140" s="85"/>
      <c r="BS140" s="187"/>
      <c r="BT140" s="187"/>
    </row>
    <row r="141" spans="1:93" s="18" customFormat="1" x14ac:dyDescent="0.25">
      <c r="A141" s="71"/>
      <c r="B141" s="2"/>
      <c r="C141" s="2"/>
      <c r="D141" s="71"/>
      <c r="E141" s="73"/>
      <c r="F141" s="72"/>
      <c r="G141" s="72"/>
      <c r="H141" s="72"/>
      <c r="I141" s="72"/>
      <c r="J141" s="75"/>
      <c r="K141" s="148"/>
      <c r="L141" s="75"/>
      <c r="M141" s="75"/>
      <c r="N141" s="148"/>
      <c r="O141" s="75"/>
      <c r="P141" s="148"/>
      <c r="Q141" s="75"/>
      <c r="R141" s="148"/>
      <c r="S141" s="76"/>
      <c r="T141" s="75"/>
      <c r="U141" s="76"/>
      <c r="V141" s="75"/>
      <c r="W141" s="76"/>
      <c r="X141" s="75"/>
      <c r="Y141" s="76"/>
      <c r="Z141" s="76"/>
      <c r="AA141" s="76"/>
      <c r="AB141" s="76"/>
      <c r="AC141" s="76"/>
      <c r="AD141" s="84"/>
      <c r="AE141" s="136"/>
      <c r="AF141" s="136"/>
      <c r="AG141" s="84"/>
      <c r="AH141" s="136"/>
      <c r="AI141" s="76"/>
      <c r="AJ141" s="185"/>
      <c r="AK141" s="75"/>
      <c r="AL141" s="76"/>
      <c r="AM141" s="75"/>
      <c r="AN141" s="76"/>
      <c r="AO141" s="147"/>
      <c r="AP141" s="76"/>
      <c r="AQ141" s="76"/>
      <c r="AR141" s="76"/>
      <c r="AS141" s="75"/>
      <c r="AT141" s="17"/>
      <c r="AU141" s="118"/>
      <c r="AV141" s="118"/>
      <c r="AW141" s="118"/>
      <c r="AX141" s="118"/>
      <c r="AY141" s="119"/>
      <c r="AZ141" s="120"/>
      <c r="BA141" s="121"/>
      <c r="BB141" s="112"/>
      <c r="BC141" s="71"/>
      <c r="BD141" s="1"/>
      <c r="BE141" s="71"/>
      <c r="BF141" s="71"/>
      <c r="BG141" s="71"/>
      <c r="BH141" s="120"/>
      <c r="BI141" s="186"/>
      <c r="BJ141" s="186"/>
      <c r="BK141" s="72"/>
      <c r="BL141" s="72"/>
      <c r="BM141" s="72"/>
      <c r="BN141" s="72"/>
      <c r="BO141" s="71"/>
      <c r="BP141" s="71"/>
      <c r="BR141" s="85"/>
      <c r="BS141" s="187"/>
      <c r="BT141" s="187"/>
    </row>
    <row r="142" spans="1:93" s="18" customFormat="1" x14ac:dyDescent="0.25">
      <c r="A142" s="71"/>
      <c r="B142" s="2"/>
      <c r="C142" s="2"/>
      <c r="D142" s="71"/>
      <c r="E142" s="73"/>
      <c r="F142" s="72"/>
      <c r="G142" s="72"/>
      <c r="H142" s="72"/>
      <c r="I142" s="72"/>
      <c r="J142" s="75"/>
      <c r="K142" s="148"/>
      <c r="L142" s="75"/>
      <c r="M142" s="75"/>
      <c r="N142" s="148"/>
      <c r="O142" s="75"/>
      <c r="P142" s="148"/>
      <c r="Q142" s="75"/>
      <c r="R142" s="148"/>
      <c r="S142" s="76"/>
      <c r="T142" s="75"/>
      <c r="U142" s="76"/>
      <c r="V142" s="75"/>
      <c r="W142" s="76"/>
      <c r="X142" s="75"/>
      <c r="Y142" s="76"/>
      <c r="Z142" s="76"/>
      <c r="AA142" s="76"/>
      <c r="AB142" s="76"/>
      <c r="AC142" s="76"/>
      <c r="AD142" s="84"/>
      <c r="AE142" s="136"/>
      <c r="AF142" s="136"/>
      <c r="AG142" s="84"/>
      <c r="AH142" s="136"/>
      <c r="AI142" s="76"/>
      <c r="AJ142" s="185"/>
      <c r="AK142" s="75"/>
      <c r="AL142" s="76"/>
      <c r="AM142" s="75"/>
      <c r="AN142" s="76"/>
      <c r="AO142" s="147"/>
      <c r="AP142" s="76"/>
      <c r="AQ142" s="76"/>
      <c r="AR142" s="76"/>
      <c r="AS142" s="75"/>
      <c r="AT142" s="17"/>
      <c r="AU142" s="118"/>
      <c r="AV142" s="118"/>
      <c r="AW142" s="118"/>
      <c r="AX142" s="118"/>
      <c r="AY142" s="119"/>
      <c r="AZ142" s="120"/>
      <c r="BA142" s="121"/>
      <c r="BB142" s="112"/>
      <c r="BC142" s="71"/>
      <c r="BD142" s="1"/>
      <c r="BE142" s="71"/>
      <c r="BF142" s="71"/>
      <c r="BG142" s="71"/>
      <c r="BH142" s="120"/>
      <c r="BI142" s="186"/>
      <c r="BJ142" s="186"/>
      <c r="BK142" s="72"/>
      <c r="BL142" s="72"/>
      <c r="BM142" s="72"/>
      <c r="BN142" s="72"/>
      <c r="BO142" s="71"/>
      <c r="BP142" s="71"/>
      <c r="BR142" s="85"/>
      <c r="BS142" s="187"/>
      <c r="BT142" s="187"/>
    </row>
    <row r="143" spans="1:93" s="18" customFormat="1" x14ac:dyDescent="0.25">
      <c r="A143" s="71"/>
      <c r="B143" s="2"/>
      <c r="C143" s="2"/>
      <c r="D143" s="71"/>
      <c r="E143" s="73"/>
      <c r="F143" s="72"/>
      <c r="G143" s="72"/>
      <c r="H143" s="72"/>
      <c r="I143" s="72"/>
      <c r="J143" s="99"/>
      <c r="K143" s="17"/>
      <c r="L143" s="71"/>
      <c r="M143" s="71"/>
      <c r="N143" s="17"/>
      <c r="O143" s="71"/>
      <c r="P143" s="17"/>
      <c r="Q143" s="71"/>
      <c r="R143" s="17"/>
      <c r="S143" s="72"/>
      <c r="T143" s="99"/>
      <c r="U143" s="72"/>
      <c r="V143" s="99"/>
      <c r="W143" s="72"/>
      <c r="X143" s="71"/>
      <c r="Y143" s="72"/>
      <c r="Z143" s="100"/>
      <c r="AA143" s="72"/>
      <c r="AB143" s="100"/>
      <c r="AC143" s="72"/>
      <c r="AD143" s="66"/>
      <c r="AE143" s="112"/>
      <c r="AF143" s="112"/>
      <c r="AG143" s="66"/>
      <c r="AH143" s="112"/>
      <c r="AI143" s="72"/>
      <c r="AJ143" s="78"/>
      <c r="AK143" s="71"/>
      <c r="AL143" s="72"/>
      <c r="AM143" s="71"/>
      <c r="AN143" s="72"/>
      <c r="AO143" s="73"/>
      <c r="AP143" s="72"/>
      <c r="AQ143" s="72"/>
      <c r="AR143" s="72"/>
      <c r="AT143" s="44"/>
      <c r="AU143" s="118"/>
      <c r="AV143" s="118"/>
      <c r="AW143" s="118"/>
      <c r="AX143" s="118"/>
      <c r="AY143" s="119"/>
      <c r="AZ143" s="120"/>
      <c r="BA143" s="121"/>
      <c r="BB143" s="112"/>
      <c r="BC143" s="71"/>
      <c r="BD143" s="1"/>
      <c r="BE143" s="71"/>
      <c r="BF143" s="71"/>
      <c r="BG143" s="71"/>
      <c r="BH143" s="120"/>
      <c r="BI143" s="72">
        <v>0</v>
      </c>
      <c r="BJ143" s="72">
        <v>0</v>
      </c>
      <c r="BK143" s="72"/>
      <c r="BL143" s="72">
        <v>0</v>
      </c>
      <c r="BM143" s="72">
        <v>0</v>
      </c>
      <c r="BN143" s="72"/>
      <c r="BO143" s="71"/>
      <c r="BP143" s="71"/>
      <c r="BR143" s="122"/>
      <c r="BS143" s="123"/>
      <c r="BT143" s="123"/>
    </row>
    <row r="144" spans="1:93" s="18" customFormat="1" x14ac:dyDescent="0.25">
      <c r="A144" s="71"/>
      <c r="B144" s="2"/>
      <c r="C144" s="2"/>
      <c r="D144" s="71"/>
      <c r="E144" s="73"/>
      <c r="F144" s="72"/>
      <c r="G144" s="72"/>
      <c r="H144" s="72"/>
      <c r="I144" s="72"/>
      <c r="J144" s="99"/>
      <c r="K144" s="17"/>
      <c r="L144" s="71"/>
      <c r="M144" s="71"/>
      <c r="N144" s="17"/>
      <c r="O144" s="71"/>
      <c r="P144" s="17"/>
      <c r="Q144" s="71"/>
      <c r="R144" s="17"/>
      <c r="S144" s="72"/>
      <c r="T144" s="99"/>
      <c r="U144" s="72"/>
      <c r="V144" s="99"/>
      <c r="W144" s="72"/>
      <c r="X144" s="71"/>
      <c r="Y144" s="72"/>
      <c r="Z144" s="100"/>
      <c r="AA144" s="72"/>
      <c r="AB144" s="100"/>
      <c r="AC144" s="72"/>
      <c r="AD144" s="66"/>
      <c r="AE144" s="112"/>
      <c r="AF144" s="112"/>
      <c r="AG144" s="66"/>
      <c r="AH144" s="112"/>
      <c r="AI144" s="72"/>
      <c r="AJ144" s="78"/>
      <c r="AK144" s="71"/>
      <c r="AL144" s="72"/>
      <c r="AM144" s="71"/>
      <c r="AN144" s="72"/>
      <c r="AO144" s="73"/>
      <c r="AP144" s="72"/>
      <c r="AQ144" s="72"/>
      <c r="AR144" s="72"/>
      <c r="AT144" s="44"/>
      <c r="AU144" s="118"/>
      <c r="AV144" s="118"/>
      <c r="AW144" s="118"/>
      <c r="AX144" s="118"/>
      <c r="AY144" s="119"/>
      <c r="AZ144" s="120"/>
      <c r="BA144" s="121"/>
      <c r="BB144" s="112"/>
      <c r="BC144" s="71"/>
      <c r="BD144" s="71"/>
      <c r="BE144" s="71"/>
      <c r="BF144" s="71"/>
      <c r="BG144" s="124"/>
      <c r="BH144" s="120"/>
      <c r="BI144" s="72">
        <v>0</v>
      </c>
      <c r="BJ144" s="72">
        <v>0</v>
      </c>
      <c r="BK144" s="72"/>
      <c r="BL144" s="74">
        <v>0</v>
      </c>
      <c r="BM144" s="74">
        <v>0</v>
      </c>
      <c r="BN144" s="74"/>
      <c r="BO144" s="71"/>
      <c r="BP144" s="71"/>
      <c r="BR144" s="122"/>
      <c r="BS144" s="123"/>
      <c r="BT144" s="123"/>
    </row>
    <row r="145" spans="1:93" s="18" customFormat="1" x14ac:dyDescent="0.25">
      <c r="A145" s="19"/>
      <c r="B145" s="19"/>
      <c r="C145" s="19"/>
      <c r="D145" s="19"/>
      <c r="E145" s="19"/>
      <c r="F145" s="19"/>
      <c r="G145" s="116"/>
      <c r="H145" s="125"/>
      <c r="I145" s="19"/>
      <c r="J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32"/>
      <c r="AI145" s="19"/>
      <c r="AJ145" s="19"/>
      <c r="AK145" s="19"/>
      <c r="AL145" s="19"/>
      <c r="AM145" s="19"/>
      <c r="AN145" s="19"/>
      <c r="AO145" s="19"/>
      <c r="AQ145" s="71"/>
      <c r="AR145" s="71"/>
      <c r="BI145" s="18">
        <v>0</v>
      </c>
      <c r="BJ145" s="18">
        <v>0</v>
      </c>
      <c r="BL145" s="18">
        <v>0</v>
      </c>
      <c r="BM145" s="18">
        <v>0</v>
      </c>
    </row>
    <row r="146" spans="1:93" x14ac:dyDescent="0.25">
      <c r="A146" s="19"/>
      <c r="B146" s="19"/>
      <c r="C146" s="19"/>
      <c r="D146" s="19"/>
      <c r="E146" s="19"/>
      <c r="F146" s="19"/>
      <c r="G146" s="116"/>
      <c r="H146" s="125"/>
      <c r="I146" s="19"/>
      <c r="J146" s="19"/>
      <c r="K146" s="18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32"/>
      <c r="AI146" s="19"/>
      <c r="AJ146" s="19"/>
      <c r="AK146" s="19"/>
      <c r="AL146" s="19"/>
      <c r="AM146" s="19"/>
      <c r="AN146" s="19"/>
      <c r="AO146" s="19"/>
      <c r="AP146" s="18"/>
      <c r="AQ146" s="71"/>
      <c r="AR146" s="71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>
        <v>0</v>
      </c>
      <c r="BJ146" s="18">
        <v>0</v>
      </c>
      <c r="BK146" s="18"/>
      <c r="BL146" s="18">
        <v>0</v>
      </c>
      <c r="BM146" s="18">
        <v>0</v>
      </c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</row>
    <row r="147" spans="1:93" x14ac:dyDescent="0.25">
      <c r="A147" s="19"/>
      <c r="B147" s="19"/>
      <c r="C147" s="19"/>
      <c r="D147" s="19"/>
      <c r="E147" s="19"/>
      <c r="F147" s="19"/>
      <c r="G147" s="116"/>
      <c r="H147" s="125"/>
      <c r="I147" s="19"/>
      <c r="J147" s="19"/>
      <c r="K147" s="18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32"/>
      <c r="AI147" s="19"/>
      <c r="AJ147" s="19"/>
      <c r="AK147" s="19"/>
      <c r="AL147" s="19"/>
      <c r="AM147" s="19"/>
      <c r="AN147" s="19"/>
      <c r="AO147" s="19"/>
      <c r="AP147" s="18"/>
      <c r="AQ147" s="71"/>
      <c r="AR147" s="71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>
        <v>0</v>
      </c>
      <c r="BJ147" s="18">
        <v>0</v>
      </c>
      <c r="BK147" s="18"/>
      <c r="BL147" s="18">
        <v>0</v>
      </c>
      <c r="BM147" s="18">
        <v>0</v>
      </c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</row>
    <row r="148" spans="1:93" x14ac:dyDescent="0.25">
      <c r="A148" s="19"/>
      <c r="B148" s="19"/>
      <c r="C148" s="19"/>
      <c r="D148" s="19"/>
      <c r="E148" s="19"/>
      <c r="F148" s="19"/>
      <c r="G148" s="116"/>
      <c r="H148" s="125"/>
      <c r="I148" s="19"/>
      <c r="J148" s="19"/>
      <c r="K148" s="18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32"/>
      <c r="AI148" s="19"/>
      <c r="AJ148" s="19"/>
      <c r="AK148" s="19"/>
      <c r="AL148" s="19"/>
      <c r="AM148" s="19"/>
      <c r="AN148" s="19"/>
      <c r="AO148" s="19"/>
      <c r="AP148" s="18"/>
      <c r="AQ148" s="71"/>
      <c r="AR148" s="71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>
        <v>0</v>
      </c>
      <c r="BJ148" s="18">
        <v>0</v>
      </c>
      <c r="BK148" s="18"/>
      <c r="BL148" s="18">
        <v>0</v>
      </c>
      <c r="BM148" s="18">
        <v>0</v>
      </c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</row>
    <row r="149" spans="1:93" x14ac:dyDescent="0.25">
      <c r="A149" s="19"/>
      <c r="B149" s="19"/>
      <c r="C149" s="19"/>
      <c r="D149" s="19"/>
      <c r="E149" s="19"/>
      <c r="F149" s="19"/>
      <c r="G149" s="116"/>
      <c r="H149" s="125"/>
      <c r="I149" s="19"/>
      <c r="J149" s="19"/>
      <c r="K149" s="18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32"/>
      <c r="AI149" s="19"/>
      <c r="AJ149" s="19"/>
      <c r="AK149" s="19"/>
      <c r="AL149" s="19"/>
      <c r="AM149" s="19"/>
      <c r="AN149" s="19"/>
      <c r="AO149" s="19"/>
      <c r="AP149" s="18"/>
      <c r="AQ149" s="71"/>
      <c r="AR149" s="71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>
        <v>0</v>
      </c>
      <c r="BJ149" s="18">
        <v>0</v>
      </c>
      <c r="BK149" s="18"/>
      <c r="BL149" s="18">
        <v>0</v>
      </c>
      <c r="BM149" s="18">
        <v>0</v>
      </c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</row>
    <row r="150" spans="1:93" x14ac:dyDescent="0.25">
      <c r="A150" s="19"/>
      <c r="B150" s="19"/>
      <c r="C150" s="19"/>
      <c r="D150" s="19"/>
      <c r="E150" s="19"/>
      <c r="F150" s="19"/>
      <c r="G150" s="116"/>
      <c r="H150" s="125"/>
      <c r="I150" s="19"/>
      <c r="J150" s="19"/>
      <c r="K150" s="18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32"/>
      <c r="AI150" s="19"/>
      <c r="AJ150" s="19"/>
      <c r="AK150" s="19"/>
      <c r="AL150" s="19"/>
      <c r="AM150" s="19"/>
      <c r="AN150" s="19"/>
      <c r="AO150" s="19"/>
      <c r="AP150" s="18"/>
      <c r="AQ150" s="71"/>
      <c r="AR150" s="71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>
        <v>0</v>
      </c>
      <c r="BJ150" s="18">
        <v>0</v>
      </c>
      <c r="BK150" s="18"/>
      <c r="BL150" s="18">
        <v>0</v>
      </c>
      <c r="BM150" s="18">
        <v>0</v>
      </c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</row>
    <row r="151" spans="1:93" x14ac:dyDescent="0.25">
      <c r="G151" s="52"/>
      <c r="BE151" s="3">
        <v>0</v>
      </c>
      <c r="BF151" s="3">
        <v>0</v>
      </c>
      <c r="BI151" s="3">
        <v>0</v>
      </c>
      <c r="BJ151" s="3">
        <v>0</v>
      </c>
      <c r="BL151" s="3">
        <v>0</v>
      </c>
      <c r="BM151" s="3">
        <v>0</v>
      </c>
      <c r="BO151" s="3">
        <v>0</v>
      </c>
      <c r="BP151" s="3">
        <v>0</v>
      </c>
    </row>
    <row r="152" spans="1:93" x14ac:dyDescent="0.25">
      <c r="G152" s="52"/>
      <c r="BE152" s="3">
        <v>0</v>
      </c>
      <c r="BF152" s="3">
        <v>0</v>
      </c>
      <c r="BI152" s="3">
        <v>0</v>
      </c>
      <c r="BJ152" s="3">
        <v>0</v>
      </c>
      <c r="BL152" s="3">
        <v>0</v>
      </c>
      <c r="BM152" s="3">
        <v>0</v>
      </c>
      <c r="BO152" s="3">
        <v>0</v>
      </c>
      <c r="BP152" s="3">
        <v>0</v>
      </c>
    </row>
    <row r="153" spans="1:93" x14ac:dyDescent="0.25">
      <c r="G153" s="52"/>
      <c r="BE153" s="3">
        <v>0</v>
      </c>
      <c r="BF153" s="3">
        <v>0</v>
      </c>
      <c r="BI153" s="3">
        <v>0</v>
      </c>
      <c r="BJ153" s="3">
        <v>0</v>
      </c>
      <c r="BL153" s="3">
        <v>0</v>
      </c>
      <c r="BM153" s="3">
        <v>0</v>
      </c>
      <c r="BO153" s="3">
        <v>0</v>
      </c>
      <c r="BP153" s="3">
        <v>0</v>
      </c>
    </row>
    <row r="154" spans="1:93" x14ac:dyDescent="0.25">
      <c r="G154" s="52"/>
      <c r="BE154" s="3">
        <v>0</v>
      </c>
      <c r="BF154" s="3">
        <v>0</v>
      </c>
      <c r="BI154" s="3">
        <v>0</v>
      </c>
      <c r="BJ154" s="3">
        <v>0</v>
      </c>
      <c r="BL154" s="3">
        <v>0</v>
      </c>
      <c r="BM154" s="3">
        <v>0</v>
      </c>
      <c r="BO154" s="3">
        <v>0</v>
      </c>
      <c r="BP154" s="3">
        <v>0</v>
      </c>
    </row>
    <row r="155" spans="1:93" x14ac:dyDescent="0.25">
      <c r="G155" s="52"/>
      <c r="BE155" s="3">
        <v>0</v>
      </c>
      <c r="BF155" s="3">
        <v>0</v>
      </c>
      <c r="BI155" s="3">
        <v>0</v>
      </c>
      <c r="BJ155" s="3">
        <v>0</v>
      </c>
      <c r="BL155" s="3">
        <v>0</v>
      </c>
      <c r="BM155" s="3">
        <v>0</v>
      </c>
      <c r="BO155" s="3">
        <v>0</v>
      </c>
      <c r="BP155" s="3">
        <v>0</v>
      </c>
    </row>
    <row r="156" spans="1:93" x14ac:dyDescent="0.25">
      <c r="G156" s="52"/>
      <c r="BE156" s="3">
        <v>0</v>
      </c>
      <c r="BF156" s="3">
        <v>0</v>
      </c>
      <c r="BI156" s="3">
        <v>0</v>
      </c>
      <c r="BJ156" s="3">
        <v>0</v>
      </c>
      <c r="BL156" s="3">
        <v>0</v>
      </c>
      <c r="BM156" s="3">
        <v>0</v>
      </c>
      <c r="BO156" s="3">
        <v>0</v>
      </c>
      <c r="BP156" s="3">
        <v>0</v>
      </c>
    </row>
    <row r="157" spans="1:93" x14ac:dyDescent="0.25">
      <c r="G157" s="52"/>
      <c r="BE157" s="3">
        <v>0</v>
      </c>
      <c r="BF157" s="3">
        <v>0</v>
      </c>
      <c r="BI157" s="3">
        <v>0</v>
      </c>
      <c r="BJ157" s="3">
        <v>0</v>
      </c>
      <c r="BL157" s="3">
        <v>0</v>
      </c>
      <c r="BM157" s="3">
        <v>0</v>
      </c>
      <c r="BO157" s="3">
        <v>0</v>
      </c>
      <c r="BP157" s="3">
        <v>0</v>
      </c>
    </row>
    <row r="158" spans="1:93" x14ac:dyDescent="0.25">
      <c r="G158" s="52"/>
      <c r="BE158" s="3">
        <v>0</v>
      </c>
      <c r="BF158" s="3">
        <v>0</v>
      </c>
      <c r="BI158" s="3">
        <v>0</v>
      </c>
      <c r="BJ158" s="3">
        <v>0</v>
      </c>
      <c r="BL158" s="3">
        <v>0</v>
      </c>
      <c r="BM158" s="3">
        <v>0</v>
      </c>
      <c r="BO158" s="3">
        <v>0</v>
      </c>
      <c r="BP158" s="3">
        <v>0</v>
      </c>
    </row>
    <row r="159" spans="1:93" x14ac:dyDescent="0.25">
      <c r="G159" s="52"/>
      <c r="BE159" s="3">
        <v>0</v>
      </c>
      <c r="BF159" s="3">
        <v>0</v>
      </c>
      <c r="BI159" s="3">
        <v>0</v>
      </c>
      <c r="BJ159" s="3">
        <v>0</v>
      </c>
      <c r="BL159" s="3">
        <v>0</v>
      </c>
      <c r="BM159" s="3">
        <v>0</v>
      </c>
      <c r="BO159" s="3">
        <v>0</v>
      </c>
      <c r="BP159" s="3">
        <v>0</v>
      </c>
    </row>
    <row r="160" spans="1:93" x14ac:dyDescent="0.25">
      <c r="G160" s="52"/>
      <c r="BE160" s="3">
        <v>0</v>
      </c>
      <c r="BF160" s="3">
        <v>0</v>
      </c>
      <c r="BI160" s="3">
        <v>0</v>
      </c>
      <c r="BJ160" s="3">
        <v>0</v>
      </c>
      <c r="BL160" s="3">
        <v>0</v>
      </c>
      <c r="BM160" s="3">
        <v>0</v>
      </c>
      <c r="BO160" s="3">
        <v>0</v>
      </c>
      <c r="BP160" s="3">
        <v>0</v>
      </c>
    </row>
    <row r="161" spans="7:68" x14ac:dyDescent="0.25">
      <c r="G161" s="52"/>
      <c r="BE161" s="3">
        <v>0</v>
      </c>
      <c r="BF161" s="3">
        <v>0</v>
      </c>
      <c r="BI161" s="3">
        <v>0</v>
      </c>
      <c r="BJ161" s="3">
        <v>0</v>
      </c>
      <c r="BL161" s="3">
        <v>0</v>
      </c>
      <c r="BM161" s="3">
        <v>0</v>
      </c>
      <c r="BO161" s="3">
        <v>0</v>
      </c>
      <c r="BP161" s="3">
        <v>0</v>
      </c>
    </row>
    <row r="162" spans="7:68" x14ac:dyDescent="0.25">
      <c r="G162" s="52"/>
      <c r="BE162" s="3">
        <v>0</v>
      </c>
      <c r="BF162" s="3">
        <v>0</v>
      </c>
      <c r="BI162" s="3">
        <v>0</v>
      </c>
      <c r="BJ162" s="3">
        <v>0</v>
      </c>
      <c r="BL162" s="3">
        <v>0</v>
      </c>
      <c r="BM162" s="3">
        <v>0</v>
      </c>
      <c r="BO162" s="3">
        <v>0</v>
      </c>
      <c r="BP162" s="3">
        <v>0</v>
      </c>
    </row>
    <row r="163" spans="7:68" x14ac:dyDescent="0.25">
      <c r="G163" s="52"/>
      <c r="BE163" s="3">
        <v>0</v>
      </c>
      <c r="BF163" s="3">
        <v>0</v>
      </c>
      <c r="BI163" s="3">
        <v>0</v>
      </c>
      <c r="BJ163" s="3">
        <v>0</v>
      </c>
      <c r="BL163" s="3">
        <v>0</v>
      </c>
      <c r="BM163" s="3">
        <v>0</v>
      </c>
      <c r="BO163" s="3">
        <v>0</v>
      </c>
      <c r="BP163" s="3">
        <v>0</v>
      </c>
    </row>
    <row r="164" spans="7:68" x14ac:dyDescent="0.25">
      <c r="G164" s="52"/>
      <c r="BE164" s="3">
        <v>0</v>
      </c>
      <c r="BF164" s="3">
        <v>0</v>
      </c>
      <c r="BI164" s="3">
        <v>0</v>
      </c>
      <c r="BJ164" s="3">
        <v>0</v>
      </c>
      <c r="BL164" s="3">
        <v>0</v>
      </c>
      <c r="BM164" s="3">
        <v>0</v>
      </c>
      <c r="BO164" s="3">
        <v>0</v>
      </c>
      <c r="BP164" s="3">
        <v>0</v>
      </c>
    </row>
    <row r="165" spans="7:68" x14ac:dyDescent="0.25">
      <c r="G165" s="52"/>
      <c r="BE165" s="3">
        <v>0</v>
      </c>
      <c r="BF165" s="3">
        <v>0</v>
      </c>
      <c r="BI165" s="3">
        <v>0</v>
      </c>
      <c r="BJ165" s="3">
        <v>0</v>
      </c>
      <c r="BL165" s="3">
        <v>0</v>
      </c>
      <c r="BM165" s="3">
        <v>0</v>
      </c>
      <c r="BO165" s="3">
        <v>0</v>
      </c>
      <c r="BP165" s="3">
        <v>0</v>
      </c>
    </row>
    <row r="166" spans="7:68" x14ac:dyDescent="0.25">
      <c r="G166" s="52"/>
      <c r="BE166" s="3">
        <v>0</v>
      </c>
      <c r="BF166" s="3">
        <v>0</v>
      </c>
      <c r="BI166" s="3">
        <v>0</v>
      </c>
      <c r="BJ166" s="3">
        <v>0</v>
      </c>
      <c r="BL166" s="3">
        <v>0</v>
      </c>
      <c r="BM166" s="3">
        <v>0</v>
      </c>
      <c r="BO166" s="3">
        <v>0</v>
      </c>
      <c r="BP166" s="3">
        <v>0</v>
      </c>
    </row>
    <row r="167" spans="7:68" x14ac:dyDescent="0.25">
      <c r="G167" s="52"/>
      <c r="BE167" s="3">
        <v>0</v>
      </c>
      <c r="BF167" s="3">
        <v>0</v>
      </c>
      <c r="BI167" s="3">
        <v>0</v>
      </c>
      <c r="BJ167" s="3">
        <v>0</v>
      </c>
      <c r="BL167" s="3">
        <v>0</v>
      </c>
      <c r="BM167" s="3">
        <v>0</v>
      </c>
      <c r="BO167" s="3">
        <v>0</v>
      </c>
      <c r="BP167" s="3">
        <v>0</v>
      </c>
    </row>
    <row r="168" spans="7:68" x14ac:dyDescent="0.25">
      <c r="G168" s="52"/>
      <c r="BE168" s="3">
        <v>0</v>
      </c>
      <c r="BF168" s="3">
        <v>0</v>
      </c>
      <c r="BI168" s="3">
        <v>0</v>
      </c>
      <c r="BJ168" s="3">
        <v>0</v>
      </c>
      <c r="BL168" s="3">
        <v>0</v>
      </c>
      <c r="BM168" s="3">
        <v>0</v>
      </c>
      <c r="BO168" s="3">
        <v>0</v>
      </c>
      <c r="BP168" s="3">
        <v>0</v>
      </c>
    </row>
    <row r="169" spans="7:68" x14ac:dyDescent="0.25">
      <c r="G169" s="52"/>
      <c r="BE169" s="3">
        <v>0</v>
      </c>
      <c r="BF169" s="3">
        <v>0</v>
      </c>
      <c r="BI169" s="3">
        <v>0</v>
      </c>
      <c r="BJ169" s="3">
        <v>0</v>
      </c>
      <c r="BL169" s="3">
        <v>0</v>
      </c>
      <c r="BM169" s="3">
        <v>0</v>
      </c>
      <c r="BO169" s="3">
        <v>0</v>
      </c>
      <c r="BP169" s="3">
        <v>0</v>
      </c>
    </row>
    <row r="170" spans="7:68" x14ac:dyDescent="0.25">
      <c r="G170" s="52"/>
      <c r="BE170" s="3">
        <v>0</v>
      </c>
      <c r="BF170" s="3">
        <v>0</v>
      </c>
      <c r="BI170" s="3">
        <v>0</v>
      </c>
      <c r="BJ170" s="3">
        <v>0</v>
      </c>
      <c r="BL170" s="3">
        <v>0</v>
      </c>
      <c r="BM170" s="3">
        <v>0</v>
      </c>
      <c r="BO170" s="3">
        <v>0</v>
      </c>
      <c r="BP170" s="3">
        <v>0</v>
      </c>
    </row>
    <row r="171" spans="7:68" x14ac:dyDescent="0.25">
      <c r="G171" s="52"/>
      <c r="BE171" s="3">
        <v>0</v>
      </c>
      <c r="BF171" s="3">
        <v>0</v>
      </c>
      <c r="BI171" s="3">
        <v>0</v>
      </c>
      <c r="BJ171" s="3">
        <v>0</v>
      </c>
      <c r="BL171" s="3">
        <v>0</v>
      </c>
      <c r="BM171" s="3">
        <v>0</v>
      </c>
      <c r="BO171" s="3">
        <v>0</v>
      </c>
      <c r="BP171" s="3">
        <v>0</v>
      </c>
    </row>
    <row r="172" spans="7:68" x14ac:dyDescent="0.25">
      <c r="G172" s="52"/>
      <c r="BE172" s="3">
        <v>0</v>
      </c>
      <c r="BF172" s="3">
        <v>0</v>
      </c>
      <c r="BI172" s="3">
        <v>0</v>
      </c>
      <c r="BJ172" s="3">
        <v>0</v>
      </c>
      <c r="BL172" s="3">
        <v>0</v>
      </c>
      <c r="BM172" s="3">
        <v>0</v>
      </c>
      <c r="BO172" s="3">
        <v>0</v>
      </c>
      <c r="BP172" s="3">
        <v>0</v>
      </c>
    </row>
    <row r="173" spans="7:68" x14ac:dyDescent="0.25">
      <c r="G173" s="52"/>
      <c r="BE173" s="3">
        <v>0</v>
      </c>
      <c r="BF173" s="3">
        <v>0</v>
      </c>
      <c r="BI173" s="3">
        <v>0</v>
      </c>
      <c r="BJ173" s="3">
        <v>0</v>
      </c>
      <c r="BL173" s="3">
        <v>0</v>
      </c>
      <c r="BM173" s="3">
        <v>0</v>
      </c>
      <c r="BO173" s="3">
        <v>0</v>
      </c>
      <c r="BP173" s="3">
        <v>0</v>
      </c>
    </row>
    <row r="174" spans="7:68" x14ac:dyDescent="0.25">
      <c r="G174" s="52"/>
      <c r="BE174" s="3">
        <v>0</v>
      </c>
      <c r="BF174" s="3">
        <v>0</v>
      </c>
      <c r="BI174" s="3">
        <v>0</v>
      </c>
      <c r="BJ174" s="3">
        <v>0</v>
      </c>
      <c r="BL174" s="3">
        <v>0</v>
      </c>
      <c r="BM174" s="3">
        <v>0</v>
      </c>
      <c r="BO174" s="3">
        <v>0</v>
      </c>
      <c r="BP174" s="3">
        <v>0</v>
      </c>
    </row>
    <row r="175" spans="7:68" x14ac:dyDescent="0.25">
      <c r="G175" s="52"/>
      <c r="BE175" s="3">
        <v>0</v>
      </c>
      <c r="BF175" s="3">
        <v>0</v>
      </c>
      <c r="BI175" s="3">
        <v>0</v>
      </c>
      <c r="BJ175" s="3">
        <v>0</v>
      </c>
      <c r="BL175" s="3">
        <v>0</v>
      </c>
      <c r="BM175" s="3">
        <v>0</v>
      </c>
      <c r="BO175" s="3">
        <v>0</v>
      </c>
      <c r="BP175" s="3">
        <v>0</v>
      </c>
    </row>
    <row r="176" spans="7:68" x14ac:dyDescent="0.25">
      <c r="G176" s="52"/>
      <c r="BE176" s="3">
        <v>0</v>
      </c>
      <c r="BF176" s="3">
        <v>0</v>
      </c>
      <c r="BI176" s="3">
        <v>0</v>
      </c>
      <c r="BJ176" s="3">
        <v>0</v>
      </c>
      <c r="BL176" s="3">
        <v>0</v>
      </c>
      <c r="BM176" s="3">
        <v>0</v>
      </c>
      <c r="BO176" s="3">
        <v>0</v>
      </c>
      <c r="BP176" s="3">
        <v>0</v>
      </c>
    </row>
    <row r="177" spans="7:68" x14ac:dyDescent="0.25">
      <c r="G177" s="52"/>
      <c r="BE177" s="3">
        <v>0</v>
      </c>
      <c r="BF177" s="3">
        <v>0</v>
      </c>
      <c r="BI177" s="3">
        <v>0</v>
      </c>
      <c r="BJ177" s="3">
        <v>0</v>
      </c>
      <c r="BL177" s="3">
        <v>0</v>
      </c>
      <c r="BM177" s="3">
        <v>0</v>
      </c>
      <c r="BO177" s="3">
        <v>0</v>
      </c>
      <c r="BP177" s="3">
        <v>0</v>
      </c>
    </row>
    <row r="178" spans="7:68" x14ac:dyDescent="0.25">
      <c r="G178" s="52"/>
      <c r="BE178" s="3">
        <v>0</v>
      </c>
      <c r="BF178" s="3">
        <v>0</v>
      </c>
      <c r="BI178" s="3">
        <v>0</v>
      </c>
      <c r="BJ178" s="3">
        <v>0</v>
      </c>
      <c r="BL178" s="3">
        <v>0</v>
      </c>
      <c r="BM178" s="3">
        <v>0</v>
      </c>
      <c r="BO178" s="3">
        <v>0</v>
      </c>
      <c r="BP178" s="3">
        <v>0</v>
      </c>
    </row>
    <row r="179" spans="7:68" x14ac:dyDescent="0.25">
      <c r="G179" s="52"/>
      <c r="BE179" s="3">
        <v>0</v>
      </c>
      <c r="BF179" s="3">
        <v>0</v>
      </c>
      <c r="BI179" s="3">
        <v>0</v>
      </c>
      <c r="BJ179" s="3">
        <v>0</v>
      </c>
      <c r="BL179" s="3">
        <v>0</v>
      </c>
      <c r="BM179" s="3">
        <v>0</v>
      </c>
      <c r="BO179" s="3">
        <v>0</v>
      </c>
      <c r="BP179" s="3">
        <v>0</v>
      </c>
    </row>
    <row r="180" spans="7:68" x14ac:dyDescent="0.25">
      <c r="G180" s="52"/>
      <c r="BE180" s="3">
        <v>0</v>
      </c>
      <c r="BF180" s="3">
        <v>0</v>
      </c>
      <c r="BI180" s="3">
        <v>0</v>
      </c>
      <c r="BJ180" s="3">
        <v>0</v>
      </c>
      <c r="BL180" s="3">
        <v>0</v>
      </c>
      <c r="BM180" s="3">
        <v>0</v>
      </c>
      <c r="BO180" s="3">
        <v>0</v>
      </c>
      <c r="BP180" s="3">
        <v>0</v>
      </c>
    </row>
    <row r="181" spans="7:68" x14ac:dyDescent="0.25">
      <c r="G181" s="52"/>
      <c r="BE181" s="3">
        <v>0</v>
      </c>
      <c r="BF181" s="3">
        <v>0</v>
      </c>
      <c r="BI181" s="3">
        <v>0</v>
      </c>
      <c r="BJ181" s="3">
        <v>0</v>
      </c>
      <c r="BL181" s="3">
        <v>0</v>
      </c>
      <c r="BM181" s="3">
        <v>0</v>
      </c>
      <c r="BO181" s="3">
        <v>0</v>
      </c>
      <c r="BP181" s="3">
        <v>0</v>
      </c>
    </row>
    <row r="182" spans="7:68" x14ac:dyDescent="0.25">
      <c r="G182" s="52"/>
      <c r="BE182" s="3">
        <v>0</v>
      </c>
      <c r="BF182" s="3">
        <v>0</v>
      </c>
      <c r="BI182" s="3">
        <v>0</v>
      </c>
      <c r="BJ182" s="3">
        <v>0</v>
      </c>
      <c r="BL182" s="3">
        <v>0</v>
      </c>
      <c r="BM182" s="3">
        <v>0</v>
      </c>
      <c r="BO182" s="3">
        <v>0</v>
      </c>
      <c r="BP182" s="3">
        <v>0</v>
      </c>
    </row>
    <row r="183" spans="7:68" x14ac:dyDescent="0.25">
      <c r="G183" s="52"/>
      <c r="BE183" s="3">
        <v>0</v>
      </c>
      <c r="BF183" s="3">
        <v>0</v>
      </c>
      <c r="BI183" s="3">
        <v>0</v>
      </c>
      <c r="BJ183" s="3">
        <v>0</v>
      </c>
      <c r="BL183" s="3">
        <v>0</v>
      </c>
      <c r="BM183" s="3">
        <v>0</v>
      </c>
      <c r="BO183" s="3">
        <v>0</v>
      </c>
      <c r="BP183" s="3">
        <v>0</v>
      </c>
    </row>
    <row r="184" spans="7:68" x14ac:dyDescent="0.25">
      <c r="G184" s="52"/>
      <c r="BE184" s="3">
        <v>0</v>
      </c>
      <c r="BF184" s="3">
        <v>0</v>
      </c>
      <c r="BI184" s="3">
        <v>0</v>
      </c>
      <c r="BJ184" s="3">
        <v>0</v>
      </c>
      <c r="BL184" s="3">
        <v>0</v>
      </c>
      <c r="BM184" s="3">
        <v>0</v>
      </c>
      <c r="BO184" s="3">
        <v>0</v>
      </c>
      <c r="BP184" s="3">
        <v>0</v>
      </c>
    </row>
    <row r="185" spans="7:68" x14ac:dyDescent="0.25">
      <c r="G185" s="52"/>
      <c r="BE185" s="3">
        <v>0</v>
      </c>
      <c r="BF185" s="3">
        <v>0</v>
      </c>
      <c r="BI185" s="3">
        <v>0</v>
      </c>
      <c r="BJ185" s="3">
        <v>0</v>
      </c>
      <c r="BL185" s="3">
        <v>0</v>
      </c>
      <c r="BM185" s="3">
        <v>0</v>
      </c>
      <c r="BO185" s="3">
        <v>0</v>
      </c>
      <c r="BP185" s="3">
        <v>0</v>
      </c>
    </row>
    <row r="186" spans="7:68" x14ac:dyDescent="0.25">
      <c r="G186" s="52"/>
      <c r="BE186" s="3">
        <v>0</v>
      </c>
      <c r="BF186" s="3">
        <v>0</v>
      </c>
      <c r="BI186" s="3">
        <v>0</v>
      </c>
      <c r="BJ186" s="3">
        <v>0</v>
      </c>
      <c r="BL186" s="3">
        <v>0</v>
      </c>
      <c r="BM186" s="3">
        <v>0</v>
      </c>
      <c r="BO186" s="3">
        <v>0</v>
      </c>
      <c r="BP186" s="3">
        <v>0</v>
      </c>
    </row>
    <row r="187" spans="7:68" x14ac:dyDescent="0.25">
      <c r="G187" s="52"/>
      <c r="BE187" s="3">
        <v>0</v>
      </c>
      <c r="BF187" s="3">
        <v>0</v>
      </c>
      <c r="BI187" s="3">
        <v>0</v>
      </c>
      <c r="BJ187" s="3">
        <v>0</v>
      </c>
      <c r="BL187" s="3">
        <v>0</v>
      </c>
      <c r="BM187" s="3">
        <v>0</v>
      </c>
      <c r="BO187" s="3">
        <v>0</v>
      </c>
      <c r="BP187" s="3">
        <v>0</v>
      </c>
    </row>
    <row r="188" spans="7:68" x14ac:dyDescent="0.25">
      <c r="G188" s="52"/>
      <c r="BE188" s="3">
        <v>0</v>
      </c>
      <c r="BF188" s="3">
        <v>0</v>
      </c>
      <c r="BI188" s="3">
        <v>0</v>
      </c>
      <c r="BJ188" s="3">
        <v>0</v>
      </c>
      <c r="BL188" s="3">
        <v>0</v>
      </c>
      <c r="BM188" s="3">
        <v>0</v>
      </c>
      <c r="BO188" s="3">
        <v>0</v>
      </c>
      <c r="BP188" s="3">
        <v>0</v>
      </c>
    </row>
    <row r="189" spans="7:68" x14ac:dyDescent="0.25">
      <c r="G189" s="52"/>
      <c r="BE189" s="3">
        <v>0</v>
      </c>
      <c r="BF189" s="3">
        <v>0</v>
      </c>
      <c r="BI189" s="3">
        <v>0</v>
      </c>
      <c r="BJ189" s="3">
        <v>0</v>
      </c>
      <c r="BL189" s="3">
        <v>0</v>
      </c>
      <c r="BM189" s="3">
        <v>0</v>
      </c>
      <c r="BO189" s="3">
        <v>0</v>
      </c>
      <c r="BP189" s="3">
        <v>0</v>
      </c>
    </row>
    <row r="190" spans="7:68" x14ac:dyDescent="0.25">
      <c r="G190" s="52"/>
      <c r="BE190" s="3">
        <v>0</v>
      </c>
      <c r="BF190" s="3">
        <v>0</v>
      </c>
      <c r="BI190" s="3">
        <v>0</v>
      </c>
      <c r="BJ190" s="3">
        <v>0</v>
      </c>
      <c r="BL190" s="3">
        <v>0</v>
      </c>
      <c r="BM190" s="3">
        <v>0</v>
      </c>
      <c r="BO190" s="3">
        <v>0</v>
      </c>
      <c r="BP190" s="3">
        <v>0</v>
      </c>
    </row>
    <row r="191" spans="7:68" x14ac:dyDescent="0.25">
      <c r="G191" s="52"/>
      <c r="BE191" s="3">
        <v>0</v>
      </c>
      <c r="BF191" s="3">
        <v>0</v>
      </c>
      <c r="BI191" s="3">
        <v>0</v>
      </c>
      <c r="BJ191" s="3">
        <v>0</v>
      </c>
      <c r="BL191" s="3">
        <v>0</v>
      </c>
      <c r="BM191" s="3">
        <v>0</v>
      </c>
      <c r="BO191" s="3">
        <v>0</v>
      </c>
      <c r="BP191" s="3">
        <v>0</v>
      </c>
    </row>
    <row r="192" spans="7:68" x14ac:dyDescent="0.25">
      <c r="G192" s="52"/>
      <c r="BE192" s="3">
        <v>0</v>
      </c>
      <c r="BF192" s="3">
        <v>0</v>
      </c>
      <c r="BI192" s="3">
        <v>0</v>
      </c>
      <c r="BJ192" s="3">
        <v>0</v>
      </c>
      <c r="BL192" s="3">
        <v>0</v>
      </c>
      <c r="BM192" s="3">
        <v>0</v>
      </c>
      <c r="BO192" s="3">
        <v>0</v>
      </c>
      <c r="BP192" s="3">
        <v>0</v>
      </c>
    </row>
    <row r="193" spans="7:68" x14ac:dyDescent="0.25">
      <c r="G193" s="52"/>
      <c r="BE193" s="3">
        <v>0</v>
      </c>
      <c r="BF193" s="3">
        <v>0</v>
      </c>
      <c r="BI193" s="3">
        <v>0</v>
      </c>
      <c r="BJ193" s="3">
        <v>0</v>
      </c>
      <c r="BL193" s="3">
        <v>0</v>
      </c>
      <c r="BM193" s="3">
        <v>0</v>
      </c>
      <c r="BO193" s="3">
        <v>0</v>
      </c>
      <c r="BP193" s="3">
        <v>0</v>
      </c>
    </row>
    <row r="194" spans="7:68" x14ac:dyDescent="0.25">
      <c r="G194" s="52"/>
      <c r="BE194" s="3">
        <v>0</v>
      </c>
      <c r="BF194" s="3">
        <v>0</v>
      </c>
      <c r="BI194" s="3">
        <v>0</v>
      </c>
      <c r="BJ194" s="3">
        <v>0</v>
      </c>
      <c r="BL194" s="3">
        <v>0</v>
      </c>
      <c r="BM194" s="3">
        <v>0</v>
      </c>
      <c r="BO194" s="3">
        <v>0</v>
      </c>
      <c r="BP194" s="3">
        <v>0</v>
      </c>
    </row>
    <row r="195" spans="7:68" x14ac:dyDescent="0.25">
      <c r="G195" s="52"/>
      <c r="BE195" s="3">
        <v>0</v>
      </c>
      <c r="BF195" s="3">
        <v>0</v>
      </c>
      <c r="BI195" s="3">
        <v>0</v>
      </c>
      <c r="BJ195" s="3">
        <v>0</v>
      </c>
      <c r="BL195" s="3">
        <v>0</v>
      </c>
      <c r="BM195" s="3">
        <v>0</v>
      </c>
      <c r="BO195" s="3">
        <v>0</v>
      </c>
      <c r="BP195" s="3">
        <v>0</v>
      </c>
    </row>
    <row r="196" spans="7:68" x14ac:dyDescent="0.25">
      <c r="G196" s="52"/>
      <c r="BE196" s="3">
        <v>0</v>
      </c>
      <c r="BF196" s="3">
        <v>0</v>
      </c>
      <c r="BI196" s="3">
        <v>0</v>
      </c>
      <c r="BJ196" s="3">
        <v>0</v>
      </c>
      <c r="BL196" s="3">
        <v>0</v>
      </c>
      <c r="BM196" s="3">
        <v>0</v>
      </c>
      <c r="BO196" s="3">
        <v>0</v>
      </c>
      <c r="BP196" s="3">
        <v>0</v>
      </c>
    </row>
    <row r="197" spans="7:68" x14ac:dyDescent="0.25">
      <c r="G197" s="52"/>
      <c r="BE197" s="3">
        <v>0</v>
      </c>
      <c r="BF197" s="3">
        <v>0</v>
      </c>
      <c r="BI197" s="3">
        <v>0</v>
      </c>
      <c r="BJ197" s="3">
        <v>0</v>
      </c>
      <c r="BL197" s="3">
        <v>0</v>
      </c>
      <c r="BM197" s="3">
        <v>0</v>
      </c>
      <c r="BO197" s="3">
        <v>0</v>
      </c>
      <c r="BP197" s="3">
        <v>0</v>
      </c>
    </row>
    <row r="198" spans="7:68" x14ac:dyDescent="0.25">
      <c r="G198" s="52"/>
      <c r="BE198" s="3">
        <v>0</v>
      </c>
      <c r="BF198" s="3">
        <v>0</v>
      </c>
      <c r="BI198" s="3">
        <v>0</v>
      </c>
      <c r="BJ198" s="3">
        <v>0</v>
      </c>
      <c r="BL198" s="3">
        <v>0</v>
      </c>
      <c r="BM198" s="3">
        <v>0</v>
      </c>
      <c r="BO198" s="3">
        <v>0</v>
      </c>
      <c r="BP198" s="3">
        <v>0</v>
      </c>
    </row>
    <row r="199" spans="7:68" x14ac:dyDescent="0.25">
      <c r="G199" s="52"/>
      <c r="BE199" s="3">
        <v>0</v>
      </c>
      <c r="BF199" s="3">
        <v>0</v>
      </c>
      <c r="BI199" s="3">
        <v>0</v>
      </c>
      <c r="BJ199" s="3">
        <v>0</v>
      </c>
      <c r="BL199" s="3">
        <v>0</v>
      </c>
      <c r="BM199" s="3">
        <v>0</v>
      </c>
      <c r="BO199" s="3">
        <v>0</v>
      </c>
      <c r="BP199" s="3">
        <v>0</v>
      </c>
    </row>
    <row r="200" spans="7:68" x14ac:dyDescent="0.25">
      <c r="G200" s="52"/>
      <c r="BE200" s="3">
        <v>0</v>
      </c>
      <c r="BF200" s="3">
        <v>0</v>
      </c>
      <c r="BI200" s="3">
        <v>0</v>
      </c>
      <c r="BJ200" s="3">
        <v>0</v>
      </c>
      <c r="BL200" s="3">
        <v>0</v>
      </c>
      <c r="BM200" s="3">
        <v>0</v>
      </c>
      <c r="BO200" s="3">
        <v>0</v>
      </c>
      <c r="BP200" s="3">
        <v>0</v>
      </c>
    </row>
    <row r="201" spans="7:68" x14ac:dyDescent="0.25">
      <c r="G201" s="52"/>
      <c r="BE201" s="3">
        <v>0</v>
      </c>
      <c r="BF201" s="3">
        <v>0</v>
      </c>
      <c r="BI201" s="3">
        <v>0</v>
      </c>
      <c r="BJ201" s="3">
        <v>0</v>
      </c>
      <c r="BL201" s="3">
        <v>0</v>
      </c>
      <c r="BM201" s="3">
        <v>0</v>
      </c>
      <c r="BO201" s="3">
        <v>0</v>
      </c>
      <c r="BP201" s="3">
        <v>0</v>
      </c>
    </row>
    <row r="202" spans="7:68" x14ac:dyDescent="0.25">
      <c r="G202" s="52"/>
      <c r="BE202" s="3">
        <v>0</v>
      </c>
      <c r="BF202" s="3">
        <v>0</v>
      </c>
      <c r="BI202" s="3">
        <v>0</v>
      </c>
      <c r="BJ202" s="3">
        <v>0</v>
      </c>
      <c r="BL202" s="3">
        <v>0</v>
      </c>
      <c r="BM202" s="3">
        <v>0</v>
      </c>
      <c r="BO202" s="3">
        <v>0</v>
      </c>
      <c r="BP202" s="3">
        <v>0</v>
      </c>
    </row>
    <row r="203" spans="7:68" x14ac:dyDescent="0.25">
      <c r="G203" s="52"/>
      <c r="BE203" s="3">
        <v>0</v>
      </c>
      <c r="BF203" s="3">
        <v>0</v>
      </c>
      <c r="BI203" s="3">
        <v>0</v>
      </c>
      <c r="BJ203" s="3">
        <v>0</v>
      </c>
      <c r="BL203" s="3">
        <v>0</v>
      </c>
      <c r="BM203" s="3">
        <v>0</v>
      </c>
      <c r="BO203" s="3">
        <v>0</v>
      </c>
      <c r="BP203" s="3">
        <v>0</v>
      </c>
    </row>
    <row r="204" spans="7:68" x14ac:dyDescent="0.25">
      <c r="G204" s="52"/>
      <c r="BE204" s="3">
        <v>0</v>
      </c>
      <c r="BF204" s="3">
        <v>0</v>
      </c>
      <c r="BI204" s="3">
        <v>0</v>
      </c>
      <c r="BJ204" s="3">
        <v>0</v>
      </c>
      <c r="BL204" s="3">
        <v>0</v>
      </c>
      <c r="BM204" s="3">
        <v>0</v>
      </c>
      <c r="BO204" s="3">
        <v>0</v>
      </c>
      <c r="BP204" s="3">
        <v>0</v>
      </c>
    </row>
    <row r="205" spans="7:68" x14ac:dyDescent="0.25">
      <c r="G205" s="52"/>
      <c r="BE205" s="3">
        <v>0</v>
      </c>
      <c r="BF205" s="3">
        <v>0</v>
      </c>
      <c r="BI205" s="3">
        <v>0</v>
      </c>
      <c r="BJ205" s="3">
        <v>0</v>
      </c>
      <c r="BL205" s="3">
        <v>0</v>
      </c>
      <c r="BM205" s="3">
        <v>0</v>
      </c>
      <c r="BO205" s="3">
        <v>0</v>
      </c>
      <c r="BP205" s="3">
        <v>0</v>
      </c>
    </row>
    <row r="206" spans="7:68" x14ac:dyDescent="0.25">
      <c r="G206" s="52"/>
      <c r="BE206" s="3">
        <v>0</v>
      </c>
      <c r="BF206" s="3">
        <v>0</v>
      </c>
      <c r="BI206" s="3">
        <v>0</v>
      </c>
      <c r="BJ206" s="3">
        <v>0</v>
      </c>
      <c r="BL206" s="3">
        <v>0</v>
      </c>
      <c r="BM206" s="3">
        <v>0</v>
      </c>
      <c r="BO206" s="3">
        <v>0</v>
      </c>
      <c r="BP206" s="3">
        <v>0</v>
      </c>
    </row>
    <row r="207" spans="7:68" x14ac:dyDescent="0.25">
      <c r="G207" s="52"/>
      <c r="BE207" s="3">
        <v>0</v>
      </c>
      <c r="BF207" s="3">
        <v>0</v>
      </c>
      <c r="BI207" s="3">
        <v>0</v>
      </c>
      <c r="BJ207" s="3">
        <v>0</v>
      </c>
      <c r="BL207" s="3">
        <v>0</v>
      </c>
      <c r="BM207" s="3">
        <v>0</v>
      </c>
      <c r="BO207" s="3">
        <v>0</v>
      </c>
      <c r="BP207" s="3">
        <v>0</v>
      </c>
    </row>
    <row r="208" spans="7:68" x14ac:dyDescent="0.25">
      <c r="G208" s="52"/>
      <c r="BE208" s="3">
        <v>0</v>
      </c>
      <c r="BF208" s="3">
        <v>0</v>
      </c>
      <c r="BI208" s="3">
        <v>0</v>
      </c>
      <c r="BJ208" s="3">
        <v>0</v>
      </c>
      <c r="BL208" s="3">
        <v>0</v>
      </c>
      <c r="BM208" s="3">
        <v>0</v>
      </c>
      <c r="BO208" s="3">
        <v>0</v>
      </c>
      <c r="BP208" s="3">
        <v>0</v>
      </c>
    </row>
    <row r="209" spans="7:68" x14ac:dyDescent="0.25">
      <c r="G209" s="52"/>
      <c r="BE209" s="3">
        <v>0</v>
      </c>
      <c r="BF209" s="3">
        <v>0</v>
      </c>
      <c r="BI209" s="3">
        <v>0</v>
      </c>
      <c r="BJ209" s="3">
        <v>0</v>
      </c>
      <c r="BL209" s="3">
        <v>0</v>
      </c>
      <c r="BM209" s="3">
        <v>0</v>
      </c>
      <c r="BO209" s="3">
        <v>0</v>
      </c>
      <c r="BP209" s="3">
        <v>0</v>
      </c>
    </row>
    <row r="210" spans="7:68" x14ac:dyDescent="0.25">
      <c r="G210" s="52"/>
      <c r="BE210" s="3">
        <v>0</v>
      </c>
      <c r="BF210" s="3">
        <v>0</v>
      </c>
      <c r="BI210" s="3">
        <v>0</v>
      </c>
      <c r="BJ210" s="3">
        <v>0</v>
      </c>
      <c r="BL210" s="3">
        <v>0</v>
      </c>
      <c r="BM210" s="3">
        <v>0</v>
      </c>
      <c r="BO210" s="3">
        <v>0</v>
      </c>
      <c r="BP210" s="3">
        <v>0</v>
      </c>
    </row>
    <row r="211" spans="7:68" x14ac:dyDescent="0.25">
      <c r="G211" s="52"/>
      <c r="BE211" s="3">
        <v>0</v>
      </c>
      <c r="BF211" s="3">
        <v>0</v>
      </c>
      <c r="BI211" s="3">
        <v>0</v>
      </c>
      <c r="BJ211" s="3">
        <v>0</v>
      </c>
      <c r="BL211" s="3">
        <v>0</v>
      </c>
      <c r="BM211" s="3">
        <v>0</v>
      </c>
      <c r="BO211" s="3">
        <v>0</v>
      </c>
      <c r="BP211" s="3">
        <v>0</v>
      </c>
    </row>
    <row r="212" spans="7:68" x14ac:dyDescent="0.25">
      <c r="G212" s="52"/>
      <c r="BE212" s="3">
        <v>0</v>
      </c>
      <c r="BF212" s="3">
        <v>0</v>
      </c>
      <c r="BI212" s="3">
        <v>0</v>
      </c>
      <c r="BJ212" s="3">
        <v>0</v>
      </c>
      <c r="BL212" s="3">
        <v>0</v>
      </c>
      <c r="BM212" s="3">
        <v>0</v>
      </c>
      <c r="BO212" s="3">
        <v>0</v>
      </c>
      <c r="BP212" s="3">
        <v>0</v>
      </c>
    </row>
    <row r="213" spans="7:68" x14ac:dyDescent="0.25">
      <c r="G213" s="52"/>
      <c r="BE213" s="3">
        <v>0</v>
      </c>
      <c r="BF213" s="3">
        <v>0</v>
      </c>
      <c r="BI213" s="3">
        <v>0</v>
      </c>
      <c r="BJ213" s="3">
        <v>0</v>
      </c>
      <c r="BL213" s="3">
        <v>0</v>
      </c>
      <c r="BM213" s="3">
        <v>0</v>
      </c>
      <c r="BO213" s="3">
        <v>0</v>
      </c>
      <c r="BP213" s="3">
        <v>0</v>
      </c>
    </row>
    <row r="214" spans="7:68" x14ac:dyDescent="0.25">
      <c r="G214" s="52"/>
      <c r="BE214" s="3">
        <v>0</v>
      </c>
      <c r="BF214" s="3">
        <v>0</v>
      </c>
      <c r="BI214" s="3">
        <v>0</v>
      </c>
      <c r="BJ214" s="3">
        <v>0</v>
      </c>
      <c r="BL214" s="3">
        <v>0</v>
      </c>
      <c r="BM214" s="3">
        <v>0</v>
      </c>
      <c r="BO214" s="3">
        <v>0</v>
      </c>
      <c r="BP214" s="3">
        <v>0</v>
      </c>
    </row>
    <row r="215" spans="7:68" x14ac:dyDescent="0.25">
      <c r="G215" s="52"/>
      <c r="BE215" s="3">
        <v>0</v>
      </c>
      <c r="BF215" s="3">
        <v>0</v>
      </c>
      <c r="BI215" s="3">
        <v>0</v>
      </c>
      <c r="BJ215" s="3">
        <v>0</v>
      </c>
      <c r="BL215" s="3">
        <v>0</v>
      </c>
      <c r="BM215" s="3">
        <v>0</v>
      </c>
      <c r="BO215" s="3">
        <v>0</v>
      </c>
      <c r="BP215" s="3">
        <v>0</v>
      </c>
    </row>
    <row r="216" spans="7:68" x14ac:dyDescent="0.25">
      <c r="G216" s="52"/>
      <c r="BE216" s="3">
        <v>0</v>
      </c>
      <c r="BF216" s="3">
        <v>0</v>
      </c>
      <c r="BI216" s="3">
        <v>0</v>
      </c>
      <c r="BJ216" s="3">
        <v>0</v>
      </c>
      <c r="BL216" s="3">
        <v>0</v>
      </c>
      <c r="BM216" s="3">
        <v>0</v>
      </c>
      <c r="BO216" s="3">
        <v>0</v>
      </c>
      <c r="BP216" s="3">
        <v>0</v>
      </c>
    </row>
    <row r="217" spans="7:68" x14ac:dyDescent="0.25">
      <c r="G217" s="52"/>
      <c r="BE217" s="3">
        <v>0</v>
      </c>
      <c r="BF217" s="3">
        <v>0</v>
      </c>
      <c r="BI217" s="3">
        <v>0</v>
      </c>
      <c r="BJ217" s="3">
        <v>0</v>
      </c>
      <c r="BL217" s="3">
        <v>0</v>
      </c>
      <c r="BM217" s="3">
        <v>0</v>
      </c>
      <c r="BO217" s="3">
        <v>0</v>
      </c>
      <c r="BP217" s="3">
        <v>0</v>
      </c>
    </row>
    <row r="218" spans="7:68" x14ac:dyDescent="0.25">
      <c r="G218" s="52"/>
      <c r="BE218" s="3">
        <v>0</v>
      </c>
      <c r="BF218" s="3">
        <v>0</v>
      </c>
      <c r="BI218" s="3">
        <v>0</v>
      </c>
      <c r="BJ218" s="3">
        <v>0</v>
      </c>
      <c r="BL218" s="3">
        <v>0</v>
      </c>
      <c r="BM218" s="3">
        <v>0</v>
      </c>
      <c r="BO218" s="3">
        <v>0</v>
      </c>
      <c r="BP218" s="3">
        <v>0</v>
      </c>
    </row>
    <row r="219" spans="7:68" x14ac:dyDescent="0.25">
      <c r="G219" s="52"/>
      <c r="BE219" s="3">
        <v>0</v>
      </c>
      <c r="BF219" s="3">
        <v>0</v>
      </c>
      <c r="BI219" s="3">
        <v>0</v>
      </c>
      <c r="BJ219" s="3">
        <v>0</v>
      </c>
      <c r="BL219" s="3">
        <v>0</v>
      </c>
      <c r="BM219" s="3">
        <v>0</v>
      </c>
      <c r="BO219" s="3">
        <v>0</v>
      </c>
      <c r="BP219" s="3">
        <v>0</v>
      </c>
    </row>
    <row r="220" spans="7:68" x14ac:dyDescent="0.25">
      <c r="G220" s="52"/>
      <c r="BE220" s="3">
        <v>0</v>
      </c>
      <c r="BF220" s="3">
        <v>0</v>
      </c>
      <c r="BI220" s="3">
        <v>0</v>
      </c>
      <c r="BJ220" s="3">
        <v>0</v>
      </c>
      <c r="BL220" s="3">
        <v>0</v>
      </c>
      <c r="BM220" s="3">
        <v>0</v>
      </c>
      <c r="BO220" s="3">
        <v>0</v>
      </c>
      <c r="BP220" s="3">
        <v>0</v>
      </c>
    </row>
    <row r="221" spans="7:68" x14ac:dyDescent="0.25">
      <c r="G221" s="52"/>
      <c r="BE221" s="3">
        <v>0</v>
      </c>
      <c r="BF221" s="3">
        <v>0</v>
      </c>
      <c r="BI221" s="3">
        <v>0</v>
      </c>
      <c r="BJ221" s="3">
        <v>0</v>
      </c>
      <c r="BL221" s="3">
        <v>0</v>
      </c>
      <c r="BM221" s="3">
        <v>0</v>
      </c>
      <c r="BO221" s="3">
        <v>0</v>
      </c>
      <c r="BP221" s="3">
        <v>0</v>
      </c>
    </row>
    <row r="222" spans="7:68" x14ac:dyDescent="0.25">
      <c r="G222" s="52"/>
      <c r="BE222" s="3">
        <v>0</v>
      </c>
      <c r="BF222" s="3">
        <v>0</v>
      </c>
      <c r="BI222" s="3">
        <v>0</v>
      </c>
      <c r="BJ222" s="3">
        <v>0</v>
      </c>
      <c r="BL222" s="3">
        <v>0</v>
      </c>
      <c r="BM222" s="3">
        <v>0</v>
      </c>
      <c r="BO222" s="3">
        <v>0</v>
      </c>
      <c r="BP222" s="3">
        <v>0</v>
      </c>
    </row>
    <row r="223" spans="7:68" x14ac:dyDescent="0.25">
      <c r="G223" s="52"/>
      <c r="BE223" s="3">
        <v>0</v>
      </c>
      <c r="BF223" s="3">
        <v>0</v>
      </c>
      <c r="BI223" s="3">
        <v>0</v>
      </c>
      <c r="BJ223" s="3">
        <v>0</v>
      </c>
      <c r="BL223" s="3">
        <v>0</v>
      </c>
      <c r="BM223" s="3">
        <v>0</v>
      </c>
      <c r="BO223" s="3">
        <v>0</v>
      </c>
      <c r="BP223" s="3">
        <v>0</v>
      </c>
    </row>
    <row r="224" spans="7:68" x14ac:dyDescent="0.25">
      <c r="G224" s="52"/>
      <c r="BE224" s="3">
        <v>0</v>
      </c>
      <c r="BF224" s="3">
        <v>0</v>
      </c>
      <c r="BI224" s="3">
        <v>0</v>
      </c>
      <c r="BJ224" s="3">
        <v>0</v>
      </c>
      <c r="BL224" s="3">
        <v>0</v>
      </c>
      <c r="BM224" s="3">
        <v>0</v>
      </c>
      <c r="BO224" s="3">
        <v>0</v>
      </c>
      <c r="BP224" s="3">
        <v>0</v>
      </c>
    </row>
    <row r="225" spans="7:68" x14ac:dyDescent="0.25">
      <c r="G225" s="52"/>
      <c r="BE225" s="3">
        <v>0</v>
      </c>
      <c r="BF225" s="3">
        <v>0</v>
      </c>
      <c r="BI225" s="3">
        <v>0</v>
      </c>
      <c r="BJ225" s="3">
        <v>0</v>
      </c>
      <c r="BL225" s="3">
        <v>0</v>
      </c>
      <c r="BM225" s="3">
        <v>0</v>
      </c>
      <c r="BO225" s="3">
        <v>0</v>
      </c>
      <c r="BP225" s="3">
        <v>0</v>
      </c>
    </row>
    <row r="226" spans="7:68" x14ac:dyDescent="0.25">
      <c r="G226" s="52"/>
      <c r="BE226" s="3">
        <v>0</v>
      </c>
      <c r="BF226" s="3">
        <v>0</v>
      </c>
      <c r="BI226" s="3">
        <v>0</v>
      </c>
      <c r="BJ226" s="3">
        <v>0</v>
      </c>
      <c r="BL226" s="3">
        <v>0</v>
      </c>
      <c r="BM226" s="3">
        <v>0</v>
      </c>
      <c r="BO226" s="3">
        <v>0</v>
      </c>
      <c r="BP226" s="3">
        <v>0</v>
      </c>
    </row>
    <row r="227" spans="7:68" x14ac:dyDescent="0.25">
      <c r="G227" s="52"/>
      <c r="BE227" s="3">
        <v>0</v>
      </c>
      <c r="BF227" s="3">
        <v>0</v>
      </c>
      <c r="BI227" s="3">
        <v>0</v>
      </c>
      <c r="BJ227" s="3">
        <v>0</v>
      </c>
      <c r="BL227" s="3">
        <v>0</v>
      </c>
      <c r="BM227" s="3">
        <v>0</v>
      </c>
      <c r="BO227" s="3">
        <v>0</v>
      </c>
      <c r="BP227" s="3">
        <v>0</v>
      </c>
    </row>
    <row r="228" spans="7:68" x14ac:dyDescent="0.25">
      <c r="G228" s="52"/>
      <c r="BE228" s="3">
        <v>0</v>
      </c>
      <c r="BF228" s="3">
        <v>0</v>
      </c>
      <c r="BI228" s="3">
        <v>0</v>
      </c>
      <c r="BJ228" s="3">
        <v>0</v>
      </c>
      <c r="BL228" s="3">
        <v>0</v>
      </c>
      <c r="BM228" s="3">
        <v>0</v>
      </c>
      <c r="BO228" s="3">
        <v>0</v>
      </c>
      <c r="BP228" s="3">
        <v>0</v>
      </c>
    </row>
    <row r="229" spans="7:68" x14ac:dyDescent="0.25">
      <c r="G229" s="52"/>
      <c r="BE229" s="3">
        <v>0</v>
      </c>
      <c r="BF229" s="3">
        <v>0</v>
      </c>
      <c r="BI229" s="3">
        <v>0</v>
      </c>
      <c r="BJ229" s="3">
        <v>0</v>
      </c>
      <c r="BL229" s="3">
        <v>0</v>
      </c>
      <c r="BM229" s="3">
        <v>0</v>
      </c>
      <c r="BO229" s="3">
        <v>0</v>
      </c>
      <c r="BP229" s="3">
        <v>0</v>
      </c>
    </row>
    <row r="230" spans="7:68" x14ac:dyDescent="0.25">
      <c r="G230" s="52"/>
      <c r="BE230" s="3">
        <v>0</v>
      </c>
      <c r="BF230" s="3">
        <v>0</v>
      </c>
      <c r="BI230" s="3">
        <v>0</v>
      </c>
      <c r="BJ230" s="3">
        <v>0</v>
      </c>
      <c r="BL230" s="3">
        <v>0</v>
      </c>
      <c r="BM230" s="3">
        <v>0</v>
      </c>
      <c r="BO230" s="3">
        <v>0</v>
      </c>
      <c r="BP230" s="3">
        <v>0</v>
      </c>
    </row>
    <row r="231" spans="7:68" x14ac:dyDescent="0.25">
      <c r="G231" s="52"/>
      <c r="BE231" s="3">
        <v>0</v>
      </c>
      <c r="BF231" s="3">
        <v>0</v>
      </c>
      <c r="BI231" s="3">
        <v>0</v>
      </c>
      <c r="BJ231" s="3">
        <v>0</v>
      </c>
      <c r="BL231" s="3">
        <v>0</v>
      </c>
      <c r="BM231" s="3">
        <v>0</v>
      </c>
      <c r="BO231" s="3">
        <v>0</v>
      </c>
      <c r="BP231" s="3">
        <v>0</v>
      </c>
    </row>
    <row r="232" spans="7:68" x14ac:dyDescent="0.25">
      <c r="G232" s="52"/>
      <c r="BE232" s="3">
        <v>0</v>
      </c>
      <c r="BF232" s="3">
        <v>0</v>
      </c>
      <c r="BI232" s="3">
        <v>0</v>
      </c>
      <c r="BJ232" s="3">
        <v>0</v>
      </c>
      <c r="BL232" s="3">
        <v>0</v>
      </c>
      <c r="BM232" s="3">
        <v>0</v>
      </c>
      <c r="BO232" s="3">
        <v>0</v>
      </c>
      <c r="BP232" s="3">
        <v>0</v>
      </c>
    </row>
    <row r="233" spans="7:68" x14ac:dyDescent="0.25">
      <c r="G233" s="52"/>
      <c r="BE233" s="3">
        <v>0</v>
      </c>
      <c r="BF233" s="3">
        <v>0</v>
      </c>
      <c r="BI233" s="3">
        <v>0</v>
      </c>
      <c r="BJ233" s="3">
        <v>0</v>
      </c>
      <c r="BL233" s="3">
        <v>0</v>
      </c>
      <c r="BM233" s="3">
        <v>0</v>
      </c>
      <c r="BO233" s="3">
        <v>0</v>
      </c>
      <c r="BP233" s="3">
        <v>0</v>
      </c>
    </row>
    <row r="234" spans="7:68" x14ac:dyDescent="0.25">
      <c r="G234" s="52"/>
      <c r="BE234" s="3">
        <v>0</v>
      </c>
      <c r="BF234" s="3">
        <v>0</v>
      </c>
      <c r="BI234" s="3">
        <v>0</v>
      </c>
      <c r="BJ234" s="3">
        <v>0</v>
      </c>
      <c r="BL234" s="3">
        <v>0</v>
      </c>
      <c r="BM234" s="3">
        <v>0</v>
      </c>
      <c r="BO234" s="3">
        <v>0</v>
      </c>
      <c r="BP234" s="3">
        <v>0</v>
      </c>
    </row>
    <row r="235" spans="7:68" x14ac:dyDescent="0.25">
      <c r="G235" s="52"/>
      <c r="BE235" s="3">
        <v>0</v>
      </c>
      <c r="BF235" s="3">
        <v>0</v>
      </c>
      <c r="BI235" s="3">
        <v>0</v>
      </c>
      <c r="BJ235" s="3">
        <v>0</v>
      </c>
      <c r="BL235" s="3">
        <v>0</v>
      </c>
      <c r="BM235" s="3">
        <v>0</v>
      </c>
      <c r="BO235" s="3">
        <v>0</v>
      </c>
      <c r="BP235" s="3">
        <v>0</v>
      </c>
    </row>
    <row r="236" spans="7:68" x14ac:dyDescent="0.25">
      <c r="G236" s="52"/>
      <c r="BE236" s="3">
        <v>0</v>
      </c>
      <c r="BF236" s="3">
        <v>0</v>
      </c>
      <c r="BI236" s="3">
        <v>0</v>
      </c>
      <c r="BJ236" s="3">
        <v>0</v>
      </c>
      <c r="BL236" s="3">
        <v>0</v>
      </c>
      <c r="BM236" s="3">
        <v>0</v>
      </c>
      <c r="BO236" s="3">
        <v>0</v>
      </c>
      <c r="BP236" s="3">
        <v>0</v>
      </c>
    </row>
    <row r="237" spans="7:68" x14ac:dyDescent="0.25">
      <c r="G237" s="52"/>
      <c r="BE237" s="3">
        <v>0</v>
      </c>
      <c r="BF237" s="3">
        <v>0</v>
      </c>
      <c r="BI237" s="3">
        <v>0</v>
      </c>
      <c r="BJ237" s="3">
        <v>0</v>
      </c>
      <c r="BL237" s="3">
        <v>0</v>
      </c>
      <c r="BM237" s="3">
        <v>0</v>
      </c>
      <c r="BO237" s="3">
        <v>0</v>
      </c>
      <c r="BP237" s="3">
        <v>0</v>
      </c>
    </row>
    <row r="238" spans="7:68" x14ac:dyDescent="0.25">
      <c r="G238" s="52"/>
      <c r="BE238" s="3">
        <v>0</v>
      </c>
      <c r="BF238" s="3">
        <v>0</v>
      </c>
      <c r="BI238" s="3">
        <v>0</v>
      </c>
      <c r="BJ238" s="3">
        <v>0</v>
      </c>
      <c r="BL238" s="3">
        <v>0</v>
      </c>
      <c r="BM238" s="3">
        <v>0</v>
      </c>
      <c r="BO238" s="3">
        <v>0</v>
      </c>
      <c r="BP238" s="3">
        <v>0</v>
      </c>
    </row>
    <row r="239" spans="7:68" x14ac:dyDescent="0.25">
      <c r="G239" s="52"/>
      <c r="BE239" s="3">
        <v>0</v>
      </c>
      <c r="BF239" s="3">
        <v>0</v>
      </c>
      <c r="BI239" s="3">
        <v>0</v>
      </c>
      <c r="BJ239" s="3">
        <v>0</v>
      </c>
      <c r="BL239" s="3">
        <v>0</v>
      </c>
      <c r="BM239" s="3">
        <v>0</v>
      </c>
      <c r="BO239" s="3">
        <v>0</v>
      </c>
      <c r="BP239" s="3">
        <v>0</v>
      </c>
    </row>
    <row r="240" spans="7:68" x14ac:dyDescent="0.25">
      <c r="G240" s="52"/>
      <c r="BE240" s="3">
        <v>0</v>
      </c>
      <c r="BF240" s="3">
        <v>0</v>
      </c>
      <c r="BI240" s="3">
        <v>0</v>
      </c>
      <c r="BJ240" s="3">
        <v>0</v>
      </c>
      <c r="BL240" s="3">
        <v>0</v>
      </c>
      <c r="BM240" s="3">
        <v>0</v>
      </c>
      <c r="BO240" s="3">
        <v>0</v>
      </c>
      <c r="BP240" s="3">
        <v>0</v>
      </c>
    </row>
    <row r="241" spans="7:68" x14ac:dyDescent="0.25">
      <c r="G241" s="52"/>
      <c r="BE241" s="3">
        <v>0</v>
      </c>
      <c r="BF241" s="3">
        <v>0</v>
      </c>
      <c r="BI241" s="3">
        <v>0</v>
      </c>
      <c r="BJ241" s="3">
        <v>0</v>
      </c>
      <c r="BL241" s="3">
        <v>0</v>
      </c>
      <c r="BM241" s="3">
        <v>0</v>
      </c>
      <c r="BO241" s="3">
        <v>0</v>
      </c>
      <c r="BP241" s="3">
        <v>0</v>
      </c>
    </row>
    <row r="242" spans="7:68" x14ac:dyDescent="0.25">
      <c r="G242" s="52"/>
      <c r="BE242" s="3">
        <v>0</v>
      </c>
      <c r="BF242" s="3">
        <v>0</v>
      </c>
      <c r="BI242" s="3">
        <v>0</v>
      </c>
      <c r="BJ242" s="3">
        <v>0</v>
      </c>
      <c r="BL242" s="3">
        <v>0</v>
      </c>
      <c r="BM242" s="3">
        <v>0</v>
      </c>
      <c r="BO242" s="3">
        <v>0</v>
      </c>
      <c r="BP242" s="3">
        <v>0</v>
      </c>
    </row>
    <row r="243" spans="7:68" x14ac:dyDescent="0.25">
      <c r="G243" s="52"/>
      <c r="BE243" s="3">
        <v>0</v>
      </c>
      <c r="BF243" s="3">
        <v>0</v>
      </c>
      <c r="BI243" s="3">
        <v>0</v>
      </c>
      <c r="BJ243" s="3">
        <v>0</v>
      </c>
      <c r="BL243" s="3">
        <v>0</v>
      </c>
      <c r="BM243" s="3">
        <v>0</v>
      </c>
      <c r="BO243" s="3">
        <v>0</v>
      </c>
      <c r="BP243" s="3">
        <v>0</v>
      </c>
    </row>
    <row r="244" spans="7:68" x14ac:dyDescent="0.25">
      <c r="G244" s="52"/>
      <c r="BE244" s="3">
        <v>0</v>
      </c>
      <c r="BF244" s="3">
        <v>0</v>
      </c>
      <c r="BI244" s="3">
        <v>0</v>
      </c>
      <c r="BJ244" s="3">
        <v>0</v>
      </c>
      <c r="BL244" s="3">
        <v>0</v>
      </c>
      <c r="BM244" s="3">
        <v>0</v>
      </c>
      <c r="BO244" s="3">
        <v>0</v>
      </c>
      <c r="BP244" s="3">
        <v>0</v>
      </c>
    </row>
    <row r="245" spans="7:68" x14ac:dyDescent="0.25">
      <c r="G245" s="52"/>
      <c r="BE245" s="3">
        <v>0</v>
      </c>
      <c r="BF245" s="3">
        <v>0</v>
      </c>
      <c r="BI245" s="3">
        <v>0</v>
      </c>
      <c r="BJ245" s="3">
        <v>0</v>
      </c>
      <c r="BL245" s="3">
        <v>0</v>
      </c>
      <c r="BM245" s="3">
        <v>0</v>
      </c>
      <c r="BO245" s="3">
        <v>0</v>
      </c>
      <c r="BP245" s="3">
        <v>0</v>
      </c>
    </row>
    <row r="246" spans="7:68" x14ac:dyDescent="0.25">
      <c r="G246" s="52"/>
      <c r="BE246" s="3">
        <v>0</v>
      </c>
      <c r="BF246" s="3">
        <v>0</v>
      </c>
      <c r="BI246" s="3">
        <v>0</v>
      </c>
      <c r="BJ246" s="3">
        <v>0</v>
      </c>
      <c r="BL246" s="3">
        <v>0</v>
      </c>
      <c r="BM246" s="3">
        <v>0</v>
      </c>
      <c r="BO246" s="3">
        <v>0</v>
      </c>
      <c r="BP246" s="3">
        <v>0</v>
      </c>
    </row>
    <row r="247" spans="7:68" x14ac:dyDescent="0.25">
      <c r="G247" s="52"/>
      <c r="BE247" s="3">
        <v>0</v>
      </c>
      <c r="BF247" s="3">
        <v>0</v>
      </c>
      <c r="BI247" s="3">
        <v>0</v>
      </c>
      <c r="BJ247" s="3">
        <v>0</v>
      </c>
      <c r="BL247" s="3">
        <v>0</v>
      </c>
      <c r="BM247" s="3">
        <v>0</v>
      </c>
      <c r="BO247" s="3">
        <v>0</v>
      </c>
      <c r="BP247" s="3">
        <v>0</v>
      </c>
    </row>
    <row r="248" spans="7:68" x14ac:dyDescent="0.25">
      <c r="G248" s="52"/>
      <c r="BE248" s="3">
        <v>0</v>
      </c>
      <c r="BF248" s="3">
        <v>0</v>
      </c>
      <c r="BI248" s="3">
        <v>0</v>
      </c>
      <c r="BJ248" s="3">
        <v>0</v>
      </c>
      <c r="BL248" s="3">
        <v>0</v>
      </c>
      <c r="BM248" s="3">
        <v>0</v>
      </c>
      <c r="BO248" s="3">
        <v>0</v>
      </c>
      <c r="BP248" s="3">
        <v>0</v>
      </c>
    </row>
    <row r="249" spans="7:68" x14ac:dyDescent="0.25">
      <c r="G249" s="52"/>
      <c r="BE249" s="3">
        <v>0</v>
      </c>
      <c r="BF249" s="3">
        <v>0</v>
      </c>
      <c r="BI249" s="3">
        <v>0</v>
      </c>
      <c r="BJ249" s="3">
        <v>0</v>
      </c>
      <c r="BL249" s="3">
        <v>0</v>
      </c>
      <c r="BM249" s="3">
        <v>0</v>
      </c>
      <c r="BO249" s="3">
        <v>0</v>
      </c>
      <c r="BP249" s="3">
        <v>0</v>
      </c>
    </row>
    <row r="250" spans="7:68" x14ac:dyDescent="0.25">
      <c r="G250" s="52"/>
      <c r="BE250" s="3">
        <v>0</v>
      </c>
      <c r="BF250" s="3">
        <v>0</v>
      </c>
      <c r="BI250" s="3">
        <v>0</v>
      </c>
      <c r="BJ250" s="3">
        <v>0</v>
      </c>
      <c r="BL250" s="3">
        <v>0</v>
      </c>
      <c r="BM250" s="3">
        <v>0</v>
      </c>
      <c r="BO250" s="3">
        <v>0</v>
      </c>
      <c r="BP250" s="3">
        <v>0</v>
      </c>
    </row>
    <row r="251" spans="7:68" x14ac:dyDescent="0.25">
      <c r="G251" s="52"/>
      <c r="BE251" s="3">
        <v>0</v>
      </c>
      <c r="BF251" s="3">
        <v>0</v>
      </c>
      <c r="BI251" s="3">
        <v>0</v>
      </c>
      <c r="BJ251" s="3">
        <v>0</v>
      </c>
      <c r="BL251" s="3">
        <v>0</v>
      </c>
      <c r="BM251" s="3">
        <v>0</v>
      </c>
      <c r="BO251" s="3">
        <v>0</v>
      </c>
      <c r="BP251" s="3">
        <v>0</v>
      </c>
    </row>
    <row r="252" spans="7:68" x14ac:dyDescent="0.25">
      <c r="G252" s="52"/>
      <c r="BE252" s="3">
        <v>0</v>
      </c>
      <c r="BF252" s="3">
        <v>0</v>
      </c>
      <c r="BI252" s="3">
        <v>0</v>
      </c>
      <c r="BJ252" s="3">
        <v>0</v>
      </c>
      <c r="BL252" s="3">
        <v>0</v>
      </c>
      <c r="BM252" s="3">
        <v>0</v>
      </c>
      <c r="BO252" s="3">
        <v>0</v>
      </c>
      <c r="BP252" s="3">
        <v>0</v>
      </c>
    </row>
    <row r="253" spans="7:68" x14ac:dyDescent="0.25">
      <c r="G253" s="52"/>
      <c r="BE253" s="3">
        <v>0</v>
      </c>
      <c r="BF253" s="3">
        <v>0</v>
      </c>
      <c r="BI253" s="3">
        <v>0</v>
      </c>
      <c r="BJ253" s="3">
        <v>0</v>
      </c>
      <c r="BL253" s="3">
        <v>0</v>
      </c>
      <c r="BM253" s="3">
        <v>0</v>
      </c>
      <c r="BO253" s="3">
        <v>0</v>
      </c>
      <c r="BP253" s="3">
        <v>0</v>
      </c>
    </row>
    <row r="254" spans="7:68" x14ac:dyDescent="0.25">
      <c r="G254" s="52"/>
      <c r="BE254" s="3">
        <v>0</v>
      </c>
      <c r="BF254" s="3">
        <v>0</v>
      </c>
      <c r="BI254" s="3">
        <v>0</v>
      </c>
      <c r="BJ254" s="3">
        <v>0</v>
      </c>
      <c r="BL254" s="3">
        <v>0</v>
      </c>
      <c r="BM254" s="3">
        <v>0</v>
      </c>
      <c r="BO254" s="3">
        <v>0</v>
      </c>
      <c r="BP254" s="3">
        <v>0</v>
      </c>
    </row>
    <row r="255" spans="7:68" x14ac:dyDescent="0.25">
      <c r="G255" s="52"/>
      <c r="BE255" s="3">
        <v>0</v>
      </c>
      <c r="BF255" s="3">
        <v>0</v>
      </c>
      <c r="BI255" s="3">
        <v>0</v>
      </c>
      <c r="BJ255" s="3">
        <v>0</v>
      </c>
      <c r="BL255" s="3">
        <v>0</v>
      </c>
      <c r="BM255" s="3">
        <v>0</v>
      </c>
      <c r="BO255" s="3">
        <v>0</v>
      </c>
      <c r="BP255" s="3">
        <v>0</v>
      </c>
    </row>
    <row r="256" spans="7:68" x14ac:dyDescent="0.25">
      <c r="G256" s="52"/>
      <c r="BE256" s="3">
        <v>0</v>
      </c>
      <c r="BF256" s="3">
        <v>0</v>
      </c>
      <c r="BI256" s="3">
        <v>0</v>
      </c>
      <c r="BJ256" s="3">
        <v>0</v>
      </c>
      <c r="BL256" s="3">
        <v>0</v>
      </c>
      <c r="BM256" s="3">
        <v>0</v>
      </c>
      <c r="BO256" s="3">
        <v>0</v>
      </c>
      <c r="BP256" s="3">
        <v>0</v>
      </c>
    </row>
    <row r="257" spans="7:68" x14ac:dyDescent="0.25">
      <c r="G257" s="52"/>
      <c r="BE257" s="3">
        <v>0</v>
      </c>
      <c r="BF257" s="3">
        <v>0</v>
      </c>
      <c r="BI257" s="3">
        <v>0</v>
      </c>
      <c r="BJ257" s="3">
        <v>0</v>
      </c>
      <c r="BL257" s="3">
        <v>0</v>
      </c>
      <c r="BM257" s="3">
        <v>0</v>
      </c>
      <c r="BO257" s="3">
        <v>0</v>
      </c>
      <c r="BP257" s="3">
        <v>0</v>
      </c>
    </row>
    <row r="258" spans="7:68" x14ac:dyDescent="0.25">
      <c r="G258" s="52"/>
      <c r="BE258" s="3">
        <v>0</v>
      </c>
      <c r="BF258" s="3">
        <v>0</v>
      </c>
      <c r="BI258" s="3">
        <v>0</v>
      </c>
      <c r="BJ258" s="3">
        <v>0</v>
      </c>
      <c r="BL258" s="3">
        <v>0</v>
      </c>
      <c r="BM258" s="3">
        <v>0</v>
      </c>
      <c r="BO258" s="3">
        <v>0</v>
      </c>
      <c r="BP258" s="3">
        <v>0</v>
      </c>
    </row>
    <row r="259" spans="7:68" x14ac:dyDescent="0.25">
      <c r="G259" s="52"/>
      <c r="BE259" s="3">
        <v>0</v>
      </c>
      <c r="BF259" s="3">
        <v>0</v>
      </c>
      <c r="BI259" s="3">
        <v>0</v>
      </c>
      <c r="BJ259" s="3">
        <v>0</v>
      </c>
      <c r="BL259" s="3">
        <v>0</v>
      </c>
      <c r="BM259" s="3">
        <v>0</v>
      </c>
      <c r="BO259" s="3">
        <v>0</v>
      </c>
      <c r="BP259" s="3">
        <v>0</v>
      </c>
    </row>
    <row r="260" spans="7:68" x14ac:dyDescent="0.25">
      <c r="G260" s="52"/>
      <c r="BE260" s="3">
        <v>0</v>
      </c>
      <c r="BF260" s="3">
        <v>0</v>
      </c>
      <c r="BI260" s="3">
        <v>0</v>
      </c>
      <c r="BJ260" s="3">
        <v>0</v>
      </c>
      <c r="BL260" s="3">
        <v>0</v>
      </c>
      <c r="BM260" s="3">
        <v>0</v>
      </c>
      <c r="BO260" s="3">
        <v>0</v>
      </c>
      <c r="BP260" s="3">
        <v>0</v>
      </c>
    </row>
    <row r="261" spans="7:68" x14ac:dyDescent="0.25">
      <c r="G261" s="52"/>
      <c r="BE261" s="3">
        <v>0</v>
      </c>
      <c r="BF261" s="3">
        <v>0</v>
      </c>
      <c r="BI261" s="3">
        <v>0</v>
      </c>
      <c r="BJ261" s="3">
        <v>0</v>
      </c>
      <c r="BL261" s="3">
        <v>0</v>
      </c>
      <c r="BM261" s="3">
        <v>0</v>
      </c>
      <c r="BO261" s="3">
        <v>0</v>
      </c>
      <c r="BP261" s="3">
        <v>0</v>
      </c>
    </row>
    <row r="262" spans="7:68" x14ac:dyDescent="0.25">
      <c r="G262" s="52"/>
      <c r="BE262" s="3">
        <v>0</v>
      </c>
      <c r="BF262" s="3">
        <v>0</v>
      </c>
      <c r="BI262" s="3">
        <v>0</v>
      </c>
      <c r="BJ262" s="3">
        <v>0</v>
      </c>
      <c r="BL262" s="3">
        <v>0</v>
      </c>
      <c r="BM262" s="3">
        <v>0</v>
      </c>
      <c r="BO262" s="3">
        <v>0</v>
      </c>
      <c r="BP262" s="3">
        <v>0</v>
      </c>
    </row>
    <row r="263" spans="7:68" x14ac:dyDescent="0.25">
      <c r="G263" s="52"/>
      <c r="BE263" s="3">
        <v>0</v>
      </c>
      <c r="BF263" s="3">
        <v>0</v>
      </c>
      <c r="BI263" s="3">
        <v>0</v>
      </c>
      <c r="BJ263" s="3">
        <v>0</v>
      </c>
      <c r="BL263" s="3">
        <v>0</v>
      </c>
      <c r="BM263" s="3">
        <v>0</v>
      </c>
      <c r="BO263" s="3">
        <v>0</v>
      </c>
      <c r="BP263" s="3">
        <v>0</v>
      </c>
    </row>
    <row r="264" spans="7:68" x14ac:dyDescent="0.25">
      <c r="G264" s="52"/>
      <c r="BE264" s="3">
        <v>0</v>
      </c>
      <c r="BF264" s="3">
        <v>0</v>
      </c>
      <c r="BI264" s="3">
        <v>0</v>
      </c>
      <c r="BJ264" s="3">
        <v>0</v>
      </c>
      <c r="BL264" s="3">
        <v>0</v>
      </c>
      <c r="BM264" s="3">
        <v>0</v>
      </c>
      <c r="BO264" s="3">
        <v>0</v>
      </c>
      <c r="BP264" s="3">
        <v>0</v>
      </c>
    </row>
    <row r="265" spans="7:68" x14ac:dyDescent="0.25">
      <c r="G265" s="52"/>
      <c r="BE265" s="3">
        <v>0</v>
      </c>
      <c r="BF265" s="3">
        <v>0</v>
      </c>
      <c r="BI265" s="3">
        <v>0</v>
      </c>
      <c r="BJ265" s="3">
        <v>0</v>
      </c>
      <c r="BL265" s="3">
        <v>0</v>
      </c>
      <c r="BM265" s="3">
        <v>0</v>
      </c>
      <c r="BO265" s="3">
        <v>0</v>
      </c>
      <c r="BP265" s="3">
        <v>0</v>
      </c>
    </row>
    <row r="266" spans="7:68" x14ac:dyDescent="0.25">
      <c r="G266" s="52"/>
      <c r="BE266" s="3">
        <v>0</v>
      </c>
      <c r="BF266" s="3">
        <v>0</v>
      </c>
      <c r="BI266" s="3">
        <v>0</v>
      </c>
      <c r="BJ266" s="3">
        <v>0</v>
      </c>
      <c r="BL266" s="3">
        <v>0</v>
      </c>
      <c r="BM266" s="3">
        <v>0</v>
      </c>
      <c r="BO266" s="3">
        <v>0</v>
      </c>
      <c r="BP266" s="3">
        <v>0</v>
      </c>
    </row>
    <row r="267" spans="7:68" x14ac:dyDescent="0.25">
      <c r="G267" s="52"/>
      <c r="BE267" s="3">
        <v>0</v>
      </c>
      <c r="BF267" s="3">
        <v>0</v>
      </c>
      <c r="BI267" s="3">
        <v>0</v>
      </c>
      <c r="BJ267" s="3">
        <v>0</v>
      </c>
      <c r="BL267" s="3">
        <v>0</v>
      </c>
      <c r="BM267" s="3">
        <v>0</v>
      </c>
      <c r="BO267" s="3">
        <v>0</v>
      </c>
      <c r="BP267" s="3">
        <v>0</v>
      </c>
    </row>
    <row r="268" spans="7:68" x14ac:dyDescent="0.25">
      <c r="G268" s="52"/>
      <c r="BE268" s="3">
        <v>0</v>
      </c>
      <c r="BF268" s="3">
        <v>0</v>
      </c>
      <c r="BI268" s="3">
        <v>0</v>
      </c>
      <c r="BJ268" s="3">
        <v>0</v>
      </c>
      <c r="BL268" s="3">
        <v>0</v>
      </c>
      <c r="BM268" s="3">
        <v>0</v>
      </c>
      <c r="BO268" s="3">
        <v>0</v>
      </c>
      <c r="BP268" s="3">
        <v>0</v>
      </c>
    </row>
    <row r="269" spans="7:68" x14ac:dyDescent="0.25">
      <c r="G269" s="52"/>
      <c r="BE269" s="3">
        <v>0</v>
      </c>
      <c r="BF269" s="3">
        <v>0</v>
      </c>
      <c r="BI269" s="3">
        <v>0</v>
      </c>
      <c r="BJ269" s="3">
        <v>0</v>
      </c>
      <c r="BL269" s="3">
        <v>0</v>
      </c>
      <c r="BM269" s="3">
        <v>0</v>
      </c>
      <c r="BO269" s="3">
        <v>0</v>
      </c>
      <c r="BP269" s="3">
        <v>0</v>
      </c>
    </row>
    <row r="270" spans="7:68" x14ac:dyDescent="0.25">
      <c r="G270" s="52"/>
      <c r="BE270" s="3">
        <v>0</v>
      </c>
      <c r="BF270" s="3">
        <v>0</v>
      </c>
      <c r="BI270" s="3">
        <v>0</v>
      </c>
      <c r="BJ270" s="3">
        <v>0</v>
      </c>
      <c r="BL270" s="3">
        <v>0</v>
      </c>
      <c r="BM270" s="3">
        <v>0</v>
      </c>
      <c r="BO270" s="3">
        <v>0</v>
      </c>
      <c r="BP270" s="3">
        <v>0</v>
      </c>
    </row>
    <row r="271" spans="7:68" x14ac:dyDescent="0.25">
      <c r="G271" s="52"/>
      <c r="BE271" s="3">
        <v>0</v>
      </c>
      <c r="BF271" s="3">
        <v>0</v>
      </c>
      <c r="BI271" s="3">
        <v>0</v>
      </c>
      <c r="BJ271" s="3">
        <v>0</v>
      </c>
      <c r="BL271" s="3">
        <v>0</v>
      </c>
      <c r="BM271" s="3">
        <v>0</v>
      </c>
      <c r="BO271" s="3">
        <v>0</v>
      </c>
      <c r="BP271" s="3">
        <v>0</v>
      </c>
    </row>
    <row r="272" spans="7:68" x14ac:dyDescent="0.25">
      <c r="G272" s="52"/>
      <c r="BE272" s="3">
        <v>0</v>
      </c>
      <c r="BF272" s="3">
        <v>0</v>
      </c>
      <c r="BI272" s="3">
        <v>0</v>
      </c>
      <c r="BJ272" s="3">
        <v>0</v>
      </c>
      <c r="BL272" s="3">
        <v>0</v>
      </c>
      <c r="BM272" s="3">
        <v>0</v>
      </c>
      <c r="BO272" s="3">
        <v>0</v>
      </c>
      <c r="BP272" s="3">
        <v>0</v>
      </c>
    </row>
    <row r="273" spans="7:68" x14ac:dyDescent="0.25">
      <c r="G273" s="52"/>
      <c r="BE273" s="3">
        <v>0</v>
      </c>
      <c r="BF273" s="3">
        <v>0</v>
      </c>
      <c r="BI273" s="3">
        <v>0</v>
      </c>
      <c r="BJ273" s="3">
        <v>0</v>
      </c>
      <c r="BL273" s="3">
        <v>0</v>
      </c>
      <c r="BM273" s="3">
        <v>0</v>
      </c>
      <c r="BO273" s="3">
        <v>0</v>
      </c>
      <c r="BP273" s="3">
        <v>0</v>
      </c>
    </row>
    <row r="274" spans="7:68" x14ac:dyDescent="0.25">
      <c r="G274" s="52"/>
      <c r="BE274" s="3">
        <v>0</v>
      </c>
      <c r="BF274" s="3">
        <v>0</v>
      </c>
      <c r="BI274" s="3">
        <v>0</v>
      </c>
      <c r="BJ274" s="3">
        <v>0</v>
      </c>
      <c r="BL274" s="3">
        <v>0</v>
      </c>
      <c r="BM274" s="3">
        <v>0</v>
      </c>
      <c r="BO274" s="3">
        <v>0</v>
      </c>
      <c r="BP274" s="3">
        <v>0</v>
      </c>
    </row>
    <row r="275" spans="7:68" x14ac:dyDescent="0.25">
      <c r="G275" s="52"/>
      <c r="BE275" s="3">
        <v>0</v>
      </c>
      <c r="BF275" s="3">
        <v>0</v>
      </c>
      <c r="BI275" s="3">
        <v>0</v>
      </c>
      <c r="BJ275" s="3">
        <v>0</v>
      </c>
      <c r="BL275" s="3">
        <v>0</v>
      </c>
      <c r="BM275" s="3">
        <v>0</v>
      </c>
      <c r="BO275" s="3">
        <v>0</v>
      </c>
      <c r="BP275" s="3">
        <v>0</v>
      </c>
    </row>
    <row r="276" spans="7:68" x14ac:dyDescent="0.25">
      <c r="G276" s="52"/>
      <c r="BE276" s="3">
        <v>0</v>
      </c>
      <c r="BF276" s="3">
        <v>0</v>
      </c>
      <c r="BI276" s="3">
        <v>0</v>
      </c>
      <c r="BJ276" s="3">
        <v>0</v>
      </c>
      <c r="BL276" s="3">
        <v>0</v>
      </c>
      <c r="BM276" s="3">
        <v>0</v>
      </c>
      <c r="BO276" s="3">
        <v>0</v>
      </c>
      <c r="BP276" s="3">
        <v>0</v>
      </c>
    </row>
    <row r="277" spans="7:68" x14ac:dyDescent="0.25">
      <c r="G277" s="52"/>
      <c r="BE277" s="3">
        <v>0</v>
      </c>
      <c r="BF277" s="3">
        <v>0</v>
      </c>
      <c r="BI277" s="3">
        <v>0</v>
      </c>
      <c r="BJ277" s="3">
        <v>0</v>
      </c>
      <c r="BL277" s="3">
        <v>0</v>
      </c>
      <c r="BM277" s="3">
        <v>0</v>
      </c>
      <c r="BO277" s="3">
        <v>0</v>
      </c>
      <c r="BP277" s="3">
        <v>0</v>
      </c>
    </row>
    <row r="278" spans="7:68" x14ac:dyDescent="0.25">
      <c r="G278" s="52"/>
      <c r="BE278" s="3">
        <v>0</v>
      </c>
      <c r="BF278" s="3">
        <v>0</v>
      </c>
      <c r="BI278" s="3">
        <v>0</v>
      </c>
      <c r="BJ278" s="3">
        <v>0</v>
      </c>
      <c r="BL278" s="3">
        <v>0</v>
      </c>
      <c r="BM278" s="3">
        <v>0</v>
      </c>
      <c r="BO278" s="3">
        <v>0</v>
      </c>
      <c r="BP278" s="3">
        <v>0</v>
      </c>
    </row>
    <row r="279" spans="7:68" x14ac:dyDescent="0.25">
      <c r="G279" s="52"/>
      <c r="BE279" s="3">
        <v>0</v>
      </c>
      <c r="BF279" s="3">
        <v>0</v>
      </c>
      <c r="BI279" s="3">
        <v>0</v>
      </c>
      <c r="BJ279" s="3">
        <v>0</v>
      </c>
      <c r="BL279" s="3">
        <v>0</v>
      </c>
      <c r="BM279" s="3">
        <v>0</v>
      </c>
      <c r="BO279" s="3">
        <v>0</v>
      </c>
      <c r="BP279" s="3">
        <v>0</v>
      </c>
    </row>
    <row r="280" spans="7:68" x14ac:dyDescent="0.25">
      <c r="G280" s="52"/>
      <c r="BE280" s="3">
        <v>0</v>
      </c>
      <c r="BF280" s="3">
        <v>0</v>
      </c>
      <c r="BI280" s="3">
        <v>0</v>
      </c>
      <c r="BJ280" s="3">
        <v>0</v>
      </c>
      <c r="BL280" s="3">
        <v>0</v>
      </c>
      <c r="BM280" s="3">
        <v>0</v>
      </c>
      <c r="BO280" s="3">
        <v>0</v>
      </c>
      <c r="BP280" s="3">
        <v>0</v>
      </c>
    </row>
    <row r="281" spans="7:68" x14ac:dyDescent="0.25">
      <c r="G281" s="52"/>
      <c r="BE281" s="3">
        <v>0</v>
      </c>
      <c r="BF281" s="3">
        <v>0</v>
      </c>
      <c r="BI281" s="3">
        <v>0</v>
      </c>
      <c r="BJ281" s="3">
        <v>0</v>
      </c>
      <c r="BL281" s="3">
        <v>0</v>
      </c>
      <c r="BM281" s="3">
        <v>0</v>
      </c>
      <c r="BO281" s="3">
        <v>0</v>
      </c>
      <c r="BP281" s="3">
        <v>0</v>
      </c>
    </row>
    <row r="282" spans="7:68" x14ac:dyDescent="0.25">
      <c r="G282" s="52"/>
      <c r="BE282" s="3">
        <v>0</v>
      </c>
      <c r="BF282" s="3">
        <v>0</v>
      </c>
      <c r="BI282" s="3">
        <v>0</v>
      </c>
      <c r="BJ282" s="3">
        <v>0</v>
      </c>
      <c r="BL282" s="3">
        <v>0</v>
      </c>
      <c r="BM282" s="3">
        <v>0</v>
      </c>
      <c r="BO282" s="3">
        <v>0</v>
      </c>
      <c r="BP282" s="3">
        <v>0</v>
      </c>
    </row>
    <row r="283" spans="7:68" x14ac:dyDescent="0.25">
      <c r="G283" s="52"/>
      <c r="BE283" s="3">
        <v>0</v>
      </c>
      <c r="BF283" s="3">
        <v>0</v>
      </c>
      <c r="BI283" s="3">
        <v>0</v>
      </c>
      <c r="BJ283" s="3">
        <v>0</v>
      </c>
      <c r="BL283" s="3">
        <v>0</v>
      </c>
      <c r="BM283" s="3">
        <v>0</v>
      </c>
      <c r="BO283" s="3">
        <v>0</v>
      </c>
      <c r="BP283" s="3">
        <v>0</v>
      </c>
    </row>
    <row r="284" spans="7:68" x14ac:dyDescent="0.25">
      <c r="G284" s="52"/>
      <c r="BE284" s="3">
        <v>0</v>
      </c>
      <c r="BF284" s="3">
        <v>0</v>
      </c>
      <c r="BI284" s="3">
        <v>0</v>
      </c>
      <c r="BJ284" s="3">
        <v>0</v>
      </c>
      <c r="BL284" s="3">
        <v>0</v>
      </c>
      <c r="BM284" s="3">
        <v>0</v>
      </c>
      <c r="BO284" s="3">
        <v>0</v>
      </c>
      <c r="BP284" s="3">
        <v>0</v>
      </c>
    </row>
    <row r="285" spans="7:68" x14ac:dyDescent="0.25">
      <c r="G285" s="52"/>
      <c r="BE285" s="3">
        <v>0</v>
      </c>
      <c r="BF285" s="3">
        <v>0</v>
      </c>
      <c r="BI285" s="3">
        <v>0</v>
      </c>
      <c r="BJ285" s="3">
        <v>0</v>
      </c>
      <c r="BL285" s="3">
        <v>0</v>
      </c>
      <c r="BM285" s="3">
        <v>0</v>
      </c>
      <c r="BO285" s="3">
        <v>0</v>
      </c>
      <c r="BP285" s="3">
        <v>0</v>
      </c>
    </row>
    <row r="286" spans="7:68" x14ac:dyDescent="0.25">
      <c r="G286" s="52"/>
      <c r="BE286" s="3">
        <v>0</v>
      </c>
      <c r="BF286" s="3">
        <v>0</v>
      </c>
      <c r="BI286" s="3">
        <v>0</v>
      </c>
      <c r="BJ286" s="3">
        <v>0</v>
      </c>
      <c r="BL286" s="3">
        <v>0</v>
      </c>
      <c r="BM286" s="3">
        <v>0</v>
      </c>
      <c r="BO286" s="3">
        <v>0</v>
      </c>
      <c r="BP286" s="3">
        <v>0</v>
      </c>
    </row>
    <row r="287" spans="7:68" x14ac:dyDescent="0.25">
      <c r="G287" s="52"/>
      <c r="BE287" s="3">
        <v>0</v>
      </c>
      <c r="BF287" s="3">
        <v>0</v>
      </c>
      <c r="BI287" s="3">
        <v>0</v>
      </c>
      <c r="BJ287" s="3">
        <v>0</v>
      </c>
      <c r="BL287" s="3">
        <v>0</v>
      </c>
      <c r="BM287" s="3">
        <v>0</v>
      </c>
      <c r="BO287" s="3">
        <v>0</v>
      </c>
      <c r="BP287" s="3">
        <v>0</v>
      </c>
    </row>
    <row r="288" spans="7:68" x14ac:dyDescent="0.25">
      <c r="G288" s="52"/>
      <c r="BE288" s="3">
        <v>0</v>
      </c>
      <c r="BF288" s="3">
        <v>0</v>
      </c>
      <c r="BI288" s="3">
        <v>0</v>
      </c>
      <c r="BJ288" s="3">
        <v>0</v>
      </c>
      <c r="BL288" s="3">
        <v>0</v>
      </c>
      <c r="BM288" s="3">
        <v>0</v>
      </c>
      <c r="BO288" s="3">
        <v>0</v>
      </c>
      <c r="BP288" s="3">
        <v>0</v>
      </c>
    </row>
    <row r="289" spans="7:68" x14ac:dyDescent="0.25">
      <c r="G289" s="52"/>
      <c r="BE289" s="3">
        <v>0</v>
      </c>
      <c r="BF289" s="3">
        <v>0</v>
      </c>
      <c r="BI289" s="3">
        <v>0</v>
      </c>
      <c r="BJ289" s="3">
        <v>0</v>
      </c>
      <c r="BL289" s="3">
        <v>0</v>
      </c>
      <c r="BM289" s="3">
        <v>0</v>
      </c>
      <c r="BO289" s="3">
        <v>0</v>
      </c>
      <c r="BP289" s="3">
        <v>0</v>
      </c>
    </row>
    <row r="290" spans="7:68" x14ac:dyDescent="0.25">
      <c r="G290" s="52"/>
      <c r="BE290" s="3">
        <v>0</v>
      </c>
      <c r="BF290" s="3">
        <v>0</v>
      </c>
      <c r="BI290" s="3">
        <v>0</v>
      </c>
      <c r="BJ290" s="3">
        <v>0</v>
      </c>
      <c r="BL290" s="3">
        <v>0</v>
      </c>
      <c r="BM290" s="3">
        <v>0</v>
      </c>
      <c r="BO290" s="3">
        <v>0</v>
      </c>
      <c r="BP290" s="3">
        <v>0</v>
      </c>
    </row>
    <row r="291" spans="7:68" x14ac:dyDescent="0.25">
      <c r="G291" s="52"/>
      <c r="BE291" s="3">
        <v>0</v>
      </c>
      <c r="BF291" s="3">
        <v>0</v>
      </c>
      <c r="BI291" s="3">
        <v>0</v>
      </c>
      <c r="BJ291" s="3">
        <v>0</v>
      </c>
      <c r="BL291" s="3">
        <v>0</v>
      </c>
      <c r="BM291" s="3">
        <v>0</v>
      </c>
      <c r="BO291" s="3">
        <v>0</v>
      </c>
      <c r="BP291" s="3">
        <v>0</v>
      </c>
    </row>
    <row r="292" spans="7:68" x14ac:dyDescent="0.25">
      <c r="G292" s="52"/>
      <c r="BE292" s="3">
        <v>0</v>
      </c>
      <c r="BF292" s="3">
        <v>0</v>
      </c>
      <c r="BI292" s="3">
        <v>0</v>
      </c>
      <c r="BJ292" s="3">
        <v>0</v>
      </c>
      <c r="BL292" s="3">
        <v>0</v>
      </c>
      <c r="BM292" s="3">
        <v>0</v>
      </c>
      <c r="BO292" s="3">
        <v>0</v>
      </c>
      <c r="BP292" s="3">
        <v>0</v>
      </c>
    </row>
    <row r="293" spans="7:68" x14ac:dyDescent="0.25">
      <c r="G293" s="52"/>
      <c r="BE293" s="3">
        <v>0</v>
      </c>
      <c r="BF293" s="3">
        <v>0</v>
      </c>
      <c r="BI293" s="3">
        <v>0</v>
      </c>
      <c r="BJ293" s="3">
        <v>0</v>
      </c>
      <c r="BL293" s="3">
        <v>0</v>
      </c>
      <c r="BM293" s="3">
        <v>0</v>
      </c>
      <c r="BO293" s="3">
        <v>0</v>
      </c>
      <c r="BP293" s="3">
        <v>0</v>
      </c>
    </row>
    <row r="294" spans="7:68" x14ac:dyDescent="0.25">
      <c r="G294" s="52"/>
      <c r="BE294" s="3">
        <v>0</v>
      </c>
      <c r="BF294" s="3">
        <v>0</v>
      </c>
      <c r="BI294" s="3">
        <v>0</v>
      </c>
      <c r="BJ294" s="3">
        <v>0</v>
      </c>
      <c r="BL294" s="3">
        <v>0</v>
      </c>
      <c r="BM294" s="3">
        <v>0</v>
      </c>
      <c r="BO294" s="3">
        <v>0</v>
      </c>
      <c r="BP294" s="3">
        <v>0</v>
      </c>
    </row>
    <row r="295" spans="7:68" x14ac:dyDescent="0.25">
      <c r="G295" s="52"/>
      <c r="BE295" s="3">
        <v>0</v>
      </c>
      <c r="BF295" s="3">
        <v>0</v>
      </c>
      <c r="BI295" s="3">
        <v>0</v>
      </c>
      <c r="BJ295" s="3">
        <v>0</v>
      </c>
      <c r="BL295" s="3">
        <v>0</v>
      </c>
      <c r="BM295" s="3">
        <v>0</v>
      </c>
      <c r="BO295" s="3">
        <v>0</v>
      </c>
      <c r="BP295" s="3">
        <v>0</v>
      </c>
    </row>
    <row r="296" spans="7:68" x14ac:dyDescent="0.25">
      <c r="G296" s="52"/>
      <c r="BE296" s="3">
        <v>0</v>
      </c>
      <c r="BF296" s="3">
        <v>0</v>
      </c>
      <c r="BI296" s="3">
        <v>0</v>
      </c>
      <c r="BJ296" s="3">
        <v>0</v>
      </c>
      <c r="BL296" s="3">
        <v>0</v>
      </c>
      <c r="BM296" s="3">
        <v>0</v>
      </c>
      <c r="BO296" s="3">
        <v>0</v>
      </c>
      <c r="BP296" s="3">
        <v>0</v>
      </c>
    </row>
    <row r="297" spans="7:68" x14ac:dyDescent="0.25">
      <c r="G297" s="52"/>
      <c r="BE297" s="3">
        <v>0</v>
      </c>
      <c r="BF297" s="3">
        <v>0</v>
      </c>
      <c r="BI297" s="3">
        <v>0</v>
      </c>
      <c r="BJ297" s="3">
        <v>0</v>
      </c>
      <c r="BL297" s="3">
        <v>0</v>
      </c>
      <c r="BM297" s="3">
        <v>0</v>
      </c>
      <c r="BO297" s="3">
        <v>0</v>
      </c>
      <c r="BP297" s="3">
        <v>0</v>
      </c>
    </row>
    <row r="298" spans="7:68" x14ac:dyDescent="0.25">
      <c r="G298" s="52"/>
      <c r="BE298" s="3">
        <v>0</v>
      </c>
      <c r="BF298" s="3">
        <v>0</v>
      </c>
      <c r="BI298" s="3">
        <v>0</v>
      </c>
      <c r="BJ298" s="3">
        <v>0</v>
      </c>
      <c r="BL298" s="3">
        <v>0</v>
      </c>
      <c r="BM298" s="3">
        <v>0</v>
      </c>
      <c r="BO298" s="3">
        <v>0</v>
      </c>
      <c r="BP298" s="3">
        <v>0</v>
      </c>
    </row>
    <row r="299" spans="7:68" x14ac:dyDescent="0.25">
      <c r="G299" s="52"/>
      <c r="BE299" s="3">
        <v>0</v>
      </c>
      <c r="BF299" s="3">
        <v>0</v>
      </c>
      <c r="BI299" s="3">
        <v>0</v>
      </c>
      <c r="BJ299" s="3">
        <v>0</v>
      </c>
      <c r="BL299" s="3">
        <v>0</v>
      </c>
      <c r="BM299" s="3">
        <v>0</v>
      </c>
      <c r="BO299" s="3">
        <v>0</v>
      </c>
      <c r="BP299" s="3">
        <v>0</v>
      </c>
    </row>
    <row r="300" spans="7:68" x14ac:dyDescent="0.25">
      <c r="G300" s="52"/>
      <c r="BE300" s="3">
        <v>0</v>
      </c>
      <c r="BF300" s="3">
        <v>0</v>
      </c>
      <c r="BI300" s="3">
        <v>0</v>
      </c>
      <c r="BJ300" s="3">
        <v>0</v>
      </c>
      <c r="BL300" s="3">
        <v>0</v>
      </c>
      <c r="BM300" s="3">
        <v>0</v>
      </c>
      <c r="BO300" s="3">
        <v>0</v>
      </c>
      <c r="BP300" s="3">
        <v>0</v>
      </c>
    </row>
    <row r="301" spans="7:68" x14ac:dyDescent="0.25">
      <c r="G301" s="52"/>
      <c r="BE301" s="3">
        <v>0</v>
      </c>
      <c r="BF301" s="3">
        <v>0</v>
      </c>
      <c r="BI301" s="3">
        <v>0</v>
      </c>
      <c r="BJ301" s="3">
        <v>0</v>
      </c>
      <c r="BL301" s="3">
        <v>0</v>
      </c>
      <c r="BM301" s="3">
        <v>0</v>
      </c>
      <c r="BO301" s="3">
        <v>0</v>
      </c>
      <c r="BP301" s="3">
        <v>0</v>
      </c>
    </row>
    <row r="302" spans="7:68" x14ac:dyDescent="0.25">
      <c r="G302" s="52"/>
      <c r="BE302" s="3">
        <v>0</v>
      </c>
      <c r="BF302" s="3">
        <v>0</v>
      </c>
      <c r="BI302" s="3">
        <v>0</v>
      </c>
      <c r="BJ302" s="3">
        <v>0</v>
      </c>
      <c r="BL302" s="3">
        <v>0</v>
      </c>
      <c r="BM302" s="3">
        <v>0</v>
      </c>
      <c r="BO302" s="3">
        <v>0</v>
      </c>
      <c r="BP302" s="3">
        <v>0</v>
      </c>
    </row>
    <row r="303" spans="7:68" x14ac:dyDescent="0.25">
      <c r="G303" s="52"/>
      <c r="BE303" s="3">
        <v>0</v>
      </c>
      <c r="BF303" s="3">
        <v>0</v>
      </c>
      <c r="BI303" s="3">
        <v>0</v>
      </c>
      <c r="BJ303" s="3">
        <v>0</v>
      </c>
      <c r="BL303" s="3">
        <v>0</v>
      </c>
      <c r="BM303" s="3">
        <v>0</v>
      </c>
      <c r="BO303" s="3">
        <v>0</v>
      </c>
      <c r="BP303" s="3">
        <v>0</v>
      </c>
    </row>
    <row r="304" spans="7:68" x14ac:dyDescent="0.25">
      <c r="G304" s="52"/>
      <c r="BE304" s="3">
        <v>0</v>
      </c>
      <c r="BF304" s="3">
        <v>0</v>
      </c>
      <c r="BI304" s="3">
        <v>0</v>
      </c>
      <c r="BJ304" s="3">
        <v>0</v>
      </c>
      <c r="BL304" s="3">
        <v>0</v>
      </c>
      <c r="BM304" s="3">
        <v>0</v>
      </c>
      <c r="BO304" s="3">
        <v>0</v>
      </c>
      <c r="BP304" s="3">
        <v>0</v>
      </c>
    </row>
    <row r="305" spans="7:68" x14ac:dyDescent="0.25">
      <c r="G305" s="52"/>
      <c r="BE305" s="3">
        <v>0</v>
      </c>
      <c r="BF305" s="3">
        <v>0</v>
      </c>
      <c r="BI305" s="3">
        <v>0</v>
      </c>
      <c r="BJ305" s="3">
        <v>0</v>
      </c>
      <c r="BL305" s="3">
        <v>0</v>
      </c>
      <c r="BM305" s="3">
        <v>0</v>
      </c>
      <c r="BO305" s="3">
        <v>0</v>
      </c>
      <c r="BP305" s="3">
        <v>0</v>
      </c>
    </row>
    <row r="306" spans="7:68" x14ac:dyDescent="0.25">
      <c r="G306" s="52"/>
      <c r="BE306" s="3">
        <v>0</v>
      </c>
      <c r="BF306" s="3">
        <v>0</v>
      </c>
      <c r="BI306" s="3">
        <v>0</v>
      </c>
      <c r="BJ306" s="3">
        <v>0</v>
      </c>
      <c r="BL306" s="3">
        <v>0</v>
      </c>
      <c r="BM306" s="3">
        <v>0</v>
      </c>
      <c r="BO306" s="3">
        <v>0</v>
      </c>
      <c r="BP306" s="3">
        <v>0</v>
      </c>
    </row>
    <row r="307" spans="7:68" x14ac:dyDescent="0.25">
      <c r="G307" s="52"/>
      <c r="BE307" s="3">
        <v>0</v>
      </c>
      <c r="BF307" s="3">
        <v>0</v>
      </c>
      <c r="BI307" s="3">
        <v>0</v>
      </c>
      <c r="BJ307" s="3">
        <v>0</v>
      </c>
      <c r="BL307" s="3">
        <v>0</v>
      </c>
      <c r="BM307" s="3">
        <v>0</v>
      </c>
      <c r="BO307" s="3">
        <v>0</v>
      </c>
      <c r="BP307" s="3">
        <v>0</v>
      </c>
    </row>
    <row r="308" spans="7:68" x14ac:dyDescent="0.25">
      <c r="G308" s="52"/>
      <c r="BE308" s="3">
        <v>0</v>
      </c>
      <c r="BF308" s="3">
        <v>0</v>
      </c>
      <c r="BI308" s="3">
        <v>0</v>
      </c>
      <c r="BJ308" s="3">
        <v>0</v>
      </c>
      <c r="BL308" s="3">
        <v>0</v>
      </c>
      <c r="BM308" s="3">
        <v>0</v>
      </c>
      <c r="BO308" s="3">
        <v>0</v>
      </c>
      <c r="BP308" s="3">
        <v>0</v>
      </c>
    </row>
    <row r="309" spans="7:68" x14ac:dyDescent="0.25">
      <c r="G309" s="52"/>
      <c r="BE309" s="3">
        <v>0</v>
      </c>
      <c r="BF309" s="3">
        <v>0</v>
      </c>
      <c r="BI309" s="3">
        <v>0</v>
      </c>
      <c r="BJ309" s="3">
        <v>0</v>
      </c>
      <c r="BL309" s="3">
        <v>0</v>
      </c>
      <c r="BM309" s="3">
        <v>0</v>
      </c>
      <c r="BO309" s="3">
        <v>0</v>
      </c>
      <c r="BP309" s="3">
        <v>0</v>
      </c>
    </row>
    <row r="310" spans="7:68" x14ac:dyDescent="0.25">
      <c r="G310" s="52"/>
      <c r="BE310" s="3">
        <v>0</v>
      </c>
      <c r="BF310" s="3">
        <v>0</v>
      </c>
      <c r="BI310" s="3">
        <v>0</v>
      </c>
      <c r="BJ310" s="3">
        <v>0</v>
      </c>
      <c r="BL310" s="3">
        <v>0</v>
      </c>
      <c r="BM310" s="3">
        <v>0</v>
      </c>
      <c r="BO310" s="3">
        <v>0</v>
      </c>
      <c r="BP310" s="3">
        <v>0</v>
      </c>
    </row>
    <row r="311" spans="7:68" x14ac:dyDescent="0.25">
      <c r="G311" s="52"/>
      <c r="BE311" s="3">
        <v>0</v>
      </c>
      <c r="BF311" s="3">
        <v>0</v>
      </c>
      <c r="BI311" s="3">
        <v>0</v>
      </c>
      <c r="BJ311" s="3">
        <v>0</v>
      </c>
      <c r="BL311" s="3">
        <v>0</v>
      </c>
      <c r="BM311" s="3">
        <v>0</v>
      </c>
      <c r="BO311" s="3">
        <v>0</v>
      </c>
      <c r="BP311" s="3">
        <v>0</v>
      </c>
    </row>
    <row r="312" spans="7:68" x14ac:dyDescent="0.25">
      <c r="G312" s="52"/>
      <c r="BE312" s="3">
        <v>0</v>
      </c>
      <c r="BF312" s="3">
        <v>0</v>
      </c>
      <c r="BI312" s="3">
        <v>0</v>
      </c>
      <c r="BJ312" s="3">
        <v>0</v>
      </c>
      <c r="BL312" s="3">
        <v>0</v>
      </c>
      <c r="BM312" s="3">
        <v>0</v>
      </c>
      <c r="BO312" s="3">
        <v>0</v>
      </c>
      <c r="BP312" s="3">
        <v>0</v>
      </c>
    </row>
    <row r="313" spans="7:68" x14ac:dyDescent="0.25">
      <c r="G313" s="52"/>
      <c r="BE313" s="3">
        <v>0</v>
      </c>
      <c r="BF313" s="3">
        <v>0</v>
      </c>
      <c r="BI313" s="3">
        <v>0</v>
      </c>
      <c r="BJ313" s="3">
        <v>0</v>
      </c>
      <c r="BL313" s="3">
        <v>0</v>
      </c>
      <c r="BM313" s="3">
        <v>0</v>
      </c>
      <c r="BO313" s="3">
        <v>0</v>
      </c>
      <c r="BP313" s="3">
        <v>0</v>
      </c>
    </row>
    <row r="314" spans="7:68" x14ac:dyDescent="0.25">
      <c r="G314" s="52"/>
      <c r="BE314" s="3">
        <v>0</v>
      </c>
      <c r="BF314" s="3">
        <v>0</v>
      </c>
      <c r="BI314" s="3">
        <v>0</v>
      </c>
      <c r="BJ314" s="3">
        <v>0</v>
      </c>
      <c r="BL314" s="3">
        <v>0</v>
      </c>
      <c r="BM314" s="3">
        <v>0</v>
      </c>
      <c r="BO314" s="3">
        <v>0</v>
      </c>
      <c r="BP314" s="3">
        <v>0</v>
      </c>
    </row>
    <row r="315" spans="7:68" x14ac:dyDescent="0.25">
      <c r="G315" s="52"/>
      <c r="BE315" s="3">
        <v>0</v>
      </c>
      <c r="BF315" s="3">
        <v>0</v>
      </c>
      <c r="BI315" s="3">
        <v>0</v>
      </c>
      <c r="BJ315" s="3">
        <v>0</v>
      </c>
      <c r="BL315" s="3">
        <v>0</v>
      </c>
      <c r="BM315" s="3">
        <v>0</v>
      </c>
      <c r="BO315" s="3">
        <v>0</v>
      </c>
      <c r="BP315" s="3">
        <v>0</v>
      </c>
    </row>
    <row r="316" spans="7:68" x14ac:dyDescent="0.25">
      <c r="G316" s="52"/>
      <c r="BE316" s="3">
        <v>0</v>
      </c>
      <c r="BF316" s="3">
        <v>0</v>
      </c>
      <c r="BI316" s="3">
        <v>0</v>
      </c>
      <c r="BJ316" s="3">
        <v>0</v>
      </c>
      <c r="BL316" s="3">
        <v>0</v>
      </c>
      <c r="BM316" s="3">
        <v>0</v>
      </c>
      <c r="BO316" s="3">
        <v>0</v>
      </c>
      <c r="BP316" s="3">
        <v>0</v>
      </c>
    </row>
    <row r="317" spans="7:68" x14ac:dyDescent="0.25">
      <c r="G317" s="52"/>
      <c r="BE317" s="3">
        <v>0</v>
      </c>
      <c r="BF317" s="3">
        <v>0</v>
      </c>
      <c r="BI317" s="3">
        <v>0</v>
      </c>
      <c r="BJ317" s="3">
        <v>0</v>
      </c>
      <c r="BL317" s="3">
        <v>0</v>
      </c>
      <c r="BM317" s="3">
        <v>0</v>
      </c>
      <c r="BO317" s="3">
        <v>0</v>
      </c>
      <c r="BP317" s="3">
        <v>0</v>
      </c>
    </row>
    <row r="318" spans="7:68" x14ac:dyDescent="0.25">
      <c r="G318" s="52"/>
      <c r="BE318" s="3">
        <v>0</v>
      </c>
      <c r="BF318" s="3">
        <v>0</v>
      </c>
      <c r="BI318" s="3">
        <v>0</v>
      </c>
      <c r="BJ318" s="3">
        <v>0</v>
      </c>
      <c r="BL318" s="3">
        <v>0</v>
      </c>
      <c r="BM318" s="3">
        <v>0</v>
      </c>
      <c r="BO318" s="3">
        <v>0</v>
      </c>
      <c r="BP318" s="3">
        <v>0</v>
      </c>
    </row>
    <row r="319" spans="7:68" x14ac:dyDescent="0.25">
      <c r="G319" s="52"/>
      <c r="BE319" s="3">
        <v>0</v>
      </c>
      <c r="BF319" s="3">
        <v>0</v>
      </c>
      <c r="BI319" s="3">
        <v>0</v>
      </c>
      <c r="BJ319" s="3">
        <v>0</v>
      </c>
      <c r="BL319" s="3">
        <v>0</v>
      </c>
      <c r="BM319" s="3">
        <v>0</v>
      </c>
      <c r="BO319" s="3">
        <v>0</v>
      </c>
      <c r="BP319" s="3">
        <v>0</v>
      </c>
    </row>
    <row r="320" spans="7:68" x14ac:dyDescent="0.25">
      <c r="G320" s="52"/>
      <c r="BE320" s="3">
        <v>0</v>
      </c>
      <c r="BF320" s="3">
        <v>0</v>
      </c>
      <c r="BI320" s="3">
        <v>0</v>
      </c>
      <c r="BJ320" s="3">
        <v>0</v>
      </c>
      <c r="BL320" s="3">
        <v>0</v>
      </c>
      <c r="BM320" s="3">
        <v>0</v>
      </c>
      <c r="BO320" s="3">
        <v>0</v>
      </c>
      <c r="BP320" s="3">
        <v>0</v>
      </c>
    </row>
    <row r="321" spans="7:68" x14ac:dyDescent="0.25">
      <c r="G321" s="52"/>
      <c r="BE321" s="3">
        <v>0</v>
      </c>
      <c r="BF321" s="3">
        <v>0</v>
      </c>
      <c r="BI321" s="3">
        <v>0</v>
      </c>
      <c r="BJ321" s="3">
        <v>0</v>
      </c>
      <c r="BL321" s="3">
        <v>0</v>
      </c>
      <c r="BM321" s="3">
        <v>0</v>
      </c>
      <c r="BO321" s="3">
        <v>0</v>
      </c>
      <c r="BP321" s="3">
        <v>0</v>
      </c>
    </row>
    <row r="322" spans="7:68" x14ac:dyDescent="0.25">
      <c r="G322" s="52"/>
      <c r="BE322" s="3">
        <v>0</v>
      </c>
      <c r="BF322" s="3">
        <v>0</v>
      </c>
      <c r="BI322" s="3">
        <v>0</v>
      </c>
      <c r="BJ322" s="3">
        <v>0</v>
      </c>
      <c r="BL322" s="3">
        <v>0</v>
      </c>
      <c r="BM322" s="3">
        <v>0</v>
      </c>
      <c r="BO322" s="3">
        <v>0</v>
      </c>
      <c r="BP322" s="3">
        <v>0</v>
      </c>
    </row>
    <row r="323" spans="7:68" x14ac:dyDescent="0.25">
      <c r="G323" s="52"/>
      <c r="BE323" s="3">
        <v>0</v>
      </c>
      <c r="BF323" s="3">
        <v>0</v>
      </c>
      <c r="BI323" s="3">
        <v>0</v>
      </c>
      <c r="BJ323" s="3">
        <v>0</v>
      </c>
      <c r="BL323" s="3">
        <v>0</v>
      </c>
      <c r="BM323" s="3">
        <v>0</v>
      </c>
      <c r="BO323" s="3">
        <v>0</v>
      </c>
      <c r="BP323" s="3">
        <v>0</v>
      </c>
    </row>
    <row r="324" spans="7:68" x14ac:dyDescent="0.25">
      <c r="G324" s="52"/>
      <c r="BE324" s="3">
        <v>0</v>
      </c>
      <c r="BF324" s="3">
        <v>0</v>
      </c>
      <c r="BI324" s="3">
        <v>0</v>
      </c>
      <c r="BJ324" s="3">
        <v>0</v>
      </c>
      <c r="BL324" s="3">
        <v>0</v>
      </c>
      <c r="BM324" s="3">
        <v>0</v>
      </c>
      <c r="BO324" s="3">
        <v>0</v>
      </c>
      <c r="BP324" s="3">
        <v>0</v>
      </c>
    </row>
    <row r="325" spans="7:68" x14ac:dyDescent="0.25">
      <c r="G325" s="52"/>
      <c r="BE325" s="3">
        <v>0</v>
      </c>
      <c r="BF325" s="3">
        <v>0</v>
      </c>
      <c r="BI325" s="3">
        <v>0</v>
      </c>
      <c r="BJ325" s="3">
        <v>0</v>
      </c>
      <c r="BL325" s="3">
        <v>0</v>
      </c>
      <c r="BM325" s="3">
        <v>0</v>
      </c>
      <c r="BO325" s="3">
        <v>0</v>
      </c>
      <c r="BP325" s="3">
        <v>0</v>
      </c>
    </row>
    <row r="326" spans="7:68" x14ac:dyDescent="0.25">
      <c r="G326" s="52"/>
      <c r="BE326" s="3">
        <v>0</v>
      </c>
      <c r="BF326" s="3">
        <v>0</v>
      </c>
      <c r="BI326" s="3">
        <v>0</v>
      </c>
      <c r="BJ326" s="3">
        <v>0</v>
      </c>
      <c r="BL326" s="3">
        <v>0</v>
      </c>
      <c r="BM326" s="3">
        <v>0</v>
      </c>
      <c r="BO326" s="3">
        <v>0</v>
      </c>
      <c r="BP326" s="3">
        <v>0</v>
      </c>
    </row>
    <row r="327" spans="7:68" x14ac:dyDescent="0.25">
      <c r="G327" s="52"/>
      <c r="BE327" s="3">
        <v>0</v>
      </c>
      <c r="BF327" s="3">
        <v>0</v>
      </c>
      <c r="BI327" s="3">
        <v>0</v>
      </c>
      <c r="BJ327" s="3">
        <v>0</v>
      </c>
      <c r="BL327" s="3">
        <v>0</v>
      </c>
      <c r="BM327" s="3">
        <v>0</v>
      </c>
      <c r="BO327" s="3">
        <v>0</v>
      </c>
      <c r="BP327" s="3">
        <v>0</v>
      </c>
    </row>
    <row r="328" spans="7:68" x14ac:dyDescent="0.25">
      <c r="G328" s="52"/>
      <c r="BE328" s="3">
        <v>0</v>
      </c>
      <c r="BF328" s="3">
        <v>0</v>
      </c>
      <c r="BI328" s="3">
        <v>0</v>
      </c>
      <c r="BJ328" s="3">
        <v>0</v>
      </c>
      <c r="BL328" s="3">
        <v>0</v>
      </c>
      <c r="BM328" s="3">
        <v>0</v>
      </c>
      <c r="BO328" s="3">
        <v>0</v>
      </c>
      <c r="BP328" s="3">
        <v>0</v>
      </c>
    </row>
    <row r="329" spans="7:68" x14ac:dyDescent="0.25">
      <c r="G329" s="52"/>
      <c r="BE329" s="3">
        <v>0</v>
      </c>
      <c r="BF329" s="3">
        <v>0</v>
      </c>
      <c r="BI329" s="3">
        <v>0</v>
      </c>
      <c r="BJ329" s="3">
        <v>0</v>
      </c>
      <c r="BL329" s="3">
        <v>0</v>
      </c>
      <c r="BM329" s="3">
        <v>0</v>
      </c>
      <c r="BO329" s="3">
        <v>0</v>
      </c>
      <c r="BP329" s="3">
        <v>0</v>
      </c>
    </row>
    <row r="330" spans="7:68" x14ac:dyDescent="0.25">
      <c r="G330" s="52"/>
      <c r="BE330" s="3">
        <v>0</v>
      </c>
      <c r="BF330" s="3">
        <v>0</v>
      </c>
      <c r="BI330" s="3">
        <v>0</v>
      </c>
      <c r="BJ330" s="3">
        <v>0</v>
      </c>
      <c r="BL330" s="3">
        <v>0</v>
      </c>
      <c r="BM330" s="3">
        <v>0</v>
      </c>
      <c r="BO330" s="3">
        <v>0</v>
      </c>
      <c r="BP330" s="3">
        <v>0</v>
      </c>
    </row>
    <row r="331" spans="7:68" x14ac:dyDescent="0.25">
      <c r="G331" s="52"/>
      <c r="BE331" s="3">
        <v>0</v>
      </c>
      <c r="BF331" s="3">
        <v>0</v>
      </c>
      <c r="BI331" s="3">
        <v>0</v>
      </c>
      <c r="BJ331" s="3">
        <v>0</v>
      </c>
      <c r="BL331" s="3">
        <v>0</v>
      </c>
      <c r="BM331" s="3">
        <v>0</v>
      </c>
      <c r="BO331" s="3">
        <v>0</v>
      </c>
      <c r="BP331" s="3">
        <v>0</v>
      </c>
    </row>
    <row r="332" spans="7:68" x14ac:dyDescent="0.25">
      <c r="G332" s="52"/>
      <c r="BE332" s="3">
        <v>0</v>
      </c>
      <c r="BF332" s="3">
        <v>0</v>
      </c>
      <c r="BI332" s="3">
        <v>0</v>
      </c>
      <c r="BJ332" s="3">
        <v>0</v>
      </c>
      <c r="BL332" s="3">
        <v>0</v>
      </c>
      <c r="BM332" s="3">
        <v>0</v>
      </c>
      <c r="BO332" s="3">
        <v>0</v>
      </c>
      <c r="BP332" s="3">
        <v>0</v>
      </c>
    </row>
    <row r="333" spans="7:68" x14ac:dyDescent="0.25">
      <c r="G333" s="52"/>
      <c r="BE333" s="3">
        <v>0</v>
      </c>
      <c r="BF333" s="3">
        <v>0</v>
      </c>
      <c r="BI333" s="3">
        <v>0</v>
      </c>
      <c r="BJ333" s="3">
        <v>0</v>
      </c>
      <c r="BL333" s="3">
        <v>0</v>
      </c>
      <c r="BM333" s="3">
        <v>0</v>
      </c>
      <c r="BO333" s="3">
        <v>0</v>
      </c>
      <c r="BP333" s="3">
        <v>0</v>
      </c>
    </row>
    <row r="334" spans="7:68" x14ac:dyDescent="0.25">
      <c r="G334" s="52"/>
      <c r="BE334" s="3">
        <v>0</v>
      </c>
      <c r="BF334" s="3">
        <v>0</v>
      </c>
      <c r="BI334" s="3">
        <v>0</v>
      </c>
      <c r="BJ334" s="3">
        <v>0</v>
      </c>
      <c r="BL334" s="3">
        <v>0</v>
      </c>
      <c r="BM334" s="3">
        <v>0</v>
      </c>
      <c r="BO334" s="3">
        <v>0</v>
      </c>
      <c r="BP334" s="3">
        <v>0</v>
      </c>
    </row>
    <row r="335" spans="7:68" x14ac:dyDescent="0.25">
      <c r="G335" s="52"/>
      <c r="BE335" s="3">
        <v>0</v>
      </c>
      <c r="BF335" s="3">
        <v>0</v>
      </c>
      <c r="BI335" s="3">
        <v>0</v>
      </c>
      <c r="BJ335" s="3">
        <v>0</v>
      </c>
      <c r="BL335" s="3">
        <v>0</v>
      </c>
      <c r="BM335" s="3">
        <v>0</v>
      </c>
      <c r="BO335" s="3">
        <v>0</v>
      </c>
      <c r="BP335" s="3">
        <v>0</v>
      </c>
    </row>
    <row r="336" spans="7:68" x14ac:dyDescent="0.25">
      <c r="G336" s="52"/>
      <c r="BE336" s="3">
        <v>0</v>
      </c>
      <c r="BF336" s="3">
        <v>0</v>
      </c>
      <c r="BI336" s="3">
        <v>0</v>
      </c>
      <c r="BJ336" s="3">
        <v>0</v>
      </c>
      <c r="BL336" s="3">
        <v>0</v>
      </c>
      <c r="BM336" s="3">
        <v>0</v>
      </c>
      <c r="BO336" s="3">
        <v>0</v>
      </c>
      <c r="BP336" s="3">
        <v>0</v>
      </c>
    </row>
    <row r="337" spans="7:68" x14ac:dyDescent="0.25">
      <c r="G337" s="52"/>
      <c r="BE337" s="3">
        <v>0</v>
      </c>
      <c r="BF337" s="3">
        <v>0</v>
      </c>
      <c r="BI337" s="3">
        <v>0</v>
      </c>
      <c r="BJ337" s="3">
        <v>0</v>
      </c>
      <c r="BL337" s="3">
        <v>0</v>
      </c>
      <c r="BM337" s="3">
        <v>0</v>
      </c>
      <c r="BO337" s="3">
        <v>0</v>
      </c>
      <c r="BP337" s="3">
        <v>0</v>
      </c>
    </row>
    <row r="338" spans="7:68" x14ac:dyDescent="0.25">
      <c r="G338" s="52"/>
      <c r="BE338" s="3">
        <v>0</v>
      </c>
      <c r="BF338" s="3">
        <v>0</v>
      </c>
      <c r="BI338" s="3">
        <v>0</v>
      </c>
      <c r="BJ338" s="3">
        <v>0</v>
      </c>
      <c r="BL338" s="3">
        <v>0</v>
      </c>
      <c r="BM338" s="3">
        <v>0</v>
      </c>
      <c r="BO338" s="3">
        <v>0</v>
      </c>
      <c r="BP338" s="3">
        <v>0</v>
      </c>
    </row>
    <row r="339" spans="7:68" x14ac:dyDescent="0.25">
      <c r="G339" s="52"/>
      <c r="BE339" s="3">
        <v>0</v>
      </c>
      <c r="BF339" s="3">
        <v>0</v>
      </c>
      <c r="BI339" s="3">
        <v>0</v>
      </c>
      <c r="BJ339" s="3">
        <v>0</v>
      </c>
      <c r="BL339" s="3">
        <v>0</v>
      </c>
      <c r="BM339" s="3">
        <v>0</v>
      </c>
      <c r="BO339" s="3">
        <v>0</v>
      </c>
      <c r="BP339" s="3">
        <v>0</v>
      </c>
    </row>
    <row r="340" spans="7:68" x14ac:dyDescent="0.25">
      <c r="G340" s="52"/>
      <c r="BE340" s="3">
        <v>0</v>
      </c>
      <c r="BF340" s="3">
        <v>0</v>
      </c>
      <c r="BI340" s="3">
        <v>0</v>
      </c>
      <c r="BJ340" s="3">
        <v>0</v>
      </c>
      <c r="BL340" s="3">
        <v>0</v>
      </c>
      <c r="BM340" s="3">
        <v>0</v>
      </c>
      <c r="BO340" s="3">
        <v>0</v>
      </c>
      <c r="BP340" s="3">
        <v>0</v>
      </c>
    </row>
    <row r="341" spans="7:68" x14ac:dyDescent="0.25">
      <c r="G341" s="52"/>
      <c r="BE341" s="3">
        <v>0</v>
      </c>
      <c r="BF341" s="3">
        <v>0</v>
      </c>
      <c r="BI341" s="3">
        <v>0</v>
      </c>
      <c r="BJ341" s="3">
        <v>0</v>
      </c>
      <c r="BL341" s="3">
        <v>0</v>
      </c>
      <c r="BM341" s="3">
        <v>0</v>
      </c>
      <c r="BO341" s="3">
        <v>0</v>
      </c>
      <c r="BP341" s="3">
        <v>0</v>
      </c>
    </row>
    <row r="342" spans="7:68" x14ac:dyDescent="0.25">
      <c r="G342" s="52"/>
      <c r="BE342" s="3">
        <v>0</v>
      </c>
      <c r="BF342" s="3">
        <v>0</v>
      </c>
      <c r="BI342" s="3">
        <v>0</v>
      </c>
      <c r="BJ342" s="3">
        <v>0</v>
      </c>
      <c r="BL342" s="3">
        <v>0</v>
      </c>
      <c r="BM342" s="3">
        <v>0</v>
      </c>
      <c r="BO342" s="3">
        <v>0</v>
      </c>
      <c r="BP342" s="3">
        <v>0</v>
      </c>
    </row>
    <row r="343" spans="7:68" x14ac:dyDescent="0.25">
      <c r="G343" s="52"/>
      <c r="BE343" s="3">
        <v>0</v>
      </c>
      <c r="BF343" s="3">
        <v>0</v>
      </c>
      <c r="BI343" s="3">
        <v>0</v>
      </c>
      <c r="BJ343" s="3">
        <v>0</v>
      </c>
      <c r="BL343" s="3">
        <v>0</v>
      </c>
      <c r="BM343" s="3">
        <v>0</v>
      </c>
      <c r="BO343" s="3">
        <v>0</v>
      </c>
      <c r="BP343" s="3">
        <v>0</v>
      </c>
    </row>
    <row r="344" spans="7:68" x14ac:dyDescent="0.25">
      <c r="G344" s="52"/>
      <c r="BE344" s="3">
        <v>0</v>
      </c>
      <c r="BF344" s="3">
        <v>0</v>
      </c>
      <c r="BI344" s="3">
        <v>0</v>
      </c>
      <c r="BJ344" s="3">
        <v>0</v>
      </c>
      <c r="BL344" s="3">
        <v>0</v>
      </c>
      <c r="BM344" s="3">
        <v>0</v>
      </c>
      <c r="BO344" s="3">
        <v>0</v>
      </c>
      <c r="BP344" s="3">
        <v>0</v>
      </c>
    </row>
    <row r="345" spans="7:68" x14ac:dyDescent="0.25">
      <c r="G345" s="52"/>
      <c r="BE345" s="3">
        <v>0</v>
      </c>
      <c r="BF345" s="3">
        <v>0</v>
      </c>
      <c r="BI345" s="3">
        <v>0</v>
      </c>
      <c r="BJ345" s="3">
        <v>0</v>
      </c>
      <c r="BL345" s="3">
        <v>0</v>
      </c>
      <c r="BM345" s="3">
        <v>0</v>
      </c>
      <c r="BO345" s="3">
        <v>0</v>
      </c>
      <c r="BP345" s="3">
        <v>0</v>
      </c>
    </row>
    <row r="346" spans="7:68" x14ac:dyDescent="0.25">
      <c r="G346" s="52"/>
      <c r="BE346" s="3">
        <v>0</v>
      </c>
      <c r="BF346" s="3">
        <v>0</v>
      </c>
      <c r="BI346" s="3">
        <v>0</v>
      </c>
      <c r="BJ346" s="3">
        <v>0</v>
      </c>
      <c r="BL346" s="3">
        <v>0</v>
      </c>
      <c r="BM346" s="3">
        <v>0</v>
      </c>
      <c r="BO346" s="3">
        <v>0</v>
      </c>
      <c r="BP346" s="3">
        <v>0</v>
      </c>
    </row>
    <row r="347" spans="7:68" x14ac:dyDescent="0.25">
      <c r="G347" s="52"/>
      <c r="BE347" s="3">
        <v>0</v>
      </c>
      <c r="BF347" s="3">
        <v>0</v>
      </c>
      <c r="BI347" s="3">
        <v>0</v>
      </c>
      <c r="BJ347" s="3">
        <v>0</v>
      </c>
      <c r="BL347" s="3">
        <v>0</v>
      </c>
      <c r="BM347" s="3">
        <v>0</v>
      </c>
      <c r="BO347" s="3">
        <v>0</v>
      </c>
      <c r="BP347" s="3">
        <v>0</v>
      </c>
    </row>
    <row r="348" spans="7:68" x14ac:dyDescent="0.25">
      <c r="G348" s="52"/>
      <c r="BE348" s="3">
        <v>0</v>
      </c>
      <c r="BF348" s="3">
        <v>0</v>
      </c>
      <c r="BI348" s="3">
        <v>0</v>
      </c>
      <c r="BJ348" s="3">
        <v>0</v>
      </c>
      <c r="BL348" s="3">
        <v>0</v>
      </c>
      <c r="BM348" s="3">
        <v>0</v>
      </c>
      <c r="BO348" s="3">
        <v>0</v>
      </c>
      <c r="BP348" s="3">
        <v>0</v>
      </c>
    </row>
    <row r="349" spans="7:68" x14ac:dyDescent="0.25">
      <c r="G349" s="52"/>
      <c r="BE349" s="3">
        <v>0</v>
      </c>
      <c r="BF349" s="3">
        <v>0</v>
      </c>
      <c r="BI349" s="3">
        <v>0</v>
      </c>
      <c r="BJ349" s="3">
        <v>0</v>
      </c>
      <c r="BL349" s="3">
        <v>0</v>
      </c>
      <c r="BM349" s="3">
        <v>0</v>
      </c>
      <c r="BO349" s="3">
        <v>0</v>
      </c>
      <c r="BP349" s="3">
        <v>0</v>
      </c>
    </row>
    <row r="350" spans="7:68" x14ac:dyDescent="0.25">
      <c r="G350" s="52"/>
      <c r="BE350" s="3">
        <v>0</v>
      </c>
      <c r="BF350" s="3">
        <v>0</v>
      </c>
      <c r="BI350" s="3">
        <v>0</v>
      </c>
      <c r="BJ350" s="3">
        <v>0</v>
      </c>
      <c r="BL350" s="3">
        <v>0</v>
      </c>
      <c r="BM350" s="3">
        <v>0</v>
      </c>
      <c r="BO350" s="3">
        <v>0</v>
      </c>
      <c r="BP350" s="3">
        <v>0</v>
      </c>
    </row>
    <row r="351" spans="7:68" x14ac:dyDescent="0.25">
      <c r="G351" s="52"/>
      <c r="BE351" s="3">
        <v>0</v>
      </c>
      <c r="BF351" s="3">
        <v>0</v>
      </c>
      <c r="BI351" s="3">
        <v>0</v>
      </c>
      <c r="BJ351" s="3">
        <v>0</v>
      </c>
      <c r="BL351" s="3">
        <v>0</v>
      </c>
      <c r="BM351" s="3">
        <v>0</v>
      </c>
      <c r="BO351" s="3">
        <v>0</v>
      </c>
      <c r="BP351" s="3">
        <v>0</v>
      </c>
    </row>
    <row r="352" spans="7:68" x14ac:dyDescent="0.25">
      <c r="G352" s="52"/>
      <c r="BE352" s="3">
        <v>0</v>
      </c>
      <c r="BF352" s="3">
        <v>0</v>
      </c>
      <c r="BI352" s="3">
        <v>0</v>
      </c>
      <c r="BJ352" s="3">
        <v>0</v>
      </c>
      <c r="BL352" s="3">
        <v>0</v>
      </c>
      <c r="BM352" s="3">
        <v>0</v>
      </c>
      <c r="BO352" s="3">
        <v>0</v>
      </c>
      <c r="BP352" s="3">
        <v>0</v>
      </c>
    </row>
    <row r="353" spans="7:68" x14ac:dyDescent="0.25">
      <c r="G353" s="52"/>
      <c r="BE353" s="3">
        <v>0</v>
      </c>
      <c r="BF353" s="3">
        <v>0</v>
      </c>
      <c r="BI353" s="3">
        <v>0</v>
      </c>
      <c r="BJ353" s="3">
        <v>0</v>
      </c>
      <c r="BL353" s="3">
        <v>0</v>
      </c>
      <c r="BM353" s="3">
        <v>0</v>
      </c>
      <c r="BO353" s="3">
        <v>0</v>
      </c>
      <c r="BP353" s="3">
        <v>0</v>
      </c>
    </row>
    <row r="354" spans="7:68" x14ac:dyDescent="0.25">
      <c r="G354" s="52"/>
      <c r="BE354" s="3">
        <v>0</v>
      </c>
      <c r="BF354" s="3">
        <v>0</v>
      </c>
      <c r="BI354" s="3">
        <v>0</v>
      </c>
      <c r="BJ354" s="3">
        <v>0</v>
      </c>
      <c r="BL354" s="3">
        <v>0</v>
      </c>
      <c r="BM354" s="3">
        <v>0</v>
      </c>
      <c r="BO354" s="3">
        <v>0</v>
      </c>
      <c r="BP354" s="3">
        <v>0</v>
      </c>
    </row>
    <row r="355" spans="7:68" x14ac:dyDescent="0.25">
      <c r="G355" s="52"/>
      <c r="BE355" s="3">
        <v>0</v>
      </c>
      <c r="BF355" s="3">
        <v>0</v>
      </c>
      <c r="BI355" s="3">
        <v>0</v>
      </c>
      <c r="BJ355" s="3">
        <v>0</v>
      </c>
      <c r="BL355" s="3">
        <v>0</v>
      </c>
      <c r="BM355" s="3">
        <v>0</v>
      </c>
      <c r="BO355" s="3">
        <v>0</v>
      </c>
      <c r="BP355" s="3">
        <v>0</v>
      </c>
    </row>
    <row r="356" spans="7:68" x14ac:dyDescent="0.25">
      <c r="G356" s="52"/>
      <c r="BE356" s="3">
        <v>0</v>
      </c>
      <c r="BF356" s="3">
        <v>0</v>
      </c>
      <c r="BI356" s="3">
        <v>0</v>
      </c>
      <c r="BJ356" s="3">
        <v>0</v>
      </c>
      <c r="BL356" s="3">
        <v>0</v>
      </c>
      <c r="BM356" s="3">
        <v>0</v>
      </c>
      <c r="BO356" s="3">
        <v>0</v>
      </c>
      <c r="BP356" s="3">
        <v>0</v>
      </c>
    </row>
    <row r="357" spans="7:68" x14ac:dyDescent="0.25">
      <c r="G357" s="52"/>
      <c r="BE357" s="3">
        <v>0</v>
      </c>
      <c r="BF357" s="3">
        <v>0</v>
      </c>
      <c r="BI357" s="3">
        <v>0</v>
      </c>
      <c r="BJ357" s="3">
        <v>0</v>
      </c>
      <c r="BL357" s="3">
        <v>0</v>
      </c>
      <c r="BM357" s="3">
        <v>0</v>
      </c>
      <c r="BO357" s="3">
        <v>0</v>
      </c>
      <c r="BP357" s="3">
        <v>0</v>
      </c>
    </row>
    <row r="358" spans="7:68" x14ac:dyDescent="0.25">
      <c r="G358" s="52"/>
      <c r="BE358" s="3">
        <v>0</v>
      </c>
      <c r="BF358" s="3">
        <v>0</v>
      </c>
      <c r="BI358" s="3">
        <v>0</v>
      </c>
      <c r="BJ358" s="3">
        <v>0</v>
      </c>
      <c r="BL358" s="3">
        <v>0</v>
      </c>
      <c r="BM358" s="3">
        <v>0</v>
      </c>
      <c r="BO358" s="3">
        <v>0</v>
      </c>
      <c r="BP358" s="3">
        <v>0</v>
      </c>
    </row>
    <row r="359" spans="7:68" x14ac:dyDescent="0.25">
      <c r="G359" s="52"/>
      <c r="BE359" s="3">
        <v>0</v>
      </c>
      <c r="BF359" s="3">
        <v>0</v>
      </c>
      <c r="BI359" s="3">
        <v>0</v>
      </c>
      <c r="BJ359" s="3">
        <v>0</v>
      </c>
      <c r="BL359" s="3">
        <v>0</v>
      </c>
      <c r="BM359" s="3">
        <v>0</v>
      </c>
      <c r="BO359" s="3">
        <v>0</v>
      </c>
      <c r="BP359" s="3">
        <v>0</v>
      </c>
    </row>
    <row r="360" spans="7:68" x14ac:dyDescent="0.25">
      <c r="G360" s="52"/>
      <c r="BE360" s="3">
        <v>0</v>
      </c>
      <c r="BF360" s="3">
        <v>0</v>
      </c>
      <c r="BI360" s="3">
        <v>0</v>
      </c>
      <c r="BJ360" s="3">
        <v>0</v>
      </c>
      <c r="BL360" s="3">
        <v>0</v>
      </c>
      <c r="BM360" s="3">
        <v>0</v>
      </c>
      <c r="BO360" s="3">
        <v>0</v>
      </c>
      <c r="BP360" s="3">
        <v>0</v>
      </c>
    </row>
    <row r="361" spans="7:68" x14ac:dyDescent="0.25">
      <c r="G361" s="52"/>
      <c r="BE361" s="3">
        <v>0</v>
      </c>
      <c r="BF361" s="3">
        <v>0</v>
      </c>
      <c r="BI361" s="3">
        <v>0</v>
      </c>
      <c r="BJ361" s="3">
        <v>0</v>
      </c>
      <c r="BL361" s="3">
        <v>0</v>
      </c>
      <c r="BM361" s="3">
        <v>0</v>
      </c>
      <c r="BO361" s="3">
        <v>0</v>
      </c>
      <c r="BP361" s="3">
        <v>0</v>
      </c>
    </row>
    <row r="362" spans="7:68" x14ac:dyDescent="0.25">
      <c r="G362" s="52"/>
      <c r="BE362" s="3">
        <v>0</v>
      </c>
      <c r="BF362" s="3">
        <v>0</v>
      </c>
      <c r="BI362" s="3">
        <v>0</v>
      </c>
      <c r="BJ362" s="3">
        <v>0</v>
      </c>
      <c r="BL362" s="3">
        <v>0</v>
      </c>
      <c r="BM362" s="3">
        <v>0</v>
      </c>
      <c r="BO362" s="3">
        <v>0</v>
      </c>
      <c r="BP362" s="3">
        <v>0</v>
      </c>
    </row>
    <row r="363" spans="7:68" x14ac:dyDescent="0.25">
      <c r="G363" s="52"/>
      <c r="BE363" s="3">
        <v>0</v>
      </c>
      <c r="BF363" s="3">
        <v>0</v>
      </c>
      <c r="BI363" s="3">
        <v>0</v>
      </c>
      <c r="BJ363" s="3">
        <v>0</v>
      </c>
      <c r="BL363" s="3">
        <v>0</v>
      </c>
      <c r="BM363" s="3">
        <v>0</v>
      </c>
      <c r="BO363" s="3">
        <v>0</v>
      </c>
      <c r="BP363" s="3">
        <v>0</v>
      </c>
    </row>
    <row r="364" spans="7:68" x14ac:dyDescent="0.25">
      <c r="G364" s="52"/>
      <c r="BE364" s="3">
        <v>0</v>
      </c>
      <c r="BF364" s="3">
        <v>0</v>
      </c>
      <c r="BI364" s="3">
        <v>0</v>
      </c>
      <c r="BJ364" s="3">
        <v>0</v>
      </c>
      <c r="BL364" s="3">
        <v>0</v>
      </c>
      <c r="BM364" s="3">
        <v>0</v>
      </c>
      <c r="BO364" s="3">
        <v>0</v>
      </c>
      <c r="BP364" s="3">
        <v>0</v>
      </c>
    </row>
    <row r="365" spans="7:68" x14ac:dyDescent="0.25">
      <c r="G365" s="52"/>
      <c r="BE365" s="3">
        <v>0</v>
      </c>
      <c r="BF365" s="3">
        <v>0</v>
      </c>
      <c r="BI365" s="3">
        <v>0</v>
      </c>
      <c r="BJ365" s="3">
        <v>0</v>
      </c>
      <c r="BL365" s="3">
        <v>0</v>
      </c>
      <c r="BM365" s="3">
        <v>0</v>
      </c>
      <c r="BO365" s="3">
        <v>0</v>
      </c>
      <c r="BP365" s="3">
        <v>0</v>
      </c>
    </row>
    <row r="366" spans="7:68" x14ac:dyDescent="0.25">
      <c r="G366" s="52"/>
      <c r="BE366" s="3">
        <v>0</v>
      </c>
      <c r="BF366" s="3">
        <v>0</v>
      </c>
      <c r="BI366" s="3">
        <v>0</v>
      </c>
      <c r="BJ366" s="3">
        <v>0</v>
      </c>
      <c r="BL366" s="3">
        <v>0</v>
      </c>
      <c r="BM366" s="3">
        <v>0</v>
      </c>
      <c r="BO366" s="3">
        <v>0</v>
      </c>
      <c r="BP366" s="3">
        <v>0</v>
      </c>
    </row>
    <row r="367" spans="7:68" x14ac:dyDescent="0.25">
      <c r="G367" s="52"/>
      <c r="BE367" s="3">
        <v>0</v>
      </c>
      <c r="BF367" s="3">
        <v>0</v>
      </c>
      <c r="BI367" s="3">
        <v>0</v>
      </c>
      <c r="BJ367" s="3">
        <v>0</v>
      </c>
      <c r="BL367" s="3">
        <v>0</v>
      </c>
      <c r="BM367" s="3">
        <v>0</v>
      </c>
      <c r="BO367" s="3">
        <v>0</v>
      </c>
      <c r="BP367" s="3">
        <v>0</v>
      </c>
    </row>
    <row r="368" spans="7:68" x14ac:dyDescent="0.25">
      <c r="G368" s="52"/>
      <c r="BE368" s="3">
        <v>0</v>
      </c>
      <c r="BF368" s="3">
        <v>0</v>
      </c>
      <c r="BI368" s="3">
        <v>0</v>
      </c>
      <c r="BJ368" s="3">
        <v>0</v>
      </c>
      <c r="BL368" s="3">
        <v>0</v>
      </c>
      <c r="BM368" s="3">
        <v>0</v>
      </c>
      <c r="BO368" s="3">
        <v>0</v>
      </c>
      <c r="BP368" s="3">
        <v>0</v>
      </c>
    </row>
    <row r="369" spans="7:68" x14ac:dyDescent="0.25">
      <c r="G369" s="52"/>
      <c r="BE369" s="3">
        <v>0</v>
      </c>
      <c r="BF369" s="3">
        <v>0</v>
      </c>
      <c r="BI369" s="3">
        <v>0</v>
      </c>
      <c r="BJ369" s="3">
        <v>0</v>
      </c>
      <c r="BL369" s="3">
        <v>0</v>
      </c>
      <c r="BM369" s="3">
        <v>0</v>
      </c>
      <c r="BO369" s="3">
        <v>0</v>
      </c>
      <c r="BP369" s="3">
        <v>0</v>
      </c>
    </row>
    <row r="370" spans="7:68" x14ac:dyDescent="0.25">
      <c r="G370" s="52"/>
      <c r="BE370" s="3">
        <v>0</v>
      </c>
      <c r="BF370" s="3">
        <v>0</v>
      </c>
      <c r="BI370" s="3">
        <v>0</v>
      </c>
      <c r="BJ370" s="3">
        <v>0</v>
      </c>
      <c r="BL370" s="3">
        <v>0</v>
      </c>
      <c r="BM370" s="3">
        <v>0</v>
      </c>
      <c r="BO370" s="3">
        <v>0</v>
      </c>
      <c r="BP370" s="3">
        <v>0</v>
      </c>
    </row>
    <row r="371" spans="7:68" x14ac:dyDescent="0.25">
      <c r="G371" s="52"/>
      <c r="BE371" s="3">
        <v>0</v>
      </c>
      <c r="BF371" s="3">
        <v>0</v>
      </c>
      <c r="BI371" s="3">
        <v>0</v>
      </c>
      <c r="BJ371" s="3">
        <v>0</v>
      </c>
      <c r="BL371" s="3">
        <v>0</v>
      </c>
      <c r="BM371" s="3">
        <v>0</v>
      </c>
      <c r="BO371" s="3">
        <v>0</v>
      </c>
      <c r="BP371" s="3">
        <v>0</v>
      </c>
    </row>
    <row r="372" spans="7:68" x14ac:dyDescent="0.25">
      <c r="G372" s="52"/>
      <c r="BE372" s="3">
        <v>0</v>
      </c>
      <c r="BF372" s="3">
        <v>0</v>
      </c>
      <c r="BI372" s="3">
        <v>0</v>
      </c>
      <c r="BJ372" s="3">
        <v>0</v>
      </c>
      <c r="BL372" s="3">
        <v>0</v>
      </c>
      <c r="BM372" s="3">
        <v>0</v>
      </c>
      <c r="BO372" s="3">
        <v>0</v>
      </c>
      <c r="BP372" s="3">
        <v>0</v>
      </c>
    </row>
    <row r="373" spans="7:68" x14ac:dyDescent="0.25">
      <c r="G373" s="52"/>
      <c r="BE373" s="3">
        <v>0</v>
      </c>
      <c r="BF373" s="3">
        <v>0</v>
      </c>
      <c r="BI373" s="3">
        <v>0</v>
      </c>
      <c r="BJ373" s="3">
        <v>0</v>
      </c>
      <c r="BL373" s="3">
        <v>0</v>
      </c>
      <c r="BM373" s="3">
        <v>0</v>
      </c>
      <c r="BO373" s="3">
        <v>0</v>
      </c>
      <c r="BP373" s="3">
        <v>0</v>
      </c>
    </row>
    <row r="374" spans="7:68" x14ac:dyDescent="0.25">
      <c r="G374" s="52"/>
      <c r="BE374" s="3">
        <v>0</v>
      </c>
      <c r="BF374" s="3">
        <v>0</v>
      </c>
      <c r="BI374" s="3">
        <v>0</v>
      </c>
      <c r="BJ374" s="3">
        <v>0</v>
      </c>
      <c r="BL374" s="3">
        <v>0</v>
      </c>
      <c r="BM374" s="3">
        <v>0</v>
      </c>
      <c r="BO374" s="3">
        <v>0</v>
      </c>
      <c r="BP374" s="3">
        <v>0</v>
      </c>
    </row>
    <row r="375" spans="7:68" x14ac:dyDescent="0.25">
      <c r="G375" s="52"/>
      <c r="BE375" s="3">
        <v>0</v>
      </c>
      <c r="BF375" s="3">
        <v>0</v>
      </c>
      <c r="BI375" s="3">
        <v>0</v>
      </c>
      <c r="BJ375" s="3">
        <v>0</v>
      </c>
      <c r="BL375" s="3">
        <v>0</v>
      </c>
      <c r="BM375" s="3">
        <v>0</v>
      </c>
      <c r="BO375" s="3">
        <v>0</v>
      </c>
      <c r="BP375" s="3">
        <v>0</v>
      </c>
    </row>
    <row r="376" spans="7:68" x14ac:dyDescent="0.25">
      <c r="G376" s="52"/>
      <c r="BE376" s="3">
        <v>0</v>
      </c>
      <c r="BF376" s="3">
        <v>0</v>
      </c>
      <c r="BI376" s="3">
        <v>0</v>
      </c>
      <c r="BJ376" s="3">
        <v>0</v>
      </c>
      <c r="BL376" s="3">
        <v>0</v>
      </c>
      <c r="BM376" s="3">
        <v>0</v>
      </c>
      <c r="BO376" s="3">
        <v>0</v>
      </c>
      <c r="BP376" s="3">
        <v>0</v>
      </c>
    </row>
    <row r="377" spans="7:68" x14ac:dyDescent="0.25">
      <c r="G377" s="52"/>
      <c r="BE377" s="3">
        <v>0</v>
      </c>
      <c r="BF377" s="3">
        <v>0</v>
      </c>
      <c r="BI377" s="3">
        <v>0</v>
      </c>
      <c r="BJ377" s="3">
        <v>0</v>
      </c>
      <c r="BL377" s="3">
        <v>0</v>
      </c>
      <c r="BM377" s="3">
        <v>0</v>
      </c>
      <c r="BO377" s="3">
        <v>0</v>
      </c>
      <c r="BP377" s="3">
        <v>0</v>
      </c>
    </row>
    <row r="378" spans="7:68" x14ac:dyDescent="0.25">
      <c r="G378" s="52"/>
      <c r="BE378" s="3">
        <v>0</v>
      </c>
      <c r="BF378" s="3">
        <v>0</v>
      </c>
      <c r="BI378" s="3">
        <v>0</v>
      </c>
      <c r="BJ378" s="3">
        <v>0</v>
      </c>
      <c r="BL378" s="3">
        <v>0</v>
      </c>
      <c r="BM378" s="3">
        <v>0</v>
      </c>
      <c r="BO378" s="3">
        <v>0</v>
      </c>
      <c r="BP378" s="3">
        <v>0</v>
      </c>
    </row>
    <row r="379" spans="7:68" x14ac:dyDescent="0.25">
      <c r="G379" s="52"/>
      <c r="BE379" s="3">
        <v>0</v>
      </c>
      <c r="BF379" s="3">
        <v>0</v>
      </c>
      <c r="BI379" s="3">
        <v>0</v>
      </c>
      <c r="BJ379" s="3">
        <v>0</v>
      </c>
      <c r="BL379" s="3">
        <v>0</v>
      </c>
      <c r="BM379" s="3">
        <v>0</v>
      </c>
      <c r="BO379" s="3">
        <v>0</v>
      </c>
      <c r="BP379" s="3">
        <v>0</v>
      </c>
    </row>
    <row r="380" spans="7:68" x14ac:dyDescent="0.25">
      <c r="G380" s="52"/>
      <c r="BE380" s="3">
        <v>0</v>
      </c>
      <c r="BF380" s="3">
        <v>0</v>
      </c>
      <c r="BI380" s="3">
        <v>0</v>
      </c>
      <c r="BJ380" s="3">
        <v>0</v>
      </c>
      <c r="BL380" s="3">
        <v>0</v>
      </c>
      <c r="BM380" s="3">
        <v>0</v>
      </c>
      <c r="BO380" s="3">
        <v>0</v>
      </c>
      <c r="BP380" s="3">
        <v>0</v>
      </c>
    </row>
    <row r="381" spans="7:68" x14ac:dyDescent="0.25">
      <c r="G381" s="52"/>
      <c r="BE381" s="3">
        <v>0</v>
      </c>
      <c r="BF381" s="3">
        <v>0</v>
      </c>
      <c r="BI381" s="3">
        <v>0</v>
      </c>
      <c r="BJ381" s="3">
        <v>0</v>
      </c>
      <c r="BL381" s="3">
        <v>0</v>
      </c>
      <c r="BM381" s="3">
        <v>0</v>
      </c>
      <c r="BO381" s="3">
        <v>0</v>
      </c>
      <c r="BP381" s="3">
        <v>0</v>
      </c>
    </row>
    <row r="382" spans="7:68" x14ac:dyDescent="0.25">
      <c r="G382" s="52"/>
      <c r="BE382" s="3">
        <v>0</v>
      </c>
      <c r="BF382" s="3">
        <v>0</v>
      </c>
      <c r="BI382" s="3">
        <v>0</v>
      </c>
      <c r="BJ382" s="3">
        <v>0</v>
      </c>
      <c r="BL382" s="3">
        <v>0</v>
      </c>
      <c r="BM382" s="3">
        <v>0</v>
      </c>
      <c r="BO382" s="3">
        <v>0</v>
      </c>
      <c r="BP382" s="3">
        <v>0</v>
      </c>
    </row>
    <row r="383" spans="7:68" x14ac:dyDescent="0.25">
      <c r="G383" s="52"/>
      <c r="BE383" s="3">
        <v>0</v>
      </c>
      <c r="BF383" s="3">
        <v>0</v>
      </c>
      <c r="BI383" s="3">
        <v>0</v>
      </c>
      <c r="BJ383" s="3">
        <v>0</v>
      </c>
      <c r="BL383" s="3">
        <v>0</v>
      </c>
      <c r="BM383" s="3">
        <v>0</v>
      </c>
      <c r="BO383" s="3">
        <v>0</v>
      </c>
      <c r="BP383" s="3">
        <v>0</v>
      </c>
    </row>
    <row r="384" spans="7:68" x14ac:dyDescent="0.25">
      <c r="G384" s="52"/>
      <c r="BE384" s="3">
        <v>0</v>
      </c>
      <c r="BF384" s="3">
        <v>0</v>
      </c>
      <c r="BI384" s="3">
        <v>0</v>
      </c>
      <c r="BJ384" s="3">
        <v>0</v>
      </c>
      <c r="BL384" s="3">
        <v>0</v>
      </c>
      <c r="BM384" s="3">
        <v>0</v>
      </c>
      <c r="BO384" s="3">
        <v>0</v>
      </c>
      <c r="BP384" s="3">
        <v>0</v>
      </c>
    </row>
    <row r="385" spans="7:68" x14ac:dyDescent="0.25">
      <c r="G385" s="52"/>
      <c r="BE385" s="3">
        <v>0</v>
      </c>
      <c r="BF385" s="3">
        <v>0</v>
      </c>
      <c r="BI385" s="3">
        <v>0</v>
      </c>
      <c r="BJ385" s="3">
        <v>0</v>
      </c>
      <c r="BL385" s="3">
        <v>0</v>
      </c>
      <c r="BM385" s="3">
        <v>0</v>
      </c>
      <c r="BO385" s="3">
        <v>0</v>
      </c>
      <c r="BP385" s="3">
        <v>0</v>
      </c>
    </row>
    <row r="386" spans="7:68" x14ac:dyDescent="0.25">
      <c r="G386" s="52"/>
      <c r="BE386" s="3">
        <v>0</v>
      </c>
      <c r="BF386" s="3">
        <v>0</v>
      </c>
      <c r="BI386" s="3">
        <v>0</v>
      </c>
      <c r="BJ386" s="3">
        <v>0</v>
      </c>
      <c r="BL386" s="3">
        <v>0</v>
      </c>
      <c r="BM386" s="3">
        <v>0</v>
      </c>
      <c r="BO386" s="3">
        <v>0</v>
      </c>
      <c r="BP386" s="3">
        <v>0</v>
      </c>
    </row>
    <row r="387" spans="7:68" x14ac:dyDescent="0.25">
      <c r="G387" s="52"/>
      <c r="BE387" s="3">
        <v>0</v>
      </c>
      <c r="BF387" s="3">
        <v>0</v>
      </c>
      <c r="BI387" s="3">
        <v>0</v>
      </c>
      <c r="BJ387" s="3">
        <v>0</v>
      </c>
      <c r="BL387" s="3">
        <v>0</v>
      </c>
      <c r="BM387" s="3">
        <v>0</v>
      </c>
      <c r="BO387" s="3">
        <v>0</v>
      </c>
      <c r="BP387" s="3">
        <v>0</v>
      </c>
    </row>
    <row r="388" spans="7:68" x14ac:dyDescent="0.25">
      <c r="G388" s="52"/>
      <c r="BE388" s="3">
        <v>0</v>
      </c>
      <c r="BF388" s="3">
        <v>0</v>
      </c>
      <c r="BI388" s="3">
        <v>0</v>
      </c>
      <c r="BJ388" s="3">
        <v>0</v>
      </c>
      <c r="BL388" s="3">
        <v>0</v>
      </c>
      <c r="BM388" s="3">
        <v>0</v>
      </c>
      <c r="BO388" s="3">
        <v>0</v>
      </c>
      <c r="BP388" s="3">
        <v>0</v>
      </c>
    </row>
    <row r="389" spans="7:68" x14ac:dyDescent="0.25">
      <c r="G389" s="52"/>
      <c r="BE389" s="3">
        <v>0</v>
      </c>
      <c r="BF389" s="3">
        <v>0</v>
      </c>
      <c r="BI389" s="3">
        <v>0</v>
      </c>
      <c r="BJ389" s="3">
        <v>0</v>
      </c>
      <c r="BL389" s="3">
        <v>0</v>
      </c>
      <c r="BM389" s="3">
        <v>0</v>
      </c>
      <c r="BO389" s="3">
        <v>0</v>
      </c>
      <c r="BP389" s="3">
        <v>0</v>
      </c>
    </row>
    <row r="390" spans="7:68" x14ac:dyDescent="0.25">
      <c r="G390" s="52"/>
      <c r="BE390" s="3">
        <v>0</v>
      </c>
      <c r="BF390" s="3">
        <v>0</v>
      </c>
      <c r="BI390" s="3">
        <v>0</v>
      </c>
      <c r="BJ390" s="3">
        <v>0</v>
      </c>
      <c r="BL390" s="3">
        <v>0</v>
      </c>
      <c r="BM390" s="3">
        <v>0</v>
      </c>
      <c r="BO390" s="3">
        <v>0</v>
      </c>
      <c r="BP390" s="3">
        <v>0</v>
      </c>
    </row>
    <row r="391" spans="7:68" x14ac:dyDescent="0.25">
      <c r="G391" s="52"/>
      <c r="BE391" s="3">
        <v>0</v>
      </c>
      <c r="BF391" s="3">
        <v>0</v>
      </c>
      <c r="BI391" s="3">
        <v>0</v>
      </c>
      <c r="BJ391" s="3">
        <v>0</v>
      </c>
      <c r="BL391" s="3">
        <v>0</v>
      </c>
      <c r="BM391" s="3">
        <v>0</v>
      </c>
      <c r="BO391" s="3">
        <v>0</v>
      </c>
      <c r="BP391" s="3">
        <v>0</v>
      </c>
    </row>
    <row r="392" spans="7:68" x14ac:dyDescent="0.25">
      <c r="G392" s="52"/>
      <c r="BE392" s="3">
        <v>0</v>
      </c>
      <c r="BF392" s="3">
        <v>0</v>
      </c>
      <c r="BI392" s="3">
        <v>0</v>
      </c>
      <c r="BJ392" s="3">
        <v>0</v>
      </c>
      <c r="BL392" s="3">
        <v>0</v>
      </c>
      <c r="BM392" s="3">
        <v>0</v>
      </c>
      <c r="BO392" s="3">
        <v>0</v>
      </c>
      <c r="BP392" s="3">
        <v>0</v>
      </c>
    </row>
    <row r="393" spans="7:68" x14ac:dyDescent="0.25">
      <c r="G393" s="52"/>
      <c r="BE393" s="3">
        <v>0</v>
      </c>
      <c r="BF393" s="3">
        <v>0</v>
      </c>
      <c r="BI393" s="3">
        <v>0</v>
      </c>
      <c r="BJ393" s="3">
        <v>0</v>
      </c>
      <c r="BL393" s="3">
        <v>0</v>
      </c>
      <c r="BM393" s="3">
        <v>0</v>
      </c>
      <c r="BO393" s="3">
        <v>0</v>
      </c>
      <c r="BP393" s="3">
        <v>0</v>
      </c>
    </row>
    <row r="394" spans="7:68" x14ac:dyDescent="0.25">
      <c r="G394" s="52"/>
      <c r="BE394" s="3">
        <v>0</v>
      </c>
      <c r="BF394" s="3">
        <v>0</v>
      </c>
      <c r="BI394" s="3">
        <v>0</v>
      </c>
      <c r="BJ394" s="3">
        <v>0</v>
      </c>
      <c r="BL394" s="3">
        <v>0</v>
      </c>
      <c r="BM394" s="3">
        <v>0</v>
      </c>
      <c r="BO394" s="3">
        <v>0</v>
      </c>
      <c r="BP394" s="3">
        <v>0</v>
      </c>
    </row>
    <row r="395" spans="7:68" x14ac:dyDescent="0.25">
      <c r="G395" s="52"/>
      <c r="BE395" s="3">
        <v>0</v>
      </c>
      <c r="BF395" s="3">
        <v>0</v>
      </c>
      <c r="BI395" s="3">
        <v>0</v>
      </c>
      <c r="BJ395" s="3">
        <v>0</v>
      </c>
      <c r="BL395" s="3">
        <v>0</v>
      </c>
      <c r="BM395" s="3">
        <v>0</v>
      </c>
      <c r="BO395" s="3">
        <v>0</v>
      </c>
      <c r="BP395" s="3">
        <v>0</v>
      </c>
    </row>
    <row r="396" spans="7:68" x14ac:dyDescent="0.25">
      <c r="G396" s="52"/>
      <c r="BE396" s="3">
        <v>0</v>
      </c>
      <c r="BF396" s="3">
        <v>0</v>
      </c>
      <c r="BI396" s="3">
        <v>0</v>
      </c>
      <c r="BJ396" s="3">
        <v>0</v>
      </c>
      <c r="BL396" s="3">
        <v>0</v>
      </c>
      <c r="BM396" s="3">
        <v>0</v>
      </c>
      <c r="BO396" s="3">
        <v>0</v>
      </c>
      <c r="BP396" s="3">
        <v>0</v>
      </c>
    </row>
    <row r="397" spans="7:68" x14ac:dyDescent="0.25">
      <c r="G397" s="52"/>
      <c r="BE397" s="3">
        <v>0</v>
      </c>
      <c r="BF397" s="3">
        <v>0</v>
      </c>
      <c r="BI397" s="3">
        <v>0</v>
      </c>
      <c r="BJ397" s="3">
        <v>0</v>
      </c>
      <c r="BL397" s="3">
        <v>0</v>
      </c>
      <c r="BM397" s="3">
        <v>0</v>
      </c>
      <c r="BO397" s="3">
        <v>0</v>
      </c>
      <c r="BP397" s="3">
        <v>0</v>
      </c>
    </row>
    <row r="398" spans="7:68" x14ac:dyDescent="0.25">
      <c r="G398" s="52"/>
      <c r="BE398" s="3">
        <v>0</v>
      </c>
      <c r="BF398" s="3">
        <v>0</v>
      </c>
      <c r="BI398" s="3">
        <v>0</v>
      </c>
      <c r="BJ398" s="3">
        <v>0</v>
      </c>
      <c r="BL398" s="3">
        <v>0</v>
      </c>
      <c r="BM398" s="3">
        <v>0</v>
      </c>
      <c r="BO398" s="3">
        <v>0</v>
      </c>
      <c r="BP398" s="3">
        <v>0</v>
      </c>
    </row>
    <row r="399" spans="7:68" x14ac:dyDescent="0.25">
      <c r="G399" s="52"/>
      <c r="BE399" s="3">
        <v>0</v>
      </c>
      <c r="BF399" s="3">
        <v>0</v>
      </c>
      <c r="BI399" s="3">
        <v>0</v>
      </c>
      <c r="BJ399" s="3">
        <v>0</v>
      </c>
      <c r="BL399" s="3">
        <v>0</v>
      </c>
      <c r="BM399" s="3">
        <v>0</v>
      </c>
      <c r="BO399" s="3">
        <v>0</v>
      </c>
      <c r="BP399" s="3">
        <v>0</v>
      </c>
    </row>
    <row r="400" spans="7:68" x14ac:dyDescent="0.25">
      <c r="G400" s="52"/>
      <c r="BE400" s="3">
        <v>0</v>
      </c>
      <c r="BF400" s="3">
        <v>0</v>
      </c>
      <c r="BI400" s="3">
        <v>0</v>
      </c>
      <c r="BJ400" s="3">
        <v>0</v>
      </c>
      <c r="BL400" s="3">
        <v>0</v>
      </c>
      <c r="BM400" s="3">
        <v>0</v>
      </c>
      <c r="BO400" s="3">
        <v>0</v>
      </c>
      <c r="BP400" s="3">
        <v>0</v>
      </c>
    </row>
    <row r="401" spans="7:68" x14ac:dyDescent="0.25">
      <c r="G401" s="52"/>
      <c r="BE401" s="3">
        <v>0</v>
      </c>
      <c r="BF401" s="3">
        <v>0</v>
      </c>
      <c r="BI401" s="3">
        <v>0</v>
      </c>
      <c r="BJ401" s="3">
        <v>0</v>
      </c>
      <c r="BL401" s="3">
        <v>0</v>
      </c>
      <c r="BM401" s="3">
        <v>0</v>
      </c>
      <c r="BO401" s="3">
        <v>0</v>
      </c>
      <c r="BP401" s="3">
        <v>0</v>
      </c>
    </row>
    <row r="402" spans="7:68" x14ac:dyDescent="0.25">
      <c r="G402" s="52"/>
      <c r="BE402" s="3">
        <v>0</v>
      </c>
      <c r="BF402" s="3">
        <v>0</v>
      </c>
      <c r="BI402" s="3">
        <v>0</v>
      </c>
      <c r="BJ402" s="3">
        <v>0</v>
      </c>
      <c r="BL402" s="3">
        <v>0</v>
      </c>
      <c r="BM402" s="3">
        <v>0</v>
      </c>
      <c r="BO402" s="3">
        <v>0</v>
      </c>
      <c r="BP402" s="3">
        <v>0</v>
      </c>
    </row>
    <row r="403" spans="7:68" x14ac:dyDescent="0.25">
      <c r="G403" s="52"/>
      <c r="BE403" s="3">
        <v>0</v>
      </c>
      <c r="BF403" s="3">
        <v>0</v>
      </c>
      <c r="BI403" s="3">
        <v>0</v>
      </c>
      <c r="BJ403" s="3">
        <v>0</v>
      </c>
      <c r="BL403" s="3">
        <v>0</v>
      </c>
      <c r="BM403" s="3">
        <v>0</v>
      </c>
      <c r="BO403" s="3">
        <v>0</v>
      </c>
      <c r="BP403" s="3">
        <v>0</v>
      </c>
    </row>
    <row r="404" spans="7:68" x14ac:dyDescent="0.25">
      <c r="G404" s="52"/>
      <c r="BE404" s="3">
        <v>0</v>
      </c>
      <c r="BF404" s="3">
        <v>0</v>
      </c>
      <c r="BI404" s="3">
        <v>0</v>
      </c>
      <c r="BJ404" s="3">
        <v>0</v>
      </c>
      <c r="BL404" s="3">
        <v>0</v>
      </c>
      <c r="BM404" s="3">
        <v>0</v>
      </c>
      <c r="BO404" s="3">
        <v>0</v>
      </c>
      <c r="BP404" s="3">
        <v>0</v>
      </c>
    </row>
    <row r="405" spans="7:68" x14ac:dyDescent="0.25">
      <c r="G405" s="52"/>
      <c r="BE405" s="3">
        <v>0</v>
      </c>
      <c r="BF405" s="3">
        <v>0</v>
      </c>
      <c r="BI405" s="3">
        <v>0</v>
      </c>
      <c r="BJ405" s="3">
        <v>0</v>
      </c>
      <c r="BL405" s="3">
        <v>0</v>
      </c>
      <c r="BM405" s="3">
        <v>0</v>
      </c>
      <c r="BO405" s="3">
        <v>0</v>
      </c>
      <c r="BP405" s="3">
        <v>0</v>
      </c>
    </row>
    <row r="406" spans="7:68" x14ac:dyDescent="0.25">
      <c r="G406" s="52"/>
      <c r="BE406" s="3">
        <v>0</v>
      </c>
      <c r="BF406" s="3">
        <v>0</v>
      </c>
      <c r="BI406" s="3">
        <v>0</v>
      </c>
      <c r="BJ406" s="3">
        <v>0</v>
      </c>
      <c r="BL406" s="3">
        <v>0</v>
      </c>
      <c r="BM406" s="3">
        <v>0</v>
      </c>
      <c r="BO406" s="3">
        <v>0</v>
      </c>
      <c r="BP406" s="3">
        <v>0</v>
      </c>
    </row>
    <row r="407" spans="7:68" x14ac:dyDescent="0.25">
      <c r="G407" s="52"/>
      <c r="BE407" s="3">
        <v>0</v>
      </c>
      <c r="BF407" s="3">
        <v>0</v>
      </c>
      <c r="BI407" s="3">
        <v>0</v>
      </c>
      <c r="BJ407" s="3">
        <v>0</v>
      </c>
      <c r="BL407" s="3">
        <v>0</v>
      </c>
      <c r="BM407" s="3">
        <v>0</v>
      </c>
      <c r="BO407" s="3">
        <v>0</v>
      </c>
      <c r="BP407" s="3">
        <v>0</v>
      </c>
    </row>
    <row r="408" spans="7:68" x14ac:dyDescent="0.25">
      <c r="G408" s="52"/>
      <c r="BE408" s="3">
        <v>0</v>
      </c>
      <c r="BF408" s="3">
        <v>0</v>
      </c>
      <c r="BI408" s="3">
        <v>0</v>
      </c>
      <c r="BJ408" s="3">
        <v>0</v>
      </c>
      <c r="BL408" s="3">
        <v>0</v>
      </c>
      <c r="BM408" s="3">
        <v>0</v>
      </c>
      <c r="BO408" s="3">
        <v>0</v>
      </c>
      <c r="BP408" s="3">
        <v>0</v>
      </c>
    </row>
    <row r="409" spans="7:68" x14ac:dyDescent="0.25">
      <c r="G409" s="52"/>
      <c r="BE409" s="3">
        <v>0</v>
      </c>
      <c r="BF409" s="3">
        <v>0</v>
      </c>
      <c r="BI409" s="3">
        <v>0</v>
      </c>
      <c r="BJ409" s="3">
        <v>0</v>
      </c>
      <c r="BL409" s="3">
        <v>0</v>
      </c>
      <c r="BM409" s="3">
        <v>0</v>
      </c>
      <c r="BO409" s="3">
        <v>0</v>
      </c>
      <c r="BP409" s="3">
        <v>0</v>
      </c>
    </row>
    <row r="410" spans="7:68" x14ac:dyDescent="0.25">
      <c r="G410" s="52"/>
      <c r="BE410" s="3">
        <v>0</v>
      </c>
      <c r="BF410" s="3">
        <v>0</v>
      </c>
      <c r="BI410" s="3">
        <v>0</v>
      </c>
      <c r="BJ410" s="3">
        <v>0</v>
      </c>
      <c r="BL410" s="3">
        <v>0</v>
      </c>
      <c r="BM410" s="3">
        <v>0</v>
      </c>
      <c r="BO410" s="3">
        <v>0</v>
      </c>
      <c r="BP410" s="3">
        <v>0</v>
      </c>
    </row>
    <row r="411" spans="7:68" x14ac:dyDescent="0.25">
      <c r="G411" s="52"/>
      <c r="BE411" s="3">
        <v>0</v>
      </c>
      <c r="BF411" s="3">
        <v>0</v>
      </c>
      <c r="BI411" s="3">
        <v>0</v>
      </c>
      <c r="BJ411" s="3">
        <v>0</v>
      </c>
      <c r="BL411" s="3">
        <v>0</v>
      </c>
      <c r="BM411" s="3">
        <v>0</v>
      </c>
      <c r="BO411" s="3">
        <v>0</v>
      </c>
      <c r="BP411" s="3">
        <v>0</v>
      </c>
    </row>
    <row r="412" spans="7:68" x14ac:dyDescent="0.25">
      <c r="G412" s="52"/>
      <c r="BE412" s="3">
        <v>0</v>
      </c>
      <c r="BF412" s="3">
        <v>0</v>
      </c>
      <c r="BI412" s="3">
        <v>0</v>
      </c>
      <c r="BJ412" s="3">
        <v>0</v>
      </c>
      <c r="BL412" s="3">
        <v>0</v>
      </c>
      <c r="BM412" s="3">
        <v>0</v>
      </c>
      <c r="BO412" s="3">
        <v>0</v>
      </c>
      <c r="BP412" s="3">
        <v>0</v>
      </c>
    </row>
    <row r="413" spans="7:68" x14ac:dyDescent="0.25">
      <c r="G413" s="52"/>
      <c r="BE413" s="3">
        <v>0</v>
      </c>
      <c r="BF413" s="3">
        <v>0</v>
      </c>
      <c r="BI413" s="3">
        <v>0</v>
      </c>
      <c r="BJ413" s="3">
        <v>0</v>
      </c>
      <c r="BL413" s="3">
        <v>0</v>
      </c>
      <c r="BM413" s="3">
        <v>0</v>
      </c>
      <c r="BO413" s="3">
        <v>0</v>
      </c>
      <c r="BP413" s="3">
        <v>0</v>
      </c>
    </row>
    <row r="414" spans="7:68" x14ac:dyDescent="0.25">
      <c r="G414" s="52"/>
      <c r="BE414" s="3">
        <v>0</v>
      </c>
      <c r="BF414" s="3">
        <v>0</v>
      </c>
      <c r="BI414" s="3">
        <v>0</v>
      </c>
      <c r="BJ414" s="3">
        <v>0</v>
      </c>
      <c r="BL414" s="3">
        <v>0</v>
      </c>
      <c r="BM414" s="3">
        <v>0</v>
      </c>
      <c r="BO414" s="3">
        <v>0</v>
      </c>
      <c r="BP414" s="3">
        <v>0</v>
      </c>
    </row>
    <row r="415" spans="7:68" x14ac:dyDescent="0.25">
      <c r="G415" s="52"/>
      <c r="BE415" s="3">
        <v>0</v>
      </c>
      <c r="BF415" s="3">
        <v>0</v>
      </c>
      <c r="BI415" s="3">
        <v>0</v>
      </c>
      <c r="BJ415" s="3">
        <v>0</v>
      </c>
      <c r="BL415" s="3">
        <v>0</v>
      </c>
      <c r="BM415" s="3">
        <v>0</v>
      </c>
      <c r="BO415" s="3">
        <v>0</v>
      </c>
      <c r="BP415" s="3">
        <v>0</v>
      </c>
    </row>
    <row r="416" spans="7:68" x14ac:dyDescent="0.25">
      <c r="G416" s="52"/>
      <c r="BE416" s="3">
        <v>0</v>
      </c>
      <c r="BF416" s="3">
        <v>0</v>
      </c>
      <c r="BI416" s="3">
        <v>0</v>
      </c>
      <c r="BJ416" s="3">
        <v>0</v>
      </c>
      <c r="BL416" s="3">
        <v>0</v>
      </c>
      <c r="BM416" s="3">
        <v>0</v>
      </c>
      <c r="BO416" s="3">
        <v>0</v>
      </c>
      <c r="BP416" s="3">
        <v>0</v>
      </c>
    </row>
    <row r="417" spans="7:68" x14ac:dyDescent="0.25">
      <c r="G417" s="52"/>
      <c r="BE417" s="3">
        <v>0</v>
      </c>
      <c r="BF417" s="3">
        <v>0</v>
      </c>
      <c r="BI417" s="3">
        <v>0</v>
      </c>
      <c r="BJ417" s="3">
        <v>0</v>
      </c>
      <c r="BL417" s="3">
        <v>0</v>
      </c>
      <c r="BM417" s="3">
        <v>0</v>
      </c>
      <c r="BO417" s="3">
        <v>0</v>
      </c>
      <c r="BP417" s="3">
        <v>0</v>
      </c>
    </row>
    <row r="418" spans="7:68" x14ac:dyDescent="0.25">
      <c r="G418" s="52"/>
      <c r="BE418" s="3">
        <v>0</v>
      </c>
      <c r="BF418" s="3">
        <v>0</v>
      </c>
      <c r="BI418" s="3">
        <v>0</v>
      </c>
      <c r="BJ418" s="3">
        <v>0</v>
      </c>
      <c r="BL418" s="3">
        <v>0</v>
      </c>
      <c r="BM418" s="3">
        <v>0</v>
      </c>
      <c r="BO418" s="3">
        <v>0</v>
      </c>
      <c r="BP418" s="3">
        <v>0</v>
      </c>
    </row>
    <row r="419" spans="7:68" x14ac:dyDescent="0.25">
      <c r="G419" s="52"/>
      <c r="BE419" s="3">
        <v>0</v>
      </c>
      <c r="BF419" s="3">
        <v>0</v>
      </c>
      <c r="BI419" s="3">
        <v>0</v>
      </c>
      <c r="BJ419" s="3">
        <v>0</v>
      </c>
      <c r="BL419" s="3">
        <v>0</v>
      </c>
      <c r="BM419" s="3">
        <v>0</v>
      </c>
      <c r="BO419" s="3">
        <v>0</v>
      </c>
      <c r="BP419" s="3">
        <v>0</v>
      </c>
    </row>
    <row r="420" spans="7:68" x14ac:dyDescent="0.25">
      <c r="G420" s="52"/>
      <c r="BE420" s="3">
        <v>0</v>
      </c>
      <c r="BF420" s="3">
        <v>0</v>
      </c>
      <c r="BI420" s="3">
        <v>0</v>
      </c>
      <c r="BJ420" s="3">
        <v>0</v>
      </c>
      <c r="BL420" s="3">
        <v>0</v>
      </c>
      <c r="BM420" s="3">
        <v>0</v>
      </c>
      <c r="BO420" s="3">
        <v>0</v>
      </c>
      <c r="BP420" s="3">
        <v>0</v>
      </c>
    </row>
    <row r="421" spans="7:68" x14ac:dyDescent="0.25">
      <c r="G421" s="52"/>
      <c r="BE421" s="3">
        <v>0</v>
      </c>
      <c r="BF421" s="3">
        <v>0</v>
      </c>
      <c r="BI421" s="3">
        <v>0</v>
      </c>
      <c r="BJ421" s="3">
        <v>0</v>
      </c>
      <c r="BL421" s="3">
        <v>0</v>
      </c>
      <c r="BM421" s="3">
        <v>0</v>
      </c>
      <c r="BO421" s="3">
        <v>0</v>
      </c>
      <c r="BP421" s="3">
        <v>0</v>
      </c>
    </row>
    <row r="422" spans="7:68" x14ac:dyDescent="0.25">
      <c r="G422" s="52"/>
      <c r="BE422" s="3">
        <v>0</v>
      </c>
      <c r="BF422" s="3">
        <v>0</v>
      </c>
      <c r="BI422" s="3">
        <v>0</v>
      </c>
      <c r="BJ422" s="3">
        <v>0</v>
      </c>
      <c r="BL422" s="3">
        <v>0</v>
      </c>
      <c r="BM422" s="3">
        <v>0</v>
      </c>
      <c r="BO422" s="3">
        <v>0</v>
      </c>
      <c r="BP422" s="3">
        <v>0</v>
      </c>
    </row>
    <row r="423" spans="7:68" x14ac:dyDescent="0.25">
      <c r="G423" s="52"/>
      <c r="BE423" s="3">
        <v>0</v>
      </c>
      <c r="BF423" s="3">
        <v>0</v>
      </c>
      <c r="BI423" s="3">
        <v>0</v>
      </c>
      <c r="BJ423" s="3">
        <v>0</v>
      </c>
      <c r="BL423" s="3">
        <v>0</v>
      </c>
      <c r="BM423" s="3">
        <v>0</v>
      </c>
      <c r="BO423" s="3">
        <v>0</v>
      </c>
      <c r="BP423" s="3">
        <v>0</v>
      </c>
    </row>
    <row r="424" spans="7:68" x14ac:dyDescent="0.25">
      <c r="G424" s="52"/>
      <c r="BE424" s="3">
        <v>0</v>
      </c>
      <c r="BF424" s="3">
        <v>0</v>
      </c>
      <c r="BI424" s="3">
        <v>0</v>
      </c>
      <c r="BJ424" s="3">
        <v>0</v>
      </c>
      <c r="BL424" s="3">
        <v>0</v>
      </c>
      <c r="BM424" s="3">
        <v>0</v>
      </c>
      <c r="BO424" s="3">
        <v>0</v>
      </c>
      <c r="BP424" s="3">
        <v>0</v>
      </c>
    </row>
    <row r="425" spans="7:68" x14ac:dyDescent="0.25">
      <c r="G425" s="52"/>
      <c r="BE425" s="3">
        <v>0</v>
      </c>
      <c r="BF425" s="3">
        <v>0</v>
      </c>
      <c r="BI425" s="3">
        <v>0</v>
      </c>
      <c r="BJ425" s="3">
        <v>0</v>
      </c>
      <c r="BL425" s="3">
        <v>0</v>
      </c>
      <c r="BM425" s="3">
        <v>0</v>
      </c>
      <c r="BO425" s="3">
        <v>0</v>
      </c>
      <c r="BP425" s="3">
        <v>0</v>
      </c>
    </row>
    <row r="426" spans="7:68" x14ac:dyDescent="0.25">
      <c r="G426" s="52"/>
      <c r="BE426" s="3">
        <v>0</v>
      </c>
      <c r="BF426" s="3">
        <v>0</v>
      </c>
      <c r="BI426" s="3">
        <v>0</v>
      </c>
      <c r="BJ426" s="3">
        <v>0</v>
      </c>
      <c r="BL426" s="3">
        <v>0</v>
      </c>
      <c r="BM426" s="3">
        <v>0</v>
      </c>
      <c r="BO426" s="3">
        <v>0</v>
      </c>
      <c r="BP426" s="3">
        <v>0</v>
      </c>
    </row>
    <row r="427" spans="7:68" x14ac:dyDescent="0.25">
      <c r="G427" s="52"/>
      <c r="BE427" s="3">
        <v>0</v>
      </c>
      <c r="BF427" s="3">
        <v>0</v>
      </c>
      <c r="BI427" s="3">
        <v>0</v>
      </c>
      <c r="BJ427" s="3">
        <v>0</v>
      </c>
      <c r="BL427" s="3">
        <v>0</v>
      </c>
      <c r="BM427" s="3">
        <v>0</v>
      </c>
      <c r="BO427" s="3">
        <v>0</v>
      </c>
      <c r="BP427" s="3">
        <v>0</v>
      </c>
    </row>
    <row r="428" spans="7:68" x14ac:dyDescent="0.25">
      <c r="G428" s="52"/>
      <c r="BE428" s="3">
        <v>0</v>
      </c>
      <c r="BF428" s="3">
        <v>0</v>
      </c>
      <c r="BI428" s="3">
        <v>0</v>
      </c>
      <c r="BJ428" s="3">
        <v>0</v>
      </c>
      <c r="BL428" s="3">
        <v>0</v>
      </c>
      <c r="BM428" s="3">
        <v>0</v>
      </c>
      <c r="BO428" s="3">
        <v>0</v>
      </c>
      <c r="BP428" s="3">
        <v>0</v>
      </c>
    </row>
    <row r="429" spans="7:68" x14ac:dyDescent="0.25">
      <c r="G429" s="52"/>
      <c r="BE429" s="3">
        <v>0</v>
      </c>
      <c r="BF429" s="3">
        <v>0</v>
      </c>
      <c r="BI429" s="3">
        <v>0</v>
      </c>
      <c r="BJ429" s="3">
        <v>0</v>
      </c>
      <c r="BL429" s="3">
        <v>0</v>
      </c>
      <c r="BM429" s="3">
        <v>0</v>
      </c>
      <c r="BO429" s="3">
        <v>0</v>
      </c>
      <c r="BP429" s="3">
        <v>0</v>
      </c>
    </row>
    <row r="430" spans="7:68" x14ac:dyDescent="0.25">
      <c r="G430" s="52"/>
      <c r="BE430" s="3">
        <v>0</v>
      </c>
      <c r="BF430" s="3">
        <v>0</v>
      </c>
      <c r="BI430" s="3">
        <v>0</v>
      </c>
      <c r="BJ430" s="3">
        <v>0</v>
      </c>
      <c r="BL430" s="3">
        <v>0</v>
      </c>
      <c r="BM430" s="3">
        <v>0</v>
      </c>
      <c r="BO430" s="3">
        <v>0</v>
      </c>
      <c r="BP430" s="3">
        <v>0</v>
      </c>
    </row>
    <row r="431" spans="7:68" x14ac:dyDescent="0.25">
      <c r="G431" s="52"/>
      <c r="BE431" s="3">
        <v>0</v>
      </c>
      <c r="BF431" s="3">
        <v>0</v>
      </c>
      <c r="BI431" s="3">
        <v>0</v>
      </c>
      <c r="BJ431" s="3">
        <v>0</v>
      </c>
      <c r="BL431" s="3">
        <v>0</v>
      </c>
      <c r="BM431" s="3">
        <v>0</v>
      </c>
      <c r="BO431" s="3">
        <v>0</v>
      </c>
      <c r="BP431" s="3">
        <v>0</v>
      </c>
    </row>
    <row r="432" spans="7:68" x14ac:dyDescent="0.25">
      <c r="G432" s="52"/>
      <c r="BE432" s="3">
        <v>0</v>
      </c>
      <c r="BF432" s="3">
        <v>0</v>
      </c>
      <c r="BI432" s="3">
        <v>0</v>
      </c>
      <c r="BJ432" s="3">
        <v>0</v>
      </c>
      <c r="BL432" s="3">
        <v>0</v>
      </c>
      <c r="BM432" s="3">
        <v>0</v>
      </c>
      <c r="BO432" s="3">
        <v>0</v>
      </c>
      <c r="BP432" s="3">
        <v>0</v>
      </c>
    </row>
    <row r="433" spans="7:68" x14ac:dyDescent="0.25">
      <c r="G433" s="52"/>
      <c r="BE433" s="3">
        <v>0</v>
      </c>
      <c r="BF433" s="3">
        <v>0</v>
      </c>
      <c r="BI433" s="3">
        <v>0</v>
      </c>
      <c r="BJ433" s="3">
        <v>0</v>
      </c>
      <c r="BL433" s="3">
        <v>0</v>
      </c>
      <c r="BM433" s="3">
        <v>0</v>
      </c>
      <c r="BO433" s="3">
        <v>0</v>
      </c>
      <c r="BP433" s="3">
        <v>0</v>
      </c>
    </row>
    <row r="434" spans="7:68" x14ac:dyDescent="0.25">
      <c r="G434" s="52"/>
      <c r="BE434" s="3">
        <v>0</v>
      </c>
      <c r="BF434" s="3">
        <v>0</v>
      </c>
      <c r="BI434" s="3">
        <v>0</v>
      </c>
      <c r="BJ434" s="3">
        <v>0</v>
      </c>
      <c r="BL434" s="3">
        <v>0</v>
      </c>
      <c r="BM434" s="3">
        <v>0</v>
      </c>
      <c r="BO434" s="3">
        <v>0</v>
      </c>
      <c r="BP434" s="3">
        <v>0</v>
      </c>
    </row>
    <row r="435" spans="7:68" x14ac:dyDescent="0.25">
      <c r="G435" s="52"/>
      <c r="BE435" s="3">
        <v>0</v>
      </c>
      <c r="BF435" s="3">
        <v>0</v>
      </c>
      <c r="BI435" s="3">
        <v>0</v>
      </c>
      <c r="BJ435" s="3">
        <v>0</v>
      </c>
      <c r="BL435" s="3">
        <v>0</v>
      </c>
      <c r="BM435" s="3">
        <v>0</v>
      </c>
      <c r="BO435" s="3">
        <v>0</v>
      </c>
      <c r="BP435" s="3">
        <v>0</v>
      </c>
    </row>
    <row r="436" spans="7:68" x14ac:dyDescent="0.25">
      <c r="G436" s="52"/>
      <c r="BE436" s="3">
        <v>0</v>
      </c>
      <c r="BF436" s="3">
        <v>0</v>
      </c>
      <c r="BI436" s="3">
        <v>0</v>
      </c>
      <c r="BJ436" s="3">
        <v>0</v>
      </c>
      <c r="BL436" s="3">
        <v>0</v>
      </c>
      <c r="BM436" s="3">
        <v>0</v>
      </c>
      <c r="BO436" s="3">
        <v>0</v>
      </c>
      <c r="BP436" s="3">
        <v>0</v>
      </c>
    </row>
    <row r="437" spans="7:68" x14ac:dyDescent="0.25">
      <c r="G437" s="52"/>
      <c r="BE437" s="3">
        <v>0</v>
      </c>
      <c r="BF437" s="3">
        <v>0</v>
      </c>
      <c r="BI437" s="3">
        <v>0</v>
      </c>
      <c r="BJ437" s="3">
        <v>0</v>
      </c>
      <c r="BL437" s="3">
        <v>0</v>
      </c>
      <c r="BM437" s="3">
        <v>0</v>
      </c>
      <c r="BO437" s="3">
        <v>0</v>
      </c>
      <c r="BP437" s="3">
        <v>0</v>
      </c>
    </row>
    <row r="438" spans="7:68" x14ac:dyDescent="0.25">
      <c r="G438" s="52"/>
      <c r="BE438" s="3">
        <v>0</v>
      </c>
      <c r="BF438" s="3">
        <v>0</v>
      </c>
      <c r="BI438" s="3">
        <v>0</v>
      </c>
      <c r="BJ438" s="3">
        <v>0</v>
      </c>
      <c r="BL438" s="3">
        <v>0</v>
      </c>
      <c r="BM438" s="3">
        <v>0</v>
      </c>
      <c r="BO438" s="3">
        <v>0</v>
      </c>
      <c r="BP438" s="3">
        <v>0</v>
      </c>
    </row>
    <row r="439" spans="7:68" x14ac:dyDescent="0.25">
      <c r="G439" s="52"/>
      <c r="BE439" s="3">
        <v>0</v>
      </c>
      <c r="BF439" s="3">
        <v>0</v>
      </c>
      <c r="BI439" s="3">
        <v>0</v>
      </c>
      <c r="BJ439" s="3">
        <v>0</v>
      </c>
      <c r="BL439" s="3">
        <v>0</v>
      </c>
      <c r="BM439" s="3">
        <v>0</v>
      </c>
      <c r="BO439" s="3">
        <v>0</v>
      </c>
      <c r="BP439" s="3">
        <v>0</v>
      </c>
    </row>
    <row r="440" spans="7:68" x14ac:dyDescent="0.25">
      <c r="G440" s="52"/>
      <c r="BE440" s="3">
        <v>0</v>
      </c>
      <c r="BF440" s="3">
        <v>0</v>
      </c>
      <c r="BI440" s="3">
        <v>0</v>
      </c>
      <c r="BJ440" s="3">
        <v>0</v>
      </c>
      <c r="BL440" s="3">
        <v>0</v>
      </c>
      <c r="BM440" s="3">
        <v>0</v>
      </c>
      <c r="BO440" s="3">
        <v>0</v>
      </c>
      <c r="BP440" s="3">
        <v>0</v>
      </c>
    </row>
    <row r="441" spans="7:68" x14ac:dyDescent="0.25">
      <c r="G441" s="52"/>
      <c r="BE441" s="3">
        <v>0</v>
      </c>
      <c r="BF441" s="3">
        <v>0</v>
      </c>
      <c r="BI441" s="3">
        <v>0</v>
      </c>
      <c r="BJ441" s="3">
        <v>0</v>
      </c>
      <c r="BL441" s="3">
        <v>0</v>
      </c>
      <c r="BM441" s="3">
        <v>0</v>
      </c>
      <c r="BO441" s="3">
        <v>0</v>
      </c>
      <c r="BP441" s="3">
        <v>0</v>
      </c>
    </row>
    <row r="442" spans="7:68" x14ac:dyDescent="0.25">
      <c r="G442" s="52"/>
      <c r="BE442" s="3">
        <v>0</v>
      </c>
      <c r="BF442" s="3">
        <v>0</v>
      </c>
      <c r="BI442" s="3">
        <v>0</v>
      </c>
      <c r="BJ442" s="3">
        <v>0</v>
      </c>
      <c r="BL442" s="3">
        <v>0</v>
      </c>
      <c r="BM442" s="3">
        <v>0</v>
      </c>
      <c r="BO442" s="3">
        <v>0</v>
      </c>
      <c r="BP442" s="3">
        <v>0</v>
      </c>
    </row>
    <row r="443" spans="7:68" x14ac:dyDescent="0.25">
      <c r="G443" s="52"/>
      <c r="BE443" s="3">
        <v>0</v>
      </c>
      <c r="BF443" s="3">
        <v>0</v>
      </c>
      <c r="BI443" s="3">
        <v>0</v>
      </c>
      <c r="BJ443" s="3">
        <v>0</v>
      </c>
      <c r="BL443" s="3">
        <v>0</v>
      </c>
      <c r="BM443" s="3">
        <v>0</v>
      </c>
      <c r="BO443" s="3">
        <v>0</v>
      </c>
      <c r="BP443" s="3">
        <v>0</v>
      </c>
    </row>
    <row r="444" spans="7:68" x14ac:dyDescent="0.25">
      <c r="G444" s="52"/>
      <c r="BE444" s="3">
        <v>0</v>
      </c>
      <c r="BF444" s="3">
        <v>0</v>
      </c>
      <c r="BI444" s="3">
        <v>0</v>
      </c>
      <c r="BJ444" s="3">
        <v>0</v>
      </c>
      <c r="BL444" s="3">
        <v>0</v>
      </c>
      <c r="BM444" s="3">
        <v>0</v>
      </c>
      <c r="BO444" s="3">
        <v>0</v>
      </c>
      <c r="BP444" s="3">
        <v>0</v>
      </c>
    </row>
    <row r="445" spans="7:68" x14ac:dyDescent="0.25">
      <c r="G445" s="52"/>
      <c r="BE445" s="3">
        <v>0</v>
      </c>
      <c r="BF445" s="3">
        <v>0</v>
      </c>
      <c r="BI445" s="3">
        <v>0</v>
      </c>
      <c r="BJ445" s="3">
        <v>0</v>
      </c>
      <c r="BL445" s="3">
        <v>0</v>
      </c>
      <c r="BM445" s="3">
        <v>0</v>
      </c>
      <c r="BO445" s="3">
        <v>0</v>
      </c>
      <c r="BP445" s="3">
        <v>0</v>
      </c>
    </row>
    <row r="446" spans="7:68" x14ac:dyDescent="0.25">
      <c r="G446" s="52"/>
      <c r="BE446" s="3">
        <v>0</v>
      </c>
      <c r="BF446" s="3">
        <v>0</v>
      </c>
      <c r="BI446" s="3">
        <v>0</v>
      </c>
      <c r="BJ446" s="3">
        <v>0</v>
      </c>
      <c r="BL446" s="3">
        <v>0</v>
      </c>
      <c r="BM446" s="3">
        <v>0</v>
      </c>
      <c r="BO446" s="3">
        <v>0</v>
      </c>
      <c r="BP446" s="3">
        <v>0</v>
      </c>
    </row>
    <row r="447" spans="7:68" x14ac:dyDescent="0.25">
      <c r="G447" s="52"/>
      <c r="BE447" s="3">
        <v>0</v>
      </c>
      <c r="BF447" s="3">
        <v>0</v>
      </c>
      <c r="BI447" s="3">
        <v>0</v>
      </c>
      <c r="BJ447" s="3">
        <v>0</v>
      </c>
      <c r="BL447" s="3">
        <v>0</v>
      </c>
      <c r="BM447" s="3">
        <v>0</v>
      </c>
      <c r="BO447" s="3">
        <v>0</v>
      </c>
      <c r="BP447" s="3">
        <v>0</v>
      </c>
    </row>
    <row r="448" spans="7:68" x14ac:dyDescent="0.25">
      <c r="G448" s="52"/>
      <c r="BE448" s="3">
        <v>0</v>
      </c>
      <c r="BF448" s="3">
        <v>0</v>
      </c>
      <c r="BI448" s="3">
        <v>0</v>
      </c>
      <c r="BJ448" s="3">
        <v>0</v>
      </c>
      <c r="BL448" s="3">
        <v>0</v>
      </c>
      <c r="BM448" s="3">
        <v>0</v>
      </c>
      <c r="BO448" s="3">
        <v>0</v>
      </c>
      <c r="BP448" s="3">
        <v>0</v>
      </c>
    </row>
    <row r="449" spans="7:68" x14ac:dyDescent="0.25">
      <c r="G449" s="52"/>
      <c r="BE449" s="3">
        <v>0</v>
      </c>
      <c r="BF449" s="3">
        <v>0</v>
      </c>
      <c r="BI449" s="3">
        <v>0</v>
      </c>
      <c r="BJ449" s="3">
        <v>0</v>
      </c>
      <c r="BL449" s="3">
        <v>0</v>
      </c>
      <c r="BM449" s="3">
        <v>0</v>
      </c>
      <c r="BO449" s="3">
        <v>0</v>
      </c>
      <c r="BP449" s="3">
        <v>0</v>
      </c>
    </row>
    <row r="450" spans="7:68" x14ac:dyDescent="0.25">
      <c r="G450" s="52"/>
      <c r="BE450" s="3">
        <v>0</v>
      </c>
      <c r="BF450" s="3">
        <v>0</v>
      </c>
      <c r="BI450" s="3">
        <v>0</v>
      </c>
      <c r="BJ450" s="3">
        <v>0</v>
      </c>
      <c r="BL450" s="3">
        <v>0</v>
      </c>
      <c r="BM450" s="3">
        <v>0</v>
      </c>
      <c r="BO450" s="3">
        <v>0</v>
      </c>
      <c r="BP450" s="3">
        <v>0</v>
      </c>
    </row>
    <row r="451" spans="7:68" x14ac:dyDescent="0.25">
      <c r="G451" s="52"/>
      <c r="BE451" s="3">
        <v>0</v>
      </c>
      <c r="BF451" s="3">
        <v>0</v>
      </c>
      <c r="BI451" s="3">
        <v>0</v>
      </c>
      <c r="BJ451" s="3">
        <v>0</v>
      </c>
      <c r="BL451" s="3">
        <v>0</v>
      </c>
      <c r="BM451" s="3">
        <v>0</v>
      </c>
      <c r="BO451" s="3">
        <v>0</v>
      </c>
      <c r="BP451" s="3">
        <v>0</v>
      </c>
    </row>
    <row r="452" spans="7:68" x14ac:dyDescent="0.25">
      <c r="G452" s="52"/>
      <c r="BE452" s="3">
        <v>0</v>
      </c>
      <c r="BF452" s="3">
        <v>0</v>
      </c>
      <c r="BI452" s="3">
        <v>0</v>
      </c>
      <c r="BJ452" s="3">
        <v>0</v>
      </c>
      <c r="BL452" s="3">
        <v>0</v>
      </c>
      <c r="BM452" s="3">
        <v>0</v>
      </c>
      <c r="BO452" s="3">
        <v>0</v>
      </c>
      <c r="BP452" s="3">
        <v>0</v>
      </c>
    </row>
    <row r="453" spans="7:68" x14ac:dyDescent="0.25">
      <c r="G453" s="52"/>
      <c r="BE453" s="3">
        <v>0</v>
      </c>
      <c r="BF453" s="3">
        <v>0</v>
      </c>
      <c r="BI453" s="3">
        <v>0</v>
      </c>
      <c r="BJ453" s="3">
        <v>0</v>
      </c>
      <c r="BL453" s="3">
        <v>0</v>
      </c>
      <c r="BM453" s="3">
        <v>0</v>
      </c>
      <c r="BO453" s="3">
        <v>0</v>
      </c>
      <c r="BP453" s="3">
        <v>0</v>
      </c>
    </row>
    <row r="454" spans="7:68" x14ac:dyDescent="0.25">
      <c r="G454" s="52"/>
      <c r="BE454" s="3">
        <v>0</v>
      </c>
      <c r="BF454" s="3">
        <v>0</v>
      </c>
      <c r="BI454" s="3">
        <v>0</v>
      </c>
      <c r="BJ454" s="3">
        <v>0</v>
      </c>
      <c r="BL454" s="3">
        <v>0</v>
      </c>
      <c r="BM454" s="3">
        <v>0</v>
      </c>
      <c r="BO454" s="3">
        <v>0</v>
      </c>
      <c r="BP454" s="3">
        <v>0</v>
      </c>
    </row>
    <row r="455" spans="7:68" x14ac:dyDescent="0.25">
      <c r="G455" s="52"/>
      <c r="BE455" s="3">
        <v>0</v>
      </c>
      <c r="BF455" s="3">
        <v>0</v>
      </c>
      <c r="BI455" s="3">
        <v>0</v>
      </c>
      <c r="BJ455" s="3">
        <v>0</v>
      </c>
      <c r="BL455" s="3">
        <v>0</v>
      </c>
      <c r="BM455" s="3">
        <v>0</v>
      </c>
      <c r="BO455" s="3">
        <v>0</v>
      </c>
      <c r="BP455" s="3">
        <v>0</v>
      </c>
    </row>
    <row r="456" spans="7:68" x14ac:dyDescent="0.25">
      <c r="G456" s="52"/>
      <c r="BE456" s="3">
        <v>0</v>
      </c>
      <c r="BF456" s="3">
        <v>0</v>
      </c>
      <c r="BI456" s="3">
        <v>0</v>
      </c>
      <c r="BJ456" s="3">
        <v>0</v>
      </c>
      <c r="BL456" s="3">
        <v>0</v>
      </c>
      <c r="BM456" s="3">
        <v>0</v>
      </c>
      <c r="BO456" s="3">
        <v>0</v>
      </c>
      <c r="BP456" s="3">
        <v>0</v>
      </c>
    </row>
    <row r="457" spans="7:68" x14ac:dyDescent="0.25">
      <c r="G457" s="52"/>
      <c r="BE457" s="3">
        <v>0</v>
      </c>
      <c r="BF457" s="3">
        <v>0</v>
      </c>
      <c r="BI457" s="3">
        <v>0</v>
      </c>
      <c r="BJ457" s="3">
        <v>0</v>
      </c>
      <c r="BL457" s="3">
        <v>0</v>
      </c>
      <c r="BM457" s="3">
        <v>0</v>
      </c>
      <c r="BO457" s="3">
        <v>0</v>
      </c>
      <c r="BP457" s="3">
        <v>0</v>
      </c>
    </row>
    <row r="458" spans="7:68" x14ac:dyDescent="0.25">
      <c r="G458" s="52"/>
      <c r="BE458" s="3">
        <v>0</v>
      </c>
      <c r="BF458" s="3">
        <v>0</v>
      </c>
      <c r="BI458" s="3">
        <v>0</v>
      </c>
      <c r="BJ458" s="3">
        <v>0</v>
      </c>
      <c r="BL458" s="3">
        <v>0</v>
      </c>
      <c r="BM458" s="3">
        <v>0</v>
      </c>
      <c r="BO458" s="3">
        <v>0</v>
      </c>
      <c r="BP458" s="3">
        <v>0</v>
      </c>
    </row>
    <row r="459" spans="7:68" x14ac:dyDescent="0.25">
      <c r="G459" s="52"/>
      <c r="BE459" s="3">
        <v>0</v>
      </c>
      <c r="BF459" s="3">
        <v>0</v>
      </c>
      <c r="BI459" s="3">
        <v>0</v>
      </c>
      <c r="BJ459" s="3">
        <v>0</v>
      </c>
      <c r="BL459" s="3">
        <v>0</v>
      </c>
      <c r="BM459" s="3">
        <v>0</v>
      </c>
      <c r="BO459" s="3">
        <v>0</v>
      </c>
      <c r="BP459" s="3">
        <v>0</v>
      </c>
    </row>
    <row r="460" spans="7:68" x14ac:dyDescent="0.25">
      <c r="G460" s="52"/>
      <c r="BE460" s="3">
        <v>0</v>
      </c>
      <c r="BF460" s="3">
        <v>0</v>
      </c>
      <c r="BI460" s="3">
        <v>0</v>
      </c>
      <c r="BJ460" s="3">
        <v>0</v>
      </c>
      <c r="BL460" s="3">
        <v>0</v>
      </c>
      <c r="BM460" s="3">
        <v>0</v>
      </c>
      <c r="BO460" s="3">
        <v>0</v>
      </c>
      <c r="BP460" s="3">
        <v>0</v>
      </c>
    </row>
    <row r="461" spans="7:68" x14ac:dyDescent="0.25">
      <c r="G461" s="52"/>
      <c r="BE461" s="3">
        <v>0</v>
      </c>
      <c r="BF461" s="3">
        <v>0</v>
      </c>
      <c r="BI461" s="3">
        <v>0</v>
      </c>
      <c r="BJ461" s="3">
        <v>0</v>
      </c>
      <c r="BL461" s="3">
        <v>0</v>
      </c>
      <c r="BM461" s="3">
        <v>0</v>
      </c>
      <c r="BO461" s="3">
        <v>0</v>
      </c>
      <c r="BP461" s="3">
        <v>0</v>
      </c>
    </row>
    <row r="462" spans="7:68" x14ac:dyDescent="0.25">
      <c r="G462" s="52"/>
      <c r="BE462" s="3">
        <v>0</v>
      </c>
      <c r="BF462" s="3">
        <v>0</v>
      </c>
      <c r="BI462" s="3">
        <v>0</v>
      </c>
      <c r="BJ462" s="3">
        <v>0</v>
      </c>
      <c r="BL462" s="3">
        <v>0</v>
      </c>
      <c r="BM462" s="3">
        <v>0</v>
      </c>
      <c r="BO462" s="3">
        <v>0</v>
      </c>
      <c r="BP462" s="3">
        <v>0</v>
      </c>
    </row>
    <row r="463" spans="7:68" x14ac:dyDescent="0.25">
      <c r="G463" s="52"/>
      <c r="BE463" s="3">
        <v>0</v>
      </c>
      <c r="BF463" s="3">
        <v>0</v>
      </c>
      <c r="BI463" s="3">
        <v>0</v>
      </c>
      <c r="BJ463" s="3">
        <v>0</v>
      </c>
      <c r="BL463" s="3">
        <v>0</v>
      </c>
      <c r="BM463" s="3">
        <v>0</v>
      </c>
      <c r="BO463" s="3">
        <v>0</v>
      </c>
      <c r="BP463" s="3">
        <v>0</v>
      </c>
    </row>
    <row r="464" spans="7:68" x14ac:dyDescent="0.25">
      <c r="G464" s="52"/>
      <c r="BE464" s="3">
        <v>0</v>
      </c>
      <c r="BF464" s="3">
        <v>0</v>
      </c>
      <c r="BI464" s="3">
        <v>0</v>
      </c>
      <c r="BJ464" s="3">
        <v>0</v>
      </c>
      <c r="BL464" s="3">
        <v>0</v>
      </c>
      <c r="BM464" s="3">
        <v>0</v>
      </c>
      <c r="BO464" s="3">
        <v>0</v>
      </c>
      <c r="BP464" s="3">
        <v>0</v>
      </c>
    </row>
    <row r="465" spans="7:68" x14ac:dyDescent="0.25">
      <c r="G465" s="52"/>
      <c r="BE465" s="3">
        <v>0</v>
      </c>
      <c r="BF465" s="3">
        <v>0</v>
      </c>
      <c r="BI465" s="3">
        <v>0</v>
      </c>
      <c r="BJ465" s="3">
        <v>0</v>
      </c>
      <c r="BL465" s="3">
        <v>0</v>
      </c>
      <c r="BM465" s="3">
        <v>0</v>
      </c>
      <c r="BO465" s="3">
        <v>0</v>
      </c>
      <c r="BP465" s="3">
        <v>0</v>
      </c>
    </row>
    <row r="466" spans="7:68" x14ac:dyDescent="0.25">
      <c r="G466" s="52"/>
      <c r="BE466" s="3">
        <v>0</v>
      </c>
      <c r="BF466" s="3">
        <v>0</v>
      </c>
      <c r="BI466" s="3">
        <v>0</v>
      </c>
      <c r="BJ466" s="3">
        <v>0</v>
      </c>
      <c r="BL466" s="3">
        <v>0</v>
      </c>
      <c r="BM466" s="3">
        <v>0</v>
      </c>
      <c r="BO466" s="3">
        <v>0</v>
      </c>
      <c r="BP466" s="3">
        <v>0</v>
      </c>
    </row>
    <row r="467" spans="7:68" x14ac:dyDescent="0.25">
      <c r="G467" s="52"/>
      <c r="BE467" s="3">
        <v>0</v>
      </c>
      <c r="BF467" s="3">
        <v>0</v>
      </c>
      <c r="BI467" s="3">
        <v>0</v>
      </c>
      <c r="BJ467" s="3">
        <v>0</v>
      </c>
      <c r="BL467" s="3">
        <v>0</v>
      </c>
      <c r="BM467" s="3">
        <v>0</v>
      </c>
      <c r="BO467" s="3">
        <v>0</v>
      </c>
      <c r="BP467" s="3">
        <v>0</v>
      </c>
    </row>
    <row r="468" spans="7:68" x14ac:dyDescent="0.25">
      <c r="G468" s="52"/>
      <c r="BE468" s="3">
        <v>0</v>
      </c>
      <c r="BF468" s="3">
        <v>0</v>
      </c>
      <c r="BI468" s="3">
        <v>0</v>
      </c>
      <c r="BJ468" s="3">
        <v>0</v>
      </c>
      <c r="BL468" s="3">
        <v>0</v>
      </c>
      <c r="BM468" s="3">
        <v>0</v>
      </c>
      <c r="BO468" s="3">
        <v>0</v>
      </c>
      <c r="BP468" s="3">
        <v>0</v>
      </c>
    </row>
    <row r="469" spans="7:68" x14ac:dyDescent="0.25">
      <c r="G469" s="52"/>
      <c r="BI469" s="3">
        <v>0</v>
      </c>
      <c r="BJ469" s="3">
        <v>0</v>
      </c>
      <c r="BL469" s="3">
        <v>0</v>
      </c>
      <c r="BM469" s="3">
        <v>0</v>
      </c>
    </row>
    <row r="470" spans="7:68" x14ac:dyDescent="0.25">
      <c r="G470" s="52"/>
      <c r="BI470" s="3">
        <v>0</v>
      </c>
      <c r="BJ470" s="3">
        <v>0</v>
      </c>
      <c r="BL470" s="3">
        <v>0</v>
      </c>
      <c r="BM470" s="3">
        <v>0</v>
      </c>
    </row>
    <row r="471" spans="7:68" x14ac:dyDescent="0.25">
      <c r="G471" s="52"/>
      <c r="BI471" s="3">
        <v>0</v>
      </c>
      <c r="BJ471" s="3">
        <v>0</v>
      </c>
      <c r="BL471" s="3">
        <v>0</v>
      </c>
      <c r="BM471" s="3">
        <v>0</v>
      </c>
    </row>
    <row r="472" spans="7:68" x14ac:dyDescent="0.25">
      <c r="G472" s="52"/>
      <c r="BI472" s="3">
        <v>0</v>
      </c>
      <c r="BJ472" s="3">
        <v>0</v>
      </c>
      <c r="BL472" s="3">
        <v>0</v>
      </c>
      <c r="BM472" s="3">
        <v>0</v>
      </c>
    </row>
    <row r="473" spans="7:68" x14ac:dyDescent="0.25">
      <c r="G473" s="52"/>
      <c r="BI473" s="3">
        <v>0</v>
      </c>
      <c r="BJ473" s="3">
        <v>0</v>
      </c>
      <c r="BL473" s="3">
        <v>0</v>
      </c>
      <c r="BM473" s="3">
        <v>0</v>
      </c>
    </row>
    <row r="474" spans="7:68" x14ac:dyDescent="0.25">
      <c r="G474" s="52"/>
      <c r="BI474" s="3">
        <v>0</v>
      </c>
      <c r="BJ474" s="3">
        <v>0</v>
      </c>
      <c r="BL474" s="3">
        <v>0</v>
      </c>
      <c r="BM474" s="3">
        <v>0</v>
      </c>
    </row>
    <row r="475" spans="7:68" x14ac:dyDescent="0.25">
      <c r="G475" s="52"/>
      <c r="BI475" s="3">
        <v>0</v>
      </c>
      <c r="BJ475" s="3">
        <v>0</v>
      </c>
      <c r="BL475" s="3">
        <v>0</v>
      </c>
      <c r="BM475" s="3">
        <v>0</v>
      </c>
    </row>
    <row r="476" spans="7:68" x14ac:dyDescent="0.25">
      <c r="G476" s="52"/>
      <c r="BI476" s="3">
        <v>0</v>
      </c>
      <c r="BJ476" s="3">
        <v>0</v>
      </c>
      <c r="BL476" s="3">
        <v>0</v>
      </c>
      <c r="BM476" s="3">
        <v>0</v>
      </c>
    </row>
    <row r="477" spans="7:68" x14ac:dyDescent="0.25">
      <c r="G477" s="52"/>
      <c r="BI477" s="3">
        <v>0</v>
      </c>
      <c r="BJ477" s="3">
        <v>0</v>
      </c>
      <c r="BL477" s="3">
        <v>0</v>
      </c>
      <c r="BM477" s="3">
        <v>0</v>
      </c>
    </row>
    <row r="478" spans="7:68" x14ac:dyDescent="0.25">
      <c r="G478" s="52"/>
      <c r="BI478" s="3">
        <v>0</v>
      </c>
      <c r="BJ478" s="3">
        <v>0</v>
      </c>
      <c r="BL478" s="3">
        <v>0</v>
      </c>
      <c r="BM478" s="3">
        <v>0</v>
      </c>
    </row>
    <row r="479" spans="7:68" x14ac:dyDescent="0.25">
      <c r="G479" s="52"/>
      <c r="BI479" s="3">
        <v>0</v>
      </c>
      <c r="BJ479" s="3">
        <v>0</v>
      </c>
      <c r="BL479" s="3">
        <v>0</v>
      </c>
      <c r="BM479" s="3">
        <v>0</v>
      </c>
    </row>
    <row r="480" spans="7:68" x14ac:dyDescent="0.25">
      <c r="G480" s="52"/>
      <c r="BI480" s="3">
        <v>0</v>
      </c>
      <c r="BJ480" s="3">
        <v>0</v>
      </c>
      <c r="BL480" s="3">
        <v>0</v>
      </c>
      <c r="BM480" s="3">
        <v>0</v>
      </c>
    </row>
    <row r="481" spans="7:65" x14ac:dyDescent="0.25">
      <c r="G481" s="52"/>
      <c r="BI481" s="3">
        <v>0</v>
      </c>
      <c r="BJ481" s="3">
        <v>0</v>
      </c>
      <c r="BL481" s="3">
        <v>0</v>
      </c>
      <c r="BM481" s="3">
        <v>0</v>
      </c>
    </row>
    <row r="482" spans="7:65" x14ac:dyDescent="0.25">
      <c r="G482" s="52"/>
      <c r="BI482" s="3">
        <v>0</v>
      </c>
      <c r="BJ482" s="3">
        <v>0</v>
      </c>
      <c r="BL482" s="3">
        <v>0</v>
      </c>
      <c r="BM482" s="3">
        <v>0</v>
      </c>
    </row>
    <row r="483" spans="7:65" x14ac:dyDescent="0.25">
      <c r="G483" s="52"/>
      <c r="BI483" s="3">
        <v>0</v>
      </c>
      <c r="BJ483" s="3">
        <v>0</v>
      </c>
      <c r="BL483" s="3">
        <v>0</v>
      </c>
      <c r="BM483" s="3">
        <v>0</v>
      </c>
    </row>
    <row r="484" spans="7:65" x14ac:dyDescent="0.25">
      <c r="G484" s="52"/>
      <c r="BI484" s="3">
        <v>0</v>
      </c>
      <c r="BJ484" s="3">
        <v>0</v>
      </c>
      <c r="BL484" s="3">
        <v>0</v>
      </c>
      <c r="BM484" s="3">
        <v>0</v>
      </c>
    </row>
    <row r="485" spans="7:65" x14ac:dyDescent="0.25">
      <c r="G485" s="52"/>
      <c r="BI485" s="3">
        <v>0</v>
      </c>
      <c r="BJ485" s="3">
        <v>0</v>
      </c>
      <c r="BL485" s="3">
        <v>0</v>
      </c>
      <c r="BM485" s="3">
        <v>0</v>
      </c>
    </row>
    <row r="486" spans="7:65" x14ac:dyDescent="0.25">
      <c r="G486" s="52"/>
      <c r="BI486" s="3">
        <v>0</v>
      </c>
      <c r="BJ486" s="3">
        <v>0</v>
      </c>
      <c r="BL486" s="3">
        <v>0</v>
      </c>
      <c r="BM486" s="3">
        <v>0</v>
      </c>
    </row>
    <row r="487" spans="7:65" x14ac:dyDescent="0.25">
      <c r="G487" s="52"/>
      <c r="BI487" s="3">
        <v>0</v>
      </c>
      <c r="BJ487" s="3">
        <v>0</v>
      </c>
      <c r="BL487" s="3">
        <v>0</v>
      </c>
      <c r="BM487" s="3">
        <v>0</v>
      </c>
    </row>
    <row r="488" spans="7:65" x14ac:dyDescent="0.25">
      <c r="G488" s="52"/>
      <c r="BI488" s="3">
        <v>0</v>
      </c>
      <c r="BJ488" s="3">
        <v>0</v>
      </c>
      <c r="BL488" s="3">
        <v>0</v>
      </c>
      <c r="BM488" s="3">
        <v>0</v>
      </c>
    </row>
    <row r="489" spans="7:65" x14ac:dyDescent="0.25">
      <c r="G489" s="52"/>
      <c r="BI489" s="3">
        <v>0</v>
      </c>
      <c r="BJ489" s="3">
        <v>0</v>
      </c>
      <c r="BL489" s="3">
        <v>0</v>
      </c>
      <c r="BM489" s="3">
        <v>0</v>
      </c>
    </row>
    <row r="490" spans="7:65" x14ac:dyDescent="0.25">
      <c r="G490" s="52"/>
      <c r="BI490" s="3">
        <v>0</v>
      </c>
      <c r="BJ490" s="3">
        <v>0</v>
      </c>
      <c r="BL490" s="3">
        <v>0</v>
      </c>
      <c r="BM490" s="3">
        <v>0</v>
      </c>
    </row>
    <row r="491" spans="7:65" x14ac:dyDescent="0.25">
      <c r="G491" s="52"/>
      <c r="BI491" s="3">
        <v>0</v>
      </c>
      <c r="BJ491" s="3">
        <v>0</v>
      </c>
      <c r="BL491" s="3">
        <v>0</v>
      </c>
      <c r="BM491" s="3">
        <v>0</v>
      </c>
    </row>
    <row r="492" spans="7:65" x14ac:dyDescent="0.25">
      <c r="G492" s="52"/>
      <c r="BI492" s="3">
        <v>0</v>
      </c>
      <c r="BJ492" s="3">
        <v>0</v>
      </c>
      <c r="BL492" s="3">
        <v>0</v>
      </c>
      <c r="BM492" s="3">
        <v>0</v>
      </c>
    </row>
    <row r="493" spans="7:65" x14ac:dyDescent="0.25">
      <c r="G493" s="52"/>
      <c r="BI493" s="3">
        <v>0</v>
      </c>
      <c r="BJ493" s="3">
        <v>0</v>
      </c>
      <c r="BL493" s="3">
        <v>0</v>
      </c>
      <c r="BM493" s="3">
        <v>0</v>
      </c>
    </row>
    <row r="494" spans="7:65" x14ac:dyDescent="0.25">
      <c r="G494" s="52"/>
      <c r="BI494" s="3">
        <v>0</v>
      </c>
      <c r="BJ494" s="3">
        <v>0</v>
      </c>
      <c r="BL494" s="3">
        <v>0</v>
      </c>
      <c r="BM494" s="3">
        <v>0</v>
      </c>
    </row>
    <row r="495" spans="7:65" x14ac:dyDescent="0.25">
      <c r="G495" s="52"/>
      <c r="BI495" s="3">
        <v>0</v>
      </c>
      <c r="BJ495" s="3">
        <v>0</v>
      </c>
      <c r="BL495" s="3">
        <v>0</v>
      </c>
      <c r="BM495" s="3">
        <v>0</v>
      </c>
    </row>
    <row r="496" spans="7:65" x14ac:dyDescent="0.25">
      <c r="G496" s="52"/>
      <c r="BI496" s="3">
        <v>0</v>
      </c>
      <c r="BJ496" s="3">
        <v>0</v>
      </c>
      <c r="BL496" s="3">
        <v>0</v>
      </c>
      <c r="BM496" s="3">
        <v>0</v>
      </c>
    </row>
    <row r="497" spans="7:65" x14ac:dyDescent="0.25">
      <c r="G497" s="52"/>
      <c r="BI497" s="3">
        <v>0</v>
      </c>
      <c r="BJ497" s="3">
        <v>0</v>
      </c>
      <c r="BL497" s="3">
        <v>0</v>
      </c>
      <c r="BM497" s="3">
        <v>0</v>
      </c>
    </row>
    <row r="498" spans="7:65" x14ac:dyDescent="0.25">
      <c r="G498" s="52"/>
      <c r="BI498" s="3">
        <v>0</v>
      </c>
      <c r="BJ498" s="3">
        <v>0</v>
      </c>
      <c r="BL498" s="3">
        <v>0</v>
      </c>
      <c r="BM498" s="3">
        <v>0</v>
      </c>
    </row>
    <row r="499" spans="7:65" x14ac:dyDescent="0.25">
      <c r="G499" s="52"/>
      <c r="BI499" s="3">
        <v>0</v>
      </c>
      <c r="BJ499" s="3">
        <v>0</v>
      </c>
      <c r="BL499" s="3">
        <v>0</v>
      </c>
      <c r="BM499" s="3">
        <v>0</v>
      </c>
    </row>
    <row r="500" spans="7:65" x14ac:dyDescent="0.25">
      <c r="G500" s="52"/>
      <c r="BI500" s="3">
        <v>0</v>
      </c>
      <c r="BJ500" s="3">
        <v>0</v>
      </c>
      <c r="BL500" s="3">
        <v>0</v>
      </c>
      <c r="BM500" s="3">
        <v>0</v>
      </c>
    </row>
    <row r="501" spans="7:65" x14ac:dyDescent="0.25">
      <c r="G501" s="52"/>
      <c r="BI501" s="3">
        <v>0</v>
      </c>
      <c r="BJ501" s="3">
        <v>0</v>
      </c>
      <c r="BL501" s="3">
        <v>0</v>
      </c>
      <c r="BM501" s="3">
        <v>0</v>
      </c>
    </row>
    <row r="502" spans="7:65" x14ac:dyDescent="0.25">
      <c r="G502" s="52"/>
      <c r="BI502" s="3">
        <v>0</v>
      </c>
      <c r="BJ502" s="3">
        <v>0</v>
      </c>
      <c r="BL502" s="3">
        <v>0</v>
      </c>
      <c r="BM502" s="3">
        <v>0</v>
      </c>
    </row>
    <row r="503" spans="7:65" x14ac:dyDescent="0.25">
      <c r="G503" s="52"/>
      <c r="BI503" s="3">
        <v>0</v>
      </c>
      <c r="BJ503" s="3">
        <v>0</v>
      </c>
      <c r="BL503" s="3">
        <v>0</v>
      </c>
      <c r="BM503" s="3">
        <v>0</v>
      </c>
    </row>
    <row r="504" spans="7:65" x14ac:dyDescent="0.25">
      <c r="G504" s="52"/>
      <c r="BI504" s="3">
        <v>0</v>
      </c>
      <c r="BJ504" s="3">
        <v>0</v>
      </c>
      <c r="BL504" s="3">
        <v>0</v>
      </c>
      <c r="BM504" s="3">
        <v>0</v>
      </c>
    </row>
    <row r="505" spans="7:65" x14ac:dyDescent="0.25">
      <c r="G505" s="52"/>
      <c r="BI505" s="3">
        <v>0</v>
      </c>
      <c r="BJ505" s="3">
        <v>0</v>
      </c>
      <c r="BL505" s="3">
        <v>0</v>
      </c>
      <c r="BM505" s="3">
        <v>0</v>
      </c>
    </row>
    <row r="506" spans="7:65" x14ac:dyDescent="0.25">
      <c r="G506" s="52"/>
      <c r="BI506" s="3">
        <v>0</v>
      </c>
      <c r="BJ506" s="3">
        <v>0</v>
      </c>
      <c r="BL506" s="3">
        <v>0</v>
      </c>
      <c r="BM506" s="3">
        <v>0</v>
      </c>
    </row>
    <row r="507" spans="7:65" x14ac:dyDescent="0.25">
      <c r="G507" s="52"/>
      <c r="BI507" s="3">
        <v>0</v>
      </c>
      <c r="BJ507" s="3">
        <v>0</v>
      </c>
      <c r="BL507" s="3">
        <v>0</v>
      </c>
      <c r="BM507" s="3">
        <v>0</v>
      </c>
    </row>
    <row r="508" spans="7:65" x14ac:dyDescent="0.25">
      <c r="G508" s="52"/>
      <c r="BI508" s="3">
        <v>0</v>
      </c>
      <c r="BJ508" s="3">
        <v>0</v>
      </c>
      <c r="BL508" s="3">
        <v>0</v>
      </c>
      <c r="BM508" s="3">
        <v>0</v>
      </c>
    </row>
    <row r="509" spans="7:65" x14ac:dyDescent="0.25">
      <c r="G509" s="52"/>
      <c r="BI509" s="3">
        <v>0</v>
      </c>
      <c r="BJ509" s="3">
        <v>0</v>
      </c>
      <c r="BL509" s="3">
        <v>0</v>
      </c>
      <c r="BM509" s="3">
        <v>0</v>
      </c>
    </row>
    <row r="510" spans="7:65" x14ac:dyDescent="0.25">
      <c r="G510" s="52"/>
      <c r="BI510" s="3">
        <v>0</v>
      </c>
      <c r="BJ510" s="3">
        <v>0</v>
      </c>
      <c r="BL510" s="3">
        <v>0</v>
      </c>
      <c r="BM510" s="3">
        <v>0</v>
      </c>
    </row>
    <row r="511" spans="7:65" x14ac:dyDescent="0.25">
      <c r="G511" s="52"/>
      <c r="BI511" s="3">
        <v>0</v>
      </c>
      <c r="BJ511" s="3">
        <v>0</v>
      </c>
      <c r="BL511" s="3">
        <v>0</v>
      </c>
      <c r="BM511" s="3">
        <v>0</v>
      </c>
    </row>
    <row r="512" spans="7:65" x14ac:dyDescent="0.25">
      <c r="G512" s="52"/>
      <c r="BI512" s="3">
        <v>0</v>
      </c>
      <c r="BJ512" s="3">
        <v>0</v>
      </c>
      <c r="BL512" s="3">
        <v>0</v>
      </c>
      <c r="BM512" s="3">
        <v>0</v>
      </c>
    </row>
    <row r="513" spans="7:65" x14ac:dyDescent="0.25">
      <c r="G513" s="52"/>
      <c r="BI513" s="3">
        <v>0</v>
      </c>
      <c r="BJ513" s="3">
        <v>0</v>
      </c>
      <c r="BL513" s="3">
        <v>0</v>
      </c>
      <c r="BM513" s="3">
        <v>0</v>
      </c>
    </row>
    <row r="514" spans="7:65" x14ac:dyDescent="0.25">
      <c r="G514" s="52"/>
      <c r="BI514" s="3">
        <v>0</v>
      </c>
      <c r="BJ514" s="3">
        <v>0</v>
      </c>
      <c r="BL514" s="3">
        <v>0</v>
      </c>
      <c r="BM514" s="3">
        <v>0</v>
      </c>
    </row>
    <row r="515" spans="7:65" x14ac:dyDescent="0.25">
      <c r="G515" s="52"/>
      <c r="BI515" s="3">
        <v>0</v>
      </c>
      <c r="BJ515" s="3">
        <v>0</v>
      </c>
      <c r="BL515" s="3">
        <v>0</v>
      </c>
      <c r="BM515" s="3">
        <v>0</v>
      </c>
    </row>
    <row r="516" spans="7:65" x14ac:dyDescent="0.25">
      <c r="G516" s="52"/>
      <c r="BI516" s="3">
        <v>0</v>
      </c>
      <c r="BJ516" s="3">
        <v>0</v>
      </c>
      <c r="BL516" s="3">
        <v>0</v>
      </c>
      <c r="BM516" s="3">
        <v>0</v>
      </c>
    </row>
    <row r="517" spans="7:65" x14ac:dyDescent="0.25">
      <c r="G517" s="52"/>
      <c r="BI517" s="3">
        <v>0</v>
      </c>
      <c r="BJ517" s="3">
        <v>0</v>
      </c>
      <c r="BL517" s="3">
        <v>0</v>
      </c>
      <c r="BM517" s="3">
        <v>0</v>
      </c>
    </row>
    <row r="518" spans="7:65" x14ac:dyDescent="0.25">
      <c r="G518" s="52"/>
      <c r="BI518" s="3">
        <v>0</v>
      </c>
      <c r="BJ518" s="3">
        <v>0</v>
      </c>
      <c r="BL518" s="3">
        <v>0</v>
      </c>
      <c r="BM518" s="3">
        <v>0</v>
      </c>
    </row>
    <row r="519" spans="7:65" x14ac:dyDescent="0.25">
      <c r="G519" s="52"/>
      <c r="BI519" s="3">
        <v>0</v>
      </c>
      <c r="BJ519" s="3">
        <v>0</v>
      </c>
      <c r="BL519" s="3">
        <v>0</v>
      </c>
      <c r="BM519" s="3">
        <v>0</v>
      </c>
    </row>
    <row r="520" spans="7:65" x14ac:dyDescent="0.25">
      <c r="G520" s="52"/>
      <c r="BI520" s="3">
        <v>0</v>
      </c>
      <c r="BJ520" s="3">
        <v>0</v>
      </c>
      <c r="BL520" s="3">
        <v>0</v>
      </c>
      <c r="BM520" s="3">
        <v>0</v>
      </c>
    </row>
    <row r="521" spans="7:65" x14ac:dyDescent="0.25">
      <c r="G521" s="52"/>
      <c r="BI521" s="3">
        <v>0</v>
      </c>
      <c r="BJ521" s="3">
        <v>0</v>
      </c>
      <c r="BL521" s="3">
        <v>0</v>
      </c>
      <c r="BM521" s="3">
        <v>0</v>
      </c>
    </row>
    <row r="522" spans="7:65" x14ac:dyDescent="0.25">
      <c r="G522" s="52"/>
      <c r="BI522" s="3">
        <v>0</v>
      </c>
      <c r="BJ522" s="3">
        <v>0</v>
      </c>
      <c r="BL522" s="3">
        <v>0</v>
      </c>
      <c r="BM522" s="3">
        <v>0</v>
      </c>
    </row>
    <row r="523" spans="7:65" x14ac:dyDescent="0.25">
      <c r="G523" s="52"/>
      <c r="BI523" s="3">
        <v>0</v>
      </c>
      <c r="BJ523" s="3">
        <v>0</v>
      </c>
      <c r="BL523" s="3">
        <v>0</v>
      </c>
      <c r="BM523" s="3">
        <v>0</v>
      </c>
    </row>
    <row r="524" spans="7:65" x14ac:dyDescent="0.25">
      <c r="G524" s="52"/>
      <c r="BI524" s="3">
        <v>0</v>
      </c>
      <c r="BJ524" s="3">
        <v>0</v>
      </c>
      <c r="BL524" s="3">
        <v>0</v>
      </c>
      <c r="BM524" s="3">
        <v>0</v>
      </c>
    </row>
    <row r="525" spans="7:65" x14ac:dyDescent="0.25">
      <c r="G525" s="52"/>
      <c r="BI525" s="3">
        <v>0</v>
      </c>
      <c r="BJ525" s="3">
        <v>0</v>
      </c>
      <c r="BL525" s="3">
        <v>0</v>
      </c>
      <c r="BM525" s="3">
        <v>0</v>
      </c>
    </row>
    <row r="526" spans="7:65" x14ac:dyDescent="0.25">
      <c r="G526" s="52"/>
      <c r="BI526" s="3">
        <v>0</v>
      </c>
      <c r="BJ526" s="3">
        <v>0</v>
      </c>
      <c r="BL526" s="3">
        <v>0</v>
      </c>
      <c r="BM526" s="3">
        <v>0</v>
      </c>
    </row>
    <row r="527" spans="7:65" x14ac:dyDescent="0.25">
      <c r="G527" s="52"/>
      <c r="BI527" s="3">
        <v>0</v>
      </c>
      <c r="BJ527" s="3">
        <v>0</v>
      </c>
      <c r="BL527" s="3">
        <v>0</v>
      </c>
      <c r="BM527" s="3">
        <v>0</v>
      </c>
    </row>
    <row r="528" spans="7:65" x14ac:dyDescent="0.25">
      <c r="G528" s="52"/>
      <c r="BI528" s="3">
        <v>0</v>
      </c>
      <c r="BJ528" s="3">
        <v>0</v>
      </c>
      <c r="BL528" s="3">
        <v>0</v>
      </c>
      <c r="BM528" s="3">
        <v>0</v>
      </c>
    </row>
    <row r="529" spans="7:65" x14ac:dyDescent="0.25">
      <c r="G529" s="52"/>
      <c r="BI529" s="3">
        <v>0</v>
      </c>
      <c r="BJ529" s="3">
        <v>0</v>
      </c>
      <c r="BL529" s="3">
        <v>0</v>
      </c>
      <c r="BM529" s="3">
        <v>0</v>
      </c>
    </row>
    <row r="530" spans="7:65" x14ac:dyDescent="0.25">
      <c r="G530" s="52"/>
      <c r="BI530" s="3">
        <v>0</v>
      </c>
      <c r="BJ530" s="3">
        <v>0</v>
      </c>
      <c r="BL530" s="3">
        <v>0</v>
      </c>
      <c r="BM530" s="3">
        <v>0</v>
      </c>
    </row>
    <row r="531" spans="7:65" x14ac:dyDescent="0.25">
      <c r="G531" s="52"/>
      <c r="BI531" s="3">
        <v>0</v>
      </c>
      <c r="BJ531" s="3">
        <v>0</v>
      </c>
      <c r="BL531" s="3">
        <v>0</v>
      </c>
      <c r="BM531" s="3">
        <v>0</v>
      </c>
    </row>
    <row r="532" spans="7:65" x14ac:dyDescent="0.25">
      <c r="G532" s="52"/>
      <c r="BI532" s="3">
        <v>0</v>
      </c>
      <c r="BJ532" s="3">
        <v>0</v>
      </c>
      <c r="BL532" s="3">
        <v>0</v>
      </c>
      <c r="BM532" s="3">
        <v>0</v>
      </c>
    </row>
    <row r="533" spans="7:65" x14ac:dyDescent="0.25">
      <c r="G533" s="52"/>
      <c r="BI533" s="3">
        <v>0</v>
      </c>
      <c r="BJ533" s="3">
        <v>0</v>
      </c>
      <c r="BL533" s="3">
        <v>0</v>
      </c>
      <c r="BM533" s="3">
        <v>0</v>
      </c>
    </row>
    <row r="534" spans="7:65" x14ac:dyDescent="0.25">
      <c r="G534" s="52"/>
      <c r="BI534" s="3">
        <v>0</v>
      </c>
      <c r="BJ534" s="3">
        <v>0</v>
      </c>
      <c r="BL534" s="3">
        <v>0</v>
      </c>
      <c r="BM534" s="3">
        <v>0</v>
      </c>
    </row>
    <row r="535" spans="7:65" x14ac:dyDescent="0.25">
      <c r="G535" s="52"/>
      <c r="BI535" s="3">
        <v>0</v>
      </c>
      <c r="BJ535" s="3">
        <v>0</v>
      </c>
      <c r="BL535" s="3">
        <v>0</v>
      </c>
      <c r="BM535" s="3">
        <v>0</v>
      </c>
    </row>
    <row r="536" spans="7:65" x14ac:dyDescent="0.25">
      <c r="G536" s="52"/>
      <c r="BI536" s="3">
        <v>0</v>
      </c>
      <c r="BJ536" s="3">
        <v>0</v>
      </c>
      <c r="BL536" s="3">
        <v>0</v>
      </c>
      <c r="BM536" s="3">
        <v>0</v>
      </c>
    </row>
    <row r="537" spans="7:65" x14ac:dyDescent="0.25">
      <c r="G537" s="52"/>
      <c r="BI537" s="3">
        <v>0</v>
      </c>
      <c r="BJ537" s="3">
        <v>0</v>
      </c>
      <c r="BL537" s="3">
        <v>0</v>
      </c>
      <c r="BM537" s="3">
        <v>0</v>
      </c>
    </row>
    <row r="538" spans="7:65" x14ac:dyDescent="0.25">
      <c r="G538" s="52"/>
      <c r="BI538" s="3">
        <v>0</v>
      </c>
      <c r="BJ538" s="3">
        <v>0</v>
      </c>
      <c r="BL538" s="3">
        <v>0</v>
      </c>
      <c r="BM538" s="3">
        <v>0</v>
      </c>
    </row>
    <row r="539" spans="7:65" x14ac:dyDescent="0.25">
      <c r="G539" s="52"/>
      <c r="BI539" s="3">
        <v>0</v>
      </c>
      <c r="BJ539" s="3">
        <v>0</v>
      </c>
      <c r="BL539" s="3">
        <v>0</v>
      </c>
      <c r="BM539" s="3">
        <v>0</v>
      </c>
    </row>
    <row r="540" spans="7:65" x14ac:dyDescent="0.25">
      <c r="G540" s="52"/>
      <c r="BI540" s="3">
        <v>0</v>
      </c>
      <c r="BJ540" s="3">
        <v>0</v>
      </c>
      <c r="BL540" s="3">
        <v>0</v>
      </c>
      <c r="BM540" s="3">
        <v>0</v>
      </c>
    </row>
    <row r="541" spans="7:65" x14ac:dyDescent="0.25">
      <c r="G541" s="52"/>
      <c r="BI541" s="3">
        <v>0</v>
      </c>
      <c r="BJ541" s="3">
        <v>0</v>
      </c>
      <c r="BL541" s="3">
        <v>0</v>
      </c>
      <c r="BM541" s="3">
        <v>0</v>
      </c>
    </row>
    <row r="542" spans="7:65" x14ac:dyDescent="0.25">
      <c r="G542" s="52"/>
      <c r="BI542" s="3">
        <v>0</v>
      </c>
      <c r="BJ542" s="3">
        <v>0</v>
      </c>
      <c r="BL542" s="3">
        <v>0</v>
      </c>
      <c r="BM542" s="3">
        <v>0</v>
      </c>
    </row>
    <row r="543" spans="7:65" x14ac:dyDescent="0.25">
      <c r="G543" s="52"/>
      <c r="BI543" s="3">
        <v>0</v>
      </c>
      <c r="BJ543" s="3">
        <v>0</v>
      </c>
      <c r="BL543" s="3">
        <v>0</v>
      </c>
      <c r="BM543" s="3">
        <v>0</v>
      </c>
    </row>
    <row r="544" spans="7:65" x14ac:dyDescent="0.25">
      <c r="G544" s="52"/>
      <c r="BI544" s="3">
        <v>0</v>
      </c>
      <c r="BJ544" s="3">
        <v>0</v>
      </c>
      <c r="BL544" s="3">
        <v>0</v>
      </c>
      <c r="BM544" s="3">
        <v>0</v>
      </c>
    </row>
    <row r="545" spans="7:65" x14ac:dyDescent="0.25">
      <c r="G545" s="52"/>
      <c r="BI545" s="3">
        <v>0</v>
      </c>
      <c r="BJ545" s="3">
        <v>0</v>
      </c>
      <c r="BL545" s="3">
        <v>0</v>
      </c>
      <c r="BM545" s="3">
        <v>0</v>
      </c>
    </row>
    <row r="546" spans="7:65" x14ac:dyDescent="0.25">
      <c r="G546" s="52"/>
      <c r="BI546" s="3">
        <v>0</v>
      </c>
      <c r="BJ546" s="3">
        <v>0</v>
      </c>
      <c r="BL546" s="3">
        <v>0</v>
      </c>
      <c r="BM546" s="3">
        <v>0</v>
      </c>
    </row>
    <row r="547" spans="7:65" x14ac:dyDescent="0.25">
      <c r="G547" s="52"/>
      <c r="BI547" s="3">
        <v>0</v>
      </c>
      <c r="BJ547" s="3">
        <v>0</v>
      </c>
      <c r="BL547" s="3">
        <v>0</v>
      </c>
      <c r="BM547" s="3">
        <v>0</v>
      </c>
    </row>
    <row r="548" spans="7:65" x14ac:dyDescent="0.25">
      <c r="G548" s="52"/>
      <c r="BI548" s="3">
        <v>0</v>
      </c>
      <c r="BJ548" s="3">
        <v>0</v>
      </c>
      <c r="BL548" s="3">
        <v>0</v>
      </c>
      <c r="BM548" s="3">
        <v>0</v>
      </c>
    </row>
    <row r="549" spans="7:65" x14ac:dyDescent="0.25">
      <c r="G549" s="52"/>
      <c r="BI549" s="3">
        <v>0</v>
      </c>
      <c r="BJ549" s="3">
        <v>0</v>
      </c>
      <c r="BL549" s="3">
        <v>0</v>
      </c>
      <c r="BM549" s="3">
        <v>0</v>
      </c>
    </row>
    <row r="550" spans="7:65" x14ac:dyDescent="0.25">
      <c r="G550" s="52"/>
      <c r="BI550" s="3">
        <v>0</v>
      </c>
      <c r="BJ550" s="3">
        <v>0</v>
      </c>
      <c r="BL550" s="3">
        <v>0</v>
      </c>
      <c r="BM550" s="3">
        <v>0</v>
      </c>
    </row>
    <row r="551" spans="7:65" x14ac:dyDescent="0.25">
      <c r="G551" s="52"/>
      <c r="BI551" s="3">
        <v>0</v>
      </c>
      <c r="BJ551" s="3">
        <v>0</v>
      </c>
      <c r="BL551" s="3">
        <v>0</v>
      </c>
      <c r="BM551" s="3">
        <v>0</v>
      </c>
    </row>
    <row r="552" spans="7:65" x14ac:dyDescent="0.25">
      <c r="G552" s="52"/>
      <c r="BI552" s="3">
        <v>0</v>
      </c>
      <c r="BJ552" s="3">
        <v>0</v>
      </c>
      <c r="BL552" s="3">
        <v>0</v>
      </c>
      <c r="BM552" s="3">
        <v>0</v>
      </c>
    </row>
    <row r="553" spans="7:65" x14ac:dyDescent="0.25">
      <c r="G553" s="52"/>
      <c r="BI553" s="3">
        <v>0</v>
      </c>
      <c r="BJ553" s="3">
        <v>0</v>
      </c>
      <c r="BL553" s="3">
        <v>0</v>
      </c>
      <c r="BM553" s="3">
        <v>0</v>
      </c>
    </row>
    <row r="554" spans="7:65" x14ac:dyDescent="0.25">
      <c r="G554" s="52"/>
      <c r="BI554" s="3">
        <v>0</v>
      </c>
      <c r="BJ554" s="3">
        <v>0</v>
      </c>
      <c r="BL554" s="3">
        <v>0</v>
      </c>
      <c r="BM554" s="3">
        <v>0</v>
      </c>
    </row>
    <row r="555" spans="7:65" x14ac:dyDescent="0.25">
      <c r="G555" s="52"/>
      <c r="BI555" s="3">
        <v>0</v>
      </c>
      <c r="BJ555" s="3">
        <v>0</v>
      </c>
      <c r="BL555" s="3">
        <v>0</v>
      </c>
      <c r="BM555" s="3">
        <v>0</v>
      </c>
    </row>
    <row r="556" spans="7:65" x14ac:dyDescent="0.25">
      <c r="G556" s="52"/>
      <c r="BI556" s="3">
        <v>0</v>
      </c>
      <c r="BJ556" s="3">
        <v>0</v>
      </c>
      <c r="BL556" s="3">
        <v>0</v>
      </c>
      <c r="BM556" s="3">
        <v>0</v>
      </c>
    </row>
    <row r="557" spans="7:65" x14ac:dyDescent="0.25">
      <c r="G557" s="52"/>
      <c r="BI557" s="3">
        <v>0</v>
      </c>
      <c r="BJ557" s="3">
        <v>0</v>
      </c>
      <c r="BL557" s="3">
        <v>0</v>
      </c>
      <c r="BM557" s="3">
        <v>0</v>
      </c>
    </row>
    <row r="558" spans="7:65" x14ac:dyDescent="0.25">
      <c r="G558" s="52"/>
      <c r="BI558" s="3">
        <v>0</v>
      </c>
      <c r="BJ558" s="3">
        <v>0</v>
      </c>
      <c r="BL558" s="3">
        <v>0</v>
      </c>
      <c r="BM558" s="3">
        <v>0</v>
      </c>
    </row>
    <row r="559" spans="7:65" x14ac:dyDescent="0.25">
      <c r="G559" s="52"/>
      <c r="BI559" s="3">
        <v>0</v>
      </c>
      <c r="BJ559" s="3">
        <v>0</v>
      </c>
      <c r="BL559" s="3">
        <v>0</v>
      </c>
      <c r="BM559" s="3">
        <v>0</v>
      </c>
    </row>
    <row r="560" spans="7:65" x14ac:dyDescent="0.25">
      <c r="G560" s="52"/>
      <c r="BI560" s="3">
        <v>0</v>
      </c>
      <c r="BJ560" s="3">
        <v>0</v>
      </c>
      <c r="BL560" s="3">
        <v>0</v>
      </c>
      <c r="BM560" s="3">
        <v>0</v>
      </c>
    </row>
    <row r="561" spans="61:65" x14ac:dyDescent="0.25">
      <c r="BI561" s="3">
        <v>0</v>
      </c>
      <c r="BJ561" s="3">
        <v>0</v>
      </c>
      <c r="BL561" s="3">
        <v>0</v>
      </c>
      <c r="BM561" s="3">
        <v>0</v>
      </c>
    </row>
    <row r="562" spans="61:65" x14ac:dyDescent="0.25">
      <c r="BI562" s="3">
        <v>0</v>
      </c>
      <c r="BJ562" s="3">
        <v>0</v>
      </c>
      <c r="BL562" s="3">
        <v>0</v>
      </c>
      <c r="BM562" s="3">
        <v>0</v>
      </c>
    </row>
    <row r="563" spans="61:65" x14ac:dyDescent="0.25">
      <c r="BI563" s="3">
        <v>0</v>
      </c>
      <c r="BJ563" s="3">
        <v>0</v>
      </c>
      <c r="BL563" s="3">
        <v>0</v>
      </c>
      <c r="BM563" s="3">
        <v>0</v>
      </c>
    </row>
    <row r="564" spans="61:65" x14ac:dyDescent="0.25">
      <c r="BI564" s="3">
        <v>0</v>
      </c>
      <c r="BJ564" s="3">
        <v>0</v>
      </c>
      <c r="BL564" s="3">
        <v>0</v>
      </c>
      <c r="BM564" s="3">
        <v>0</v>
      </c>
    </row>
    <row r="565" spans="61:65" x14ac:dyDescent="0.25">
      <c r="BI565" s="3">
        <v>0</v>
      </c>
      <c r="BJ565" s="3">
        <v>0</v>
      </c>
      <c r="BL565" s="3">
        <v>0</v>
      </c>
      <c r="BM565" s="3">
        <v>0</v>
      </c>
    </row>
    <row r="566" spans="61:65" x14ac:dyDescent="0.25">
      <c r="BI566" s="3">
        <v>0</v>
      </c>
      <c r="BJ566" s="3">
        <v>0</v>
      </c>
      <c r="BL566" s="3">
        <v>0</v>
      </c>
      <c r="BM566" s="3">
        <v>0</v>
      </c>
    </row>
    <row r="567" spans="61:65" x14ac:dyDescent="0.25">
      <c r="BI567" s="3">
        <v>0</v>
      </c>
      <c r="BJ567" s="3">
        <v>0</v>
      </c>
      <c r="BL567" s="3">
        <v>0</v>
      </c>
      <c r="BM567" s="3">
        <v>0</v>
      </c>
    </row>
    <row r="568" spans="61:65" x14ac:dyDescent="0.25">
      <c r="BI568" s="3">
        <v>0</v>
      </c>
      <c r="BJ568" s="3">
        <v>0</v>
      </c>
      <c r="BL568" s="3">
        <v>0</v>
      </c>
      <c r="BM568" s="3">
        <v>0</v>
      </c>
    </row>
    <row r="569" spans="61:65" x14ac:dyDescent="0.25">
      <c r="BI569" s="3">
        <v>0</v>
      </c>
      <c r="BJ569" s="3">
        <v>0</v>
      </c>
      <c r="BL569" s="3">
        <v>0</v>
      </c>
      <c r="BM569" s="3">
        <v>0</v>
      </c>
    </row>
    <row r="570" spans="61:65" x14ac:dyDescent="0.25">
      <c r="BI570" s="3">
        <v>0</v>
      </c>
      <c r="BJ570" s="3">
        <v>0</v>
      </c>
      <c r="BL570" s="3">
        <v>0</v>
      </c>
      <c r="BM570" s="3">
        <v>0</v>
      </c>
    </row>
    <row r="571" spans="61:65" x14ac:dyDescent="0.25">
      <c r="BI571" s="3">
        <v>0</v>
      </c>
      <c r="BJ571" s="3">
        <v>0</v>
      </c>
      <c r="BL571" s="3">
        <v>0</v>
      </c>
      <c r="BM571" s="3">
        <v>0</v>
      </c>
    </row>
    <row r="572" spans="61:65" x14ac:dyDescent="0.25">
      <c r="BI572" s="3">
        <v>0</v>
      </c>
      <c r="BJ572" s="3">
        <v>0</v>
      </c>
      <c r="BL572" s="3">
        <v>0</v>
      </c>
      <c r="BM572" s="3">
        <v>0</v>
      </c>
    </row>
    <row r="573" spans="61:65" x14ac:dyDescent="0.25">
      <c r="BI573" s="3">
        <v>0</v>
      </c>
      <c r="BJ573" s="3">
        <v>0</v>
      </c>
      <c r="BL573" s="3">
        <v>0</v>
      </c>
      <c r="BM573" s="3">
        <v>0</v>
      </c>
    </row>
    <row r="574" spans="61:65" x14ac:dyDescent="0.25">
      <c r="BI574" s="3">
        <v>0</v>
      </c>
      <c r="BJ574" s="3">
        <v>0</v>
      </c>
      <c r="BL574" s="3">
        <v>0</v>
      </c>
      <c r="BM574" s="3">
        <v>0</v>
      </c>
    </row>
    <row r="575" spans="61:65" x14ac:dyDescent="0.25">
      <c r="BI575" s="3">
        <v>0</v>
      </c>
      <c r="BJ575" s="3">
        <v>0</v>
      </c>
      <c r="BL575" s="3">
        <v>0</v>
      </c>
      <c r="BM575" s="3">
        <v>0</v>
      </c>
    </row>
    <row r="576" spans="61:65" x14ac:dyDescent="0.25">
      <c r="BI576" s="3">
        <v>0</v>
      </c>
      <c r="BJ576" s="3">
        <v>0</v>
      </c>
      <c r="BL576" s="3">
        <v>0</v>
      </c>
      <c r="BM576" s="3">
        <v>0</v>
      </c>
    </row>
    <row r="577" spans="61:65" x14ac:dyDescent="0.25">
      <c r="BI577" s="3">
        <v>0</v>
      </c>
      <c r="BJ577" s="3">
        <v>0</v>
      </c>
      <c r="BL577" s="3">
        <v>0</v>
      </c>
      <c r="BM577" s="3">
        <v>0</v>
      </c>
    </row>
    <row r="578" spans="61:65" x14ac:dyDescent="0.25">
      <c r="BI578" s="3">
        <v>0</v>
      </c>
      <c r="BJ578" s="3">
        <v>0</v>
      </c>
      <c r="BL578" s="3">
        <v>0</v>
      </c>
      <c r="BM578" s="3">
        <v>0</v>
      </c>
    </row>
    <row r="579" spans="61:65" x14ac:dyDescent="0.25">
      <c r="BI579" s="3">
        <v>0</v>
      </c>
      <c r="BJ579" s="3">
        <v>0</v>
      </c>
      <c r="BL579" s="3">
        <v>0</v>
      </c>
      <c r="BM579" s="3">
        <v>0</v>
      </c>
    </row>
    <row r="580" spans="61:65" x14ac:dyDescent="0.25">
      <c r="BI580" s="3">
        <v>0</v>
      </c>
      <c r="BJ580" s="3">
        <v>0</v>
      </c>
      <c r="BL580" s="3">
        <v>0</v>
      </c>
      <c r="BM580" s="3">
        <v>0</v>
      </c>
    </row>
    <row r="581" spans="61:65" x14ac:dyDescent="0.25">
      <c r="BI581" s="3">
        <v>0</v>
      </c>
      <c r="BJ581" s="3">
        <v>0</v>
      </c>
      <c r="BL581" s="3">
        <v>0</v>
      </c>
      <c r="BM581" s="3">
        <v>0</v>
      </c>
    </row>
    <row r="582" spans="61:65" x14ac:dyDescent="0.25">
      <c r="BI582" s="3">
        <v>0</v>
      </c>
      <c r="BJ582" s="3">
        <v>0</v>
      </c>
      <c r="BL582" s="3">
        <v>0</v>
      </c>
      <c r="BM582" s="3">
        <v>0</v>
      </c>
    </row>
    <row r="583" spans="61:65" x14ac:dyDescent="0.25">
      <c r="BI583" s="3">
        <v>0</v>
      </c>
      <c r="BJ583" s="3">
        <v>0</v>
      </c>
      <c r="BL583" s="3">
        <v>0</v>
      </c>
      <c r="BM583" s="3">
        <v>0</v>
      </c>
    </row>
    <row r="584" spans="61:65" x14ac:dyDescent="0.25">
      <c r="BI584" s="3">
        <v>0</v>
      </c>
      <c r="BJ584" s="3">
        <v>0</v>
      </c>
      <c r="BL584" s="3">
        <v>0</v>
      </c>
      <c r="BM584" s="3">
        <v>0</v>
      </c>
    </row>
    <row r="585" spans="61:65" x14ac:dyDescent="0.25">
      <c r="BI585" s="3">
        <v>0</v>
      </c>
      <c r="BJ585" s="3">
        <v>0</v>
      </c>
      <c r="BL585" s="3">
        <v>0</v>
      </c>
      <c r="BM585" s="3">
        <v>0</v>
      </c>
    </row>
    <row r="586" spans="61:65" x14ac:dyDescent="0.25">
      <c r="BI586" s="3">
        <v>0</v>
      </c>
      <c r="BJ586" s="3">
        <v>0</v>
      </c>
      <c r="BL586" s="3">
        <v>0</v>
      </c>
      <c r="BM586" s="3">
        <v>0</v>
      </c>
    </row>
    <row r="587" spans="61:65" x14ac:dyDescent="0.25">
      <c r="BI587" s="3">
        <v>0</v>
      </c>
      <c r="BJ587" s="3">
        <v>0</v>
      </c>
      <c r="BL587" s="3">
        <v>0</v>
      </c>
      <c r="BM587" s="3">
        <v>0</v>
      </c>
    </row>
    <row r="588" spans="61:65" x14ac:dyDescent="0.25">
      <c r="BI588" s="3">
        <v>0</v>
      </c>
      <c r="BJ588" s="3">
        <v>0</v>
      </c>
      <c r="BL588" s="3">
        <v>0</v>
      </c>
      <c r="BM588" s="3">
        <v>0</v>
      </c>
    </row>
    <row r="589" spans="61:65" x14ac:dyDescent="0.25">
      <c r="BI589" s="3">
        <v>0</v>
      </c>
      <c r="BJ589" s="3">
        <v>0</v>
      </c>
      <c r="BL589" s="3">
        <v>0</v>
      </c>
      <c r="BM589" s="3">
        <v>0</v>
      </c>
    </row>
    <row r="590" spans="61:65" x14ac:dyDescent="0.25">
      <c r="BI590" s="3">
        <v>0</v>
      </c>
      <c r="BJ590" s="3">
        <v>0</v>
      </c>
      <c r="BL590" s="3">
        <v>0</v>
      </c>
      <c r="BM590" s="3">
        <v>0</v>
      </c>
    </row>
    <row r="591" spans="61:65" x14ac:dyDescent="0.25">
      <c r="BI591" s="3">
        <v>0</v>
      </c>
      <c r="BJ591" s="3">
        <v>0</v>
      </c>
      <c r="BL591" s="3">
        <v>0</v>
      </c>
      <c r="BM591" s="3">
        <v>0</v>
      </c>
    </row>
    <row r="592" spans="61:65" x14ac:dyDescent="0.25">
      <c r="BI592" s="3">
        <v>0</v>
      </c>
      <c r="BJ592" s="3">
        <v>0</v>
      </c>
      <c r="BL592" s="3">
        <v>0</v>
      </c>
      <c r="BM592" s="3">
        <v>0</v>
      </c>
    </row>
    <row r="593" spans="61:65" x14ac:dyDescent="0.25">
      <c r="BI593" s="3">
        <v>0</v>
      </c>
      <c r="BJ593" s="3">
        <v>0</v>
      </c>
      <c r="BL593" s="3">
        <v>0</v>
      </c>
      <c r="BM593" s="3">
        <v>0</v>
      </c>
    </row>
    <row r="594" spans="61:65" x14ac:dyDescent="0.25">
      <c r="BI594" s="3">
        <v>0</v>
      </c>
      <c r="BJ594" s="3">
        <v>0</v>
      </c>
      <c r="BL594" s="3">
        <v>0</v>
      </c>
      <c r="BM594" s="3">
        <v>0</v>
      </c>
    </row>
    <row r="595" spans="61:65" x14ac:dyDescent="0.25">
      <c r="BI595" s="3">
        <v>0</v>
      </c>
      <c r="BJ595" s="3">
        <v>0</v>
      </c>
      <c r="BL595" s="3">
        <v>0</v>
      </c>
      <c r="BM595" s="3">
        <v>0</v>
      </c>
    </row>
    <row r="596" spans="61:65" x14ac:dyDescent="0.25">
      <c r="BI596" s="3">
        <v>0</v>
      </c>
      <c r="BJ596" s="3">
        <v>0</v>
      </c>
      <c r="BL596" s="3">
        <v>0</v>
      </c>
      <c r="BM596" s="3">
        <v>0</v>
      </c>
    </row>
    <row r="597" spans="61:65" x14ac:dyDescent="0.25">
      <c r="BI597" s="3">
        <v>0</v>
      </c>
      <c r="BJ597" s="3">
        <v>0</v>
      </c>
      <c r="BL597" s="3">
        <v>0</v>
      </c>
      <c r="BM597" s="3">
        <v>0</v>
      </c>
    </row>
    <row r="598" spans="61:65" x14ac:dyDescent="0.25">
      <c r="BI598" s="3">
        <v>0</v>
      </c>
      <c r="BJ598" s="3">
        <v>0</v>
      </c>
      <c r="BL598" s="3">
        <v>0</v>
      </c>
      <c r="BM598" s="3">
        <v>0</v>
      </c>
    </row>
    <row r="599" spans="61:65" x14ac:dyDescent="0.25">
      <c r="BI599" s="3">
        <v>0</v>
      </c>
      <c r="BJ599" s="3">
        <v>0</v>
      </c>
      <c r="BL599" s="3">
        <v>0</v>
      </c>
      <c r="BM599" s="3">
        <v>0</v>
      </c>
    </row>
    <row r="600" spans="61:65" x14ac:dyDescent="0.25">
      <c r="BI600" s="3">
        <v>0</v>
      </c>
      <c r="BJ600" s="3">
        <v>0</v>
      </c>
      <c r="BL600" s="3">
        <v>0</v>
      </c>
      <c r="BM600" s="3">
        <v>0</v>
      </c>
    </row>
    <row r="601" spans="61:65" x14ac:dyDescent="0.25">
      <c r="BI601" s="3">
        <v>0</v>
      </c>
      <c r="BJ601" s="3">
        <v>0</v>
      </c>
      <c r="BL601" s="3">
        <v>0</v>
      </c>
      <c r="BM601" s="3">
        <v>0</v>
      </c>
    </row>
    <row r="602" spans="61:65" x14ac:dyDescent="0.25">
      <c r="BI602" s="3">
        <v>0</v>
      </c>
      <c r="BJ602" s="3">
        <v>0</v>
      </c>
      <c r="BL602" s="3">
        <v>0</v>
      </c>
      <c r="BM602" s="3">
        <v>0</v>
      </c>
    </row>
    <row r="603" spans="61:65" x14ac:dyDescent="0.25">
      <c r="BI603" s="3">
        <v>0</v>
      </c>
      <c r="BJ603" s="3">
        <v>0</v>
      </c>
      <c r="BL603" s="3">
        <v>0</v>
      </c>
      <c r="BM603" s="3">
        <v>0</v>
      </c>
    </row>
    <row r="604" spans="61:65" x14ac:dyDescent="0.25">
      <c r="BI604" s="3">
        <v>0</v>
      </c>
      <c r="BJ604" s="3">
        <v>0</v>
      </c>
      <c r="BL604" s="3">
        <v>0</v>
      </c>
      <c r="BM604" s="3">
        <v>0</v>
      </c>
    </row>
    <row r="605" spans="61:65" x14ac:dyDescent="0.25">
      <c r="BI605" s="3">
        <v>0</v>
      </c>
      <c r="BJ605" s="3">
        <v>0</v>
      </c>
      <c r="BL605" s="3">
        <v>0</v>
      </c>
      <c r="BM605" s="3">
        <v>0</v>
      </c>
    </row>
    <row r="606" spans="61:65" x14ac:dyDescent="0.25">
      <c r="BI606" s="3">
        <v>0</v>
      </c>
      <c r="BJ606" s="3">
        <v>0</v>
      </c>
      <c r="BL606" s="3">
        <v>0</v>
      </c>
      <c r="BM606" s="3">
        <v>0</v>
      </c>
    </row>
    <row r="607" spans="61:65" x14ac:dyDescent="0.25">
      <c r="BI607" s="3">
        <v>0</v>
      </c>
      <c r="BJ607" s="3">
        <v>0</v>
      </c>
      <c r="BL607" s="3">
        <v>0</v>
      </c>
      <c r="BM607" s="3">
        <v>0</v>
      </c>
    </row>
    <row r="608" spans="61:65" x14ac:dyDescent="0.25">
      <c r="BI608" s="3">
        <v>0</v>
      </c>
      <c r="BJ608" s="3">
        <v>0</v>
      </c>
      <c r="BL608" s="3">
        <v>0</v>
      </c>
      <c r="BM608" s="3">
        <v>0</v>
      </c>
    </row>
    <row r="609" spans="61:65" x14ac:dyDescent="0.25">
      <c r="BI609" s="3">
        <v>0</v>
      </c>
      <c r="BJ609" s="3">
        <v>0</v>
      </c>
      <c r="BL609" s="3">
        <v>0</v>
      </c>
      <c r="BM609" s="3">
        <v>0</v>
      </c>
    </row>
    <row r="610" spans="61:65" x14ac:dyDescent="0.25">
      <c r="BI610" s="3">
        <v>0</v>
      </c>
      <c r="BJ610" s="3">
        <v>0</v>
      </c>
      <c r="BL610" s="3">
        <v>0</v>
      </c>
      <c r="BM610" s="3">
        <v>0</v>
      </c>
    </row>
    <row r="611" spans="61:65" x14ac:dyDescent="0.25">
      <c r="BI611" s="3">
        <v>0</v>
      </c>
      <c r="BJ611" s="3">
        <v>0</v>
      </c>
      <c r="BL611" s="3">
        <v>0</v>
      </c>
      <c r="BM611" s="3">
        <v>0</v>
      </c>
    </row>
    <row r="612" spans="61:65" x14ac:dyDescent="0.25">
      <c r="BI612" s="3">
        <v>0</v>
      </c>
      <c r="BJ612" s="3">
        <v>0</v>
      </c>
      <c r="BL612" s="3">
        <v>0</v>
      </c>
      <c r="BM612" s="3">
        <v>0</v>
      </c>
    </row>
    <row r="613" spans="61:65" x14ac:dyDescent="0.25">
      <c r="BI613" s="3">
        <v>0</v>
      </c>
      <c r="BJ613" s="3">
        <v>0</v>
      </c>
      <c r="BL613" s="3">
        <v>0</v>
      </c>
      <c r="BM613" s="3">
        <v>0</v>
      </c>
    </row>
    <row r="614" spans="61:65" x14ac:dyDescent="0.25">
      <c r="BI614" s="3">
        <v>0</v>
      </c>
      <c r="BJ614" s="3">
        <v>0</v>
      </c>
      <c r="BL614" s="3">
        <v>0</v>
      </c>
      <c r="BM614" s="3">
        <v>0</v>
      </c>
    </row>
    <row r="615" spans="61:65" x14ac:dyDescent="0.25">
      <c r="BI615" s="3">
        <v>0</v>
      </c>
      <c r="BJ615" s="3">
        <v>0</v>
      </c>
      <c r="BL615" s="3">
        <v>0</v>
      </c>
      <c r="BM615" s="3">
        <v>0</v>
      </c>
    </row>
    <row r="616" spans="61:65" x14ac:dyDescent="0.25">
      <c r="BI616" s="3">
        <v>0</v>
      </c>
      <c r="BJ616" s="3">
        <v>0</v>
      </c>
      <c r="BL616" s="3">
        <v>0</v>
      </c>
      <c r="BM616" s="3">
        <v>0</v>
      </c>
    </row>
    <row r="617" spans="61:65" x14ac:dyDescent="0.25">
      <c r="BI617" s="3">
        <v>0</v>
      </c>
      <c r="BJ617" s="3">
        <v>0</v>
      </c>
      <c r="BL617" s="3">
        <v>0</v>
      </c>
      <c r="BM617" s="3">
        <v>0</v>
      </c>
    </row>
    <row r="618" spans="61:65" x14ac:dyDescent="0.25">
      <c r="BI618" s="3">
        <v>0</v>
      </c>
      <c r="BJ618" s="3">
        <v>0</v>
      </c>
      <c r="BL618" s="3">
        <v>0</v>
      </c>
      <c r="BM618" s="3">
        <v>0</v>
      </c>
    </row>
    <row r="619" spans="61:65" x14ac:dyDescent="0.25">
      <c r="BI619" s="3">
        <v>0</v>
      </c>
      <c r="BJ619" s="3">
        <v>0</v>
      </c>
      <c r="BL619" s="3">
        <v>0</v>
      </c>
      <c r="BM619" s="3">
        <v>0</v>
      </c>
    </row>
    <row r="620" spans="61:65" x14ac:dyDescent="0.25">
      <c r="BI620" s="3">
        <v>0</v>
      </c>
      <c r="BJ620" s="3">
        <v>0</v>
      </c>
      <c r="BL620" s="3">
        <v>0</v>
      </c>
      <c r="BM620" s="3">
        <v>0</v>
      </c>
    </row>
    <row r="621" spans="61:65" x14ac:dyDescent="0.25">
      <c r="BI621" s="3">
        <v>0</v>
      </c>
      <c r="BJ621" s="3">
        <v>0</v>
      </c>
      <c r="BL621" s="3">
        <v>0</v>
      </c>
      <c r="BM621" s="3">
        <v>0</v>
      </c>
    </row>
    <row r="622" spans="61:65" x14ac:dyDescent="0.25">
      <c r="BI622" s="3">
        <v>0</v>
      </c>
      <c r="BJ622" s="3">
        <v>0</v>
      </c>
      <c r="BL622" s="3">
        <v>0</v>
      </c>
      <c r="BM622" s="3">
        <v>0</v>
      </c>
    </row>
    <row r="623" spans="61:65" x14ac:dyDescent="0.25">
      <c r="BI623" s="3">
        <v>0</v>
      </c>
      <c r="BJ623" s="3">
        <v>0</v>
      </c>
      <c r="BL623" s="3">
        <v>0</v>
      </c>
      <c r="BM623" s="3">
        <v>0</v>
      </c>
    </row>
    <row r="624" spans="61:65" x14ac:dyDescent="0.25">
      <c r="BI624" s="3">
        <v>0</v>
      </c>
      <c r="BJ624" s="3">
        <v>0</v>
      </c>
      <c r="BL624" s="3">
        <v>0</v>
      </c>
      <c r="BM624" s="3">
        <v>0</v>
      </c>
    </row>
    <row r="625" spans="61:65" x14ac:dyDescent="0.25">
      <c r="BI625" s="3">
        <v>0</v>
      </c>
      <c r="BJ625" s="3">
        <v>0</v>
      </c>
      <c r="BL625" s="3">
        <v>0</v>
      </c>
      <c r="BM625" s="3">
        <v>0</v>
      </c>
    </row>
    <row r="626" spans="61:65" x14ac:dyDescent="0.25">
      <c r="BI626" s="3">
        <v>0</v>
      </c>
      <c r="BJ626" s="3">
        <v>0</v>
      </c>
      <c r="BL626" s="3">
        <v>0</v>
      </c>
      <c r="BM626" s="3">
        <v>0</v>
      </c>
    </row>
    <row r="627" spans="61:65" x14ac:dyDescent="0.25">
      <c r="BI627" s="3">
        <v>0</v>
      </c>
      <c r="BJ627" s="3">
        <v>0</v>
      </c>
      <c r="BL627" s="3">
        <v>0</v>
      </c>
      <c r="BM627" s="3">
        <v>0</v>
      </c>
    </row>
    <row r="628" spans="61:65" x14ac:dyDescent="0.25">
      <c r="BI628" s="3">
        <v>0</v>
      </c>
      <c r="BJ628" s="3">
        <v>0</v>
      </c>
      <c r="BL628" s="3">
        <v>0</v>
      </c>
      <c r="BM628" s="3">
        <v>0</v>
      </c>
    </row>
    <row r="629" spans="61:65" x14ac:dyDescent="0.25">
      <c r="BI629" s="3">
        <v>0</v>
      </c>
      <c r="BJ629" s="3">
        <v>0</v>
      </c>
      <c r="BL629" s="3">
        <v>0</v>
      </c>
      <c r="BM629" s="3">
        <v>0</v>
      </c>
    </row>
    <row r="630" spans="61:65" x14ac:dyDescent="0.25">
      <c r="BI630" s="3">
        <v>0</v>
      </c>
      <c r="BJ630" s="3">
        <v>0</v>
      </c>
      <c r="BL630" s="3">
        <v>0</v>
      </c>
      <c r="BM630" s="3">
        <v>0</v>
      </c>
    </row>
    <row r="631" spans="61:65" x14ac:dyDescent="0.25">
      <c r="BI631" s="3">
        <v>0</v>
      </c>
      <c r="BJ631" s="3">
        <v>0</v>
      </c>
      <c r="BL631" s="3">
        <v>0</v>
      </c>
      <c r="BM631" s="3">
        <v>0</v>
      </c>
    </row>
    <row r="632" spans="61:65" x14ac:dyDescent="0.25">
      <c r="BI632" s="3">
        <v>0</v>
      </c>
      <c r="BJ632" s="3">
        <v>0</v>
      </c>
      <c r="BL632" s="3">
        <v>0</v>
      </c>
      <c r="BM632" s="3">
        <v>0</v>
      </c>
    </row>
    <row r="633" spans="61:65" x14ac:dyDescent="0.25">
      <c r="BI633" s="3">
        <v>0</v>
      </c>
      <c r="BJ633" s="3">
        <v>0</v>
      </c>
      <c r="BL633" s="3">
        <v>0</v>
      </c>
      <c r="BM633" s="3">
        <v>0</v>
      </c>
    </row>
    <row r="634" spans="61:65" x14ac:dyDescent="0.25">
      <c r="BI634" s="3">
        <v>0</v>
      </c>
      <c r="BJ634" s="3">
        <v>0</v>
      </c>
      <c r="BL634" s="3">
        <v>0</v>
      </c>
      <c r="BM634" s="3">
        <v>0</v>
      </c>
    </row>
    <row r="635" spans="61:65" x14ac:dyDescent="0.25">
      <c r="BI635" s="3">
        <v>0</v>
      </c>
      <c r="BJ635" s="3">
        <v>0</v>
      </c>
      <c r="BL635" s="3">
        <v>0</v>
      </c>
      <c r="BM635" s="3">
        <v>0</v>
      </c>
    </row>
    <row r="636" spans="61:65" x14ac:dyDescent="0.25">
      <c r="BI636" s="3">
        <v>0</v>
      </c>
      <c r="BJ636" s="3">
        <v>0</v>
      </c>
      <c r="BL636" s="3">
        <v>0</v>
      </c>
      <c r="BM636" s="3">
        <v>0</v>
      </c>
    </row>
    <row r="637" spans="61:65" x14ac:dyDescent="0.25">
      <c r="BI637" s="3">
        <v>0</v>
      </c>
      <c r="BJ637" s="3">
        <v>0</v>
      </c>
      <c r="BL637" s="3">
        <v>0</v>
      </c>
      <c r="BM637" s="3">
        <v>0</v>
      </c>
    </row>
    <row r="638" spans="61:65" x14ac:dyDescent="0.25">
      <c r="BI638" s="3">
        <v>0</v>
      </c>
      <c r="BJ638" s="3">
        <v>0</v>
      </c>
      <c r="BL638" s="3">
        <v>0</v>
      </c>
      <c r="BM638" s="3">
        <v>0</v>
      </c>
    </row>
    <row r="639" spans="61:65" x14ac:dyDescent="0.25">
      <c r="BI639" s="3">
        <v>0</v>
      </c>
      <c r="BJ639" s="3">
        <v>0</v>
      </c>
      <c r="BL639" s="3">
        <v>0</v>
      </c>
      <c r="BM639" s="3">
        <v>0</v>
      </c>
    </row>
    <row r="640" spans="61:65" x14ac:dyDescent="0.25">
      <c r="BI640" s="3">
        <v>0</v>
      </c>
      <c r="BJ640" s="3">
        <v>0</v>
      </c>
      <c r="BL640" s="3">
        <v>0</v>
      </c>
      <c r="BM640" s="3">
        <v>0</v>
      </c>
    </row>
    <row r="641" spans="61:65" x14ac:dyDescent="0.25">
      <c r="BI641" s="3">
        <v>0</v>
      </c>
      <c r="BJ641" s="3">
        <v>0</v>
      </c>
      <c r="BL641" s="3">
        <v>0</v>
      </c>
      <c r="BM641" s="3">
        <v>0</v>
      </c>
    </row>
    <row r="642" spans="61:65" x14ac:dyDescent="0.25">
      <c r="BI642" s="3">
        <v>0</v>
      </c>
      <c r="BJ642" s="3">
        <v>0</v>
      </c>
      <c r="BL642" s="3">
        <v>0</v>
      </c>
      <c r="BM642" s="3">
        <v>0</v>
      </c>
    </row>
    <row r="643" spans="61:65" x14ac:dyDescent="0.25">
      <c r="BI643" s="3">
        <v>0</v>
      </c>
      <c r="BJ643" s="3">
        <v>0</v>
      </c>
      <c r="BL643" s="3">
        <v>0</v>
      </c>
      <c r="BM643" s="3">
        <v>0</v>
      </c>
    </row>
    <row r="644" spans="61:65" x14ac:dyDescent="0.25">
      <c r="BI644" s="3">
        <v>0</v>
      </c>
      <c r="BJ644" s="3">
        <v>0</v>
      </c>
      <c r="BL644" s="3">
        <v>0</v>
      </c>
      <c r="BM644" s="3">
        <v>0</v>
      </c>
    </row>
    <row r="645" spans="61:65" x14ac:dyDescent="0.25">
      <c r="BI645" s="3">
        <v>0</v>
      </c>
      <c r="BJ645" s="3">
        <v>0</v>
      </c>
      <c r="BL645" s="3">
        <v>0</v>
      </c>
      <c r="BM645" s="3">
        <v>0</v>
      </c>
    </row>
    <row r="646" spans="61:65" x14ac:dyDescent="0.25">
      <c r="BI646" s="3">
        <v>0</v>
      </c>
      <c r="BJ646" s="3">
        <v>0</v>
      </c>
      <c r="BL646" s="3">
        <v>0</v>
      </c>
      <c r="BM646" s="3">
        <v>0</v>
      </c>
    </row>
    <row r="647" spans="61:65" x14ac:dyDescent="0.25">
      <c r="BI647" s="3">
        <v>0</v>
      </c>
      <c r="BJ647" s="3">
        <v>0</v>
      </c>
      <c r="BL647" s="3">
        <v>0</v>
      </c>
      <c r="BM647" s="3">
        <v>0</v>
      </c>
    </row>
    <row r="648" spans="61:65" x14ac:dyDescent="0.25">
      <c r="BI648" s="3">
        <v>0</v>
      </c>
      <c r="BJ648" s="3">
        <v>0</v>
      </c>
      <c r="BL648" s="3">
        <v>0</v>
      </c>
      <c r="BM648" s="3">
        <v>0</v>
      </c>
    </row>
    <row r="649" spans="61:65" x14ac:dyDescent="0.25">
      <c r="BI649" s="3">
        <v>0</v>
      </c>
      <c r="BJ649" s="3">
        <v>0</v>
      </c>
      <c r="BL649" s="3">
        <v>0</v>
      </c>
      <c r="BM649" s="3">
        <v>0</v>
      </c>
    </row>
    <row r="650" spans="61:65" x14ac:dyDescent="0.25">
      <c r="BI650" s="3">
        <v>0</v>
      </c>
      <c r="BJ650" s="3">
        <v>0</v>
      </c>
      <c r="BL650" s="3">
        <v>0</v>
      </c>
      <c r="BM650" s="3">
        <v>0</v>
      </c>
    </row>
    <row r="651" spans="61:65" x14ac:dyDescent="0.25">
      <c r="BI651" s="3">
        <v>0</v>
      </c>
      <c r="BJ651" s="3">
        <v>0</v>
      </c>
      <c r="BL651" s="3">
        <v>0</v>
      </c>
      <c r="BM651" s="3">
        <v>0</v>
      </c>
    </row>
    <row r="652" spans="61:65" x14ac:dyDescent="0.25">
      <c r="BI652" s="3">
        <v>0</v>
      </c>
      <c r="BJ652" s="3">
        <v>0</v>
      </c>
      <c r="BL652" s="3">
        <v>0</v>
      </c>
      <c r="BM652" s="3">
        <v>0</v>
      </c>
    </row>
    <row r="653" spans="61:65" x14ac:dyDescent="0.25">
      <c r="BI653" s="3">
        <v>0</v>
      </c>
      <c r="BJ653" s="3">
        <v>0</v>
      </c>
      <c r="BL653" s="3">
        <v>0</v>
      </c>
      <c r="BM653" s="3">
        <v>0</v>
      </c>
    </row>
    <row r="654" spans="61:65" x14ac:dyDescent="0.25">
      <c r="BI654" s="3">
        <v>0</v>
      </c>
      <c r="BJ654" s="3">
        <v>0</v>
      </c>
      <c r="BL654" s="3">
        <v>0</v>
      </c>
      <c r="BM654" s="3">
        <v>0</v>
      </c>
    </row>
    <row r="655" spans="61:65" x14ac:dyDescent="0.25">
      <c r="BI655" s="3">
        <v>0</v>
      </c>
      <c r="BJ655" s="3">
        <v>0</v>
      </c>
      <c r="BL655" s="3">
        <v>0</v>
      </c>
      <c r="BM655" s="3">
        <v>0</v>
      </c>
    </row>
    <row r="656" spans="61:65" x14ac:dyDescent="0.25">
      <c r="BI656" s="3">
        <v>0</v>
      </c>
      <c r="BJ656" s="3">
        <v>0</v>
      </c>
      <c r="BL656" s="3">
        <v>0</v>
      </c>
      <c r="BM656" s="3">
        <v>0</v>
      </c>
    </row>
    <row r="657" spans="61:65" x14ac:dyDescent="0.25">
      <c r="BI657" s="3">
        <v>0</v>
      </c>
      <c r="BJ657" s="3">
        <v>0</v>
      </c>
      <c r="BL657" s="3">
        <v>0</v>
      </c>
      <c r="BM657" s="3">
        <v>0</v>
      </c>
    </row>
    <row r="658" spans="61:65" x14ac:dyDescent="0.25">
      <c r="BI658" s="3">
        <v>0</v>
      </c>
      <c r="BJ658" s="3">
        <v>0</v>
      </c>
      <c r="BL658" s="3">
        <v>0</v>
      </c>
      <c r="BM658" s="3">
        <v>0</v>
      </c>
    </row>
    <row r="659" spans="61:65" x14ac:dyDescent="0.25">
      <c r="BI659" s="3">
        <v>0</v>
      </c>
      <c r="BJ659" s="3">
        <v>0</v>
      </c>
      <c r="BL659" s="3">
        <v>0</v>
      </c>
      <c r="BM659" s="3">
        <v>0</v>
      </c>
    </row>
    <row r="660" spans="61:65" x14ac:dyDescent="0.25">
      <c r="BI660" s="3">
        <v>0</v>
      </c>
      <c r="BJ660" s="3">
        <v>0</v>
      </c>
      <c r="BL660" s="3">
        <v>0</v>
      </c>
      <c r="BM660" s="3">
        <v>0</v>
      </c>
    </row>
    <row r="661" spans="61:65" x14ac:dyDescent="0.25">
      <c r="BI661" s="3">
        <v>0</v>
      </c>
      <c r="BJ661" s="3">
        <v>0</v>
      </c>
      <c r="BL661" s="3">
        <v>0</v>
      </c>
      <c r="BM661" s="3">
        <v>0</v>
      </c>
    </row>
    <row r="662" spans="61:65" x14ac:dyDescent="0.25">
      <c r="BI662" s="3">
        <v>0</v>
      </c>
      <c r="BJ662" s="3">
        <v>0</v>
      </c>
      <c r="BL662" s="3">
        <v>0</v>
      </c>
      <c r="BM662" s="3">
        <v>0</v>
      </c>
    </row>
    <row r="663" spans="61:65" x14ac:dyDescent="0.25">
      <c r="BI663" s="3">
        <v>0</v>
      </c>
      <c r="BJ663" s="3">
        <v>0</v>
      </c>
      <c r="BL663" s="3">
        <v>0</v>
      </c>
      <c r="BM663" s="3">
        <v>0</v>
      </c>
    </row>
    <row r="664" spans="61:65" x14ac:dyDescent="0.25">
      <c r="BI664" s="3">
        <v>0</v>
      </c>
      <c r="BJ664" s="3">
        <v>0</v>
      </c>
      <c r="BL664" s="3">
        <v>0</v>
      </c>
      <c r="BM664" s="3">
        <v>0</v>
      </c>
    </row>
    <row r="665" spans="61:65" x14ac:dyDescent="0.25">
      <c r="BI665" s="3">
        <v>0</v>
      </c>
      <c r="BJ665" s="3">
        <v>0</v>
      </c>
      <c r="BL665" s="3">
        <v>0</v>
      </c>
      <c r="BM665" s="3">
        <v>0</v>
      </c>
    </row>
    <row r="666" spans="61:65" x14ac:dyDescent="0.25">
      <c r="BI666" s="3">
        <v>0</v>
      </c>
      <c r="BJ666" s="3">
        <v>0</v>
      </c>
      <c r="BL666" s="3">
        <v>0</v>
      </c>
      <c r="BM666" s="3">
        <v>0</v>
      </c>
    </row>
    <row r="667" spans="61:65" x14ac:dyDescent="0.25">
      <c r="BI667" s="3">
        <v>0</v>
      </c>
      <c r="BJ667" s="3">
        <v>0</v>
      </c>
      <c r="BL667" s="3">
        <v>0</v>
      </c>
      <c r="BM667" s="3">
        <v>0</v>
      </c>
    </row>
    <row r="668" spans="61:65" x14ac:dyDescent="0.25">
      <c r="BI668" s="3">
        <v>0</v>
      </c>
      <c r="BJ668" s="3">
        <v>0</v>
      </c>
      <c r="BL668" s="3">
        <v>0</v>
      </c>
      <c r="BM668" s="3">
        <v>0</v>
      </c>
    </row>
    <row r="669" spans="61:65" x14ac:dyDescent="0.25">
      <c r="BI669" s="3">
        <v>0</v>
      </c>
      <c r="BJ669" s="3">
        <v>0</v>
      </c>
      <c r="BL669" s="3">
        <v>0</v>
      </c>
      <c r="BM669" s="3">
        <v>0</v>
      </c>
    </row>
    <row r="670" spans="61:65" x14ac:dyDescent="0.25">
      <c r="BI670" s="3">
        <v>0</v>
      </c>
      <c r="BJ670" s="3">
        <v>0</v>
      </c>
      <c r="BL670" s="3">
        <v>0</v>
      </c>
      <c r="BM670" s="3">
        <v>0</v>
      </c>
    </row>
    <row r="671" spans="61:65" x14ac:dyDescent="0.25">
      <c r="BI671" s="3">
        <v>0</v>
      </c>
      <c r="BJ671" s="3">
        <v>0</v>
      </c>
      <c r="BL671" s="3">
        <v>0</v>
      </c>
      <c r="BM671" s="3">
        <v>0</v>
      </c>
    </row>
    <row r="672" spans="61:65" x14ac:dyDescent="0.25">
      <c r="BI672" s="3">
        <v>0</v>
      </c>
      <c r="BJ672" s="3">
        <v>0</v>
      </c>
      <c r="BL672" s="3">
        <v>0</v>
      </c>
      <c r="BM672" s="3">
        <v>0</v>
      </c>
    </row>
    <row r="673" spans="61:65" x14ac:dyDescent="0.25">
      <c r="BI673" s="3">
        <v>0</v>
      </c>
      <c r="BJ673" s="3">
        <v>0</v>
      </c>
      <c r="BL673" s="3">
        <v>0</v>
      </c>
      <c r="BM673" s="3">
        <v>0</v>
      </c>
    </row>
    <row r="674" spans="61:65" x14ac:dyDescent="0.25">
      <c r="BI674" s="3">
        <v>0</v>
      </c>
      <c r="BJ674" s="3">
        <v>0</v>
      </c>
      <c r="BL674" s="3">
        <v>0</v>
      </c>
      <c r="BM674" s="3">
        <v>0</v>
      </c>
    </row>
    <row r="675" spans="61:65" x14ac:dyDescent="0.25">
      <c r="BI675" s="3">
        <v>0</v>
      </c>
      <c r="BJ675" s="3">
        <v>0</v>
      </c>
      <c r="BL675" s="3">
        <v>0</v>
      </c>
      <c r="BM675" s="3">
        <v>0</v>
      </c>
    </row>
    <row r="676" spans="61:65" x14ac:dyDescent="0.25">
      <c r="BI676" s="3">
        <v>0</v>
      </c>
      <c r="BJ676" s="3">
        <v>0</v>
      </c>
      <c r="BL676" s="3">
        <v>0</v>
      </c>
      <c r="BM676" s="3">
        <v>0</v>
      </c>
    </row>
    <row r="677" spans="61:65" x14ac:dyDescent="0.25">
      <c r="BI677" s="3">
        <v>0</v>
      </c>
      <c r="BJ677" s="3">
        <v>0</v>
      </c>
      <c r="BL677" s="3">
        <v>0</v>
      </c>
      <c r="BM677" s="3">
        <v>0</v>
      </c>
    </row>
    <row r="678" spans="61:65" x14ac:dyDescent="0.25">
      <c r="BI678" s="3">
        <v>0</v>
      </c>
      <c r="BJ678" s="3">
        <v>0</v>
      </c>
      <c r="BL678" s="3">
        <v>0</v>
      </c>
      <c r="BM678" s="3">
        <v>0</v>
      </c>
    </row>
    <row r="679" spans="61:65" x14ac:dyDescent="0.25">
      <c r="BI679" s="3">
        <v>0</v>
      </c>
      <c r="BJ679" s="3">
        <v>0</v>
      </c>
      <c r="BL679" s="3">
        <v>0</v>
      </c>
      <c r="BM679" s="3">
        <v>0</v>
      </c>
    </row>
    <row r="680" spans="61:65" x14ac:dyDescent="0.25">
      <c r="BI680" s="3">
        <v>0</v>
      </c>
      <c r="BJ680" s="3">
        <v>0</v>
      </c>
      <c r="BL680" s="3">
        <v>0</v>
      </c>
      <c r="BM680" s="3">
        <v>0</v>
      </c>
    </row>
    <row r="681" spans="61:65" x14ac:dyDescent="0.25">
      <c r="BI681" s="3">
        <v>0</v>
      </c>
      <c r="BJ681" s="3">
        <v>0</v>
      </c>
      <c r="BL681" s="3">
        <v>0</v>
      </c>
      <c r="BM681" s="3">
        <v>0</v>
      </c>
    </row>
    <row r="682" spans="61:65" x14ac:dyDescent="0.25">
      <c r="BI682" s="3">
        <v>0</v>
      </c>
      <c r="BJ682" s="3">
        <v>0</v>
      </c>
      <c r="BL682" s="3">
        <v>0</v>
      </c>
      <c r="BM682" s="3">
        <v>0</v>
      </c>
    </row>
    <row r="683" spans="61:65" x14ac:dyDescent="0.25">
      <c r="BI683" s="3">
        <v>0</v>
      </c>
      <c r="BJ683" s="3">
        <v>0</v>
      </c>
      <c r="BL683" s="3">
        <v>0</v>
      </c>
      <c r="BM683" s="3">
        <v>0</v>
      </c>
    </row>
    <row r="684" spans="61:65" x14ac:dyDescent="0.25">
      <c r="BI684" s="3">
        <v>0</v>
      </c>
      <c r="BJ684" s="3">
        <v>0</v>
      </c>
      <c r="BL684" s="3">
        <v>0</v>
      </c>
      <c r="BM684" s="3">
        <v>0</v>
      </c>
    </row>
    <row r="685" spans="61:65" x14ac:dyDescent="0.25">
      <c r="BI685" s="3">
        <v>0</v>
      </c>
      <c r="BJ685" s="3">
        <v>0</v>
      </c>
      <c r="BL685" s="3">
        <v>0</v>
      </c>
      <c r="BM685" s="3">
        <v>0</v>
      </c>
    </row>
    <row r="686" spans="61:65" x14ac:dyDescent="0.25">
      <c r="BI686" s="3">
        <v>0</v>
      </c>
      <c r="BJ686" s="3">
        <v>0</v>
      </c>
      <c r="BL686" s="3">
        <v>0</v>
      </c>
      <c r="BM686" s="3">
        <v>0</v>
      </c>
    </row>
    <row r="687" spans="61:65" x14ac:dyDescent="0.25">
      <c r="BI687" s="3">
        <v>0</v>
      </c>
      <c r="BJ687" s="3">
        <v>0</v>
      </c>
      <c r="BL687" s="3">
        <v>0</v>
      </c>
      <c r="BM687" s="3">
        <v>0</v>
      </c>
    </row>
    <row r="688" spans="61:65" x14ac:dyDescent="0.25">
      <c r="BI688" s="3">
        <v>0</v>
      </c>
      <c r="BJ688" s="3">
        <v>0</v>
      </c>
      <c r="BL688" s="3">
        <v>0</v>
      </c>
      <c r="BM688" s="3">
        <v>0</v>
      </c>
    </row>
    <row r="689" spans="61:65" x14ac:dyDescent="0.25">
      <c r="BI689" s="3">
        <v>0</v>
      </c>
      <c r="BJ689" s="3">
        <v>0</v>
      </c>
      <c r="BL689" s="3">
        <v>0</v>
      </c>
      <c r="BM689" s="3">
        <v>0</v>
      </c>
    </row>
    <row r="690" spans="61:65" x14ac:dyDescent="0.25">
      <c r="BI690" s="3">
        <v>0</v>
      </c>
      <c r="BJ690" s="3">
        <v>0</v>
      </c>
      <c r="BL690" s="3">
        <v>0</v>
      </c>
      <c r="BM690" s="3">
        <v>0</v>
      </c>
    </row>
    <row r="691" spans="61:65" x14ac:dyDescent="0.25">
      <c r="BI691" s="3">
        <v>0</v>
      </c>
      <c r="BJ691" s="3">
        <v>0</v>
      </c>
      <c r="BL691" s="3">
        <v>0</v>
      </c>
      <c r="BM691" s="3">
        <v>0</v>
      </c>
    </row>
    <row r="692" spans="61:65" x14ac:dyDescent="0.25">
      <c r="BI692" s="3">
        <v>0</v>
      </c>
      <c r="BJ692" s="3">
        <v>0</v>
      </c>
      <c r="BL692" s="3">
        <v>0</v>
      </c>
      <c r="BM692" s="3">
        <v>0</v>
      </c>
    </row>
    <row r="693" spans="61:65" x14ac:dyDescent="0.25">
      <c r="BI693" s="3">
        <v>0</v>
      </c>
      <c r="BJ693" s="3">
        <v>0</v>
      </c>
      <c r="BL693" s="3">
        <v>0</v>
      </c>
      <c r="BM693" s="3">
        <v>0</v>
      </c>
    </row>
    <row r="694" spans="61:65" x14ac:dyDescent="0.25">
      <c r="BI694" s="3">
        <v>0</v>
      </c>
      <c r="BJ694" s="3">
        <v>0</v>
      </c>
      <c r="BL694" s="3">
        <v>0</v>
      </c>
      <c r="BM694" s="3">
        <v>0</v>
      </c>
    </row>
    <row r="695" spans="61:65" x14ac:dyDescent="0.25">
      <c r="BI695" s="3">
        <v>0</v>
      </c>
      <c r="BJ695" s="3">
        <v>0</v>
      </c>
      <c r="BL695" s="3">
        <v>0</v>
      </c>
      <c r="BM695" s="3">
        <v>0</v>
      </c>
    </row>
    <row r="696" spans="61:65" x14ac:dyDescent="0.25">
      <c r="BI696" s="3">
        <v>0</v>
      </c>
      <c r="BJ696" s="3">
        <v>0</v>
      </c>
      <c r="BL696" s="3">
        <v>0</v>
      </c>
      <c r="BM696" s="3">
        <v>0</v>
      </c>
    </row>
    <row r="697" spans="61:65" x14ac:dyDescent="0.25">
      <c r="BI697" s="3">
        <v>0</v>
      </c>
      <c r="BJ697" s="3">
        <v>0</v>
      </c>
      <c r="BL697" s="3">
        <v>0</v>
      </c>
      <c r="BM697" s="3">
        <v>0</v>
      </c>
    </row>
    <row r="698" spans="61:65" x14ac:dyDescent="0.25">
      <c r="BI698" s="3">
        <v>0</v>
      </c>
      <c r="BJ698" s="3">
        <v>0</v>
      </c>
      <c r="BL698" s="3">
        <v>0</v>
      </c>
      <c r="BM698" s="3">
        <v>0</v>
      </c>
    </row>
    <row r="699" spans="61:65" x14ac:dyDescent="0.25">
      <c r="BI699" s="3">
        <v>0</v>
      </c>
      <c r="BJ699" s="3">
        <v>0</v>
      </c>
      <c r="BL699" s="3">
        <v>0</v>
      </c>
      <c r="BM699" s="3">
        <v>0</v>
      </c>
    </row>
    <row r="700" spans="61:65" x14ac:dyDescent="0.25">
      <c r="BI700" s="3">
        <v>0</v>
      </c>
      <c r="BJ700" s="3">
        <v>0</v>
      </c>
      <c r="BL700" s="3">
        <v>0</v>
      </c>
      <c r="BM700" s="3">
        <v>0</v>
      </c>
    </row>
    <row r="701" spans="61:65" x14ac:dyDescent="0.25">
      <c r="BI701" s="3">
        <v>0</v>
      </c>
      <c r="BJ701" s="3">
        <v>0</v>
      </c>
      <c r="BL701" s="3">
        <v>0</v>
      </c>
      <c r="BM701" s="3">
        <v>0</v>
      </c>
    </row>
    <row r="702" spans="61:65" x14ac:dyDescent="0.25">
      <c r="BI702" s="3">
        <v>0</v>
      </c>
      <c r="BJ702" s="3">
        <v>0</v>
      </c>
      <c r="BL702" s="3">
        <v>0</v>
      </c>
      <c r="BM702" s="3">
        <v>0</v>
      </c>
    </row>
    <row r="703" spans="61:65" x14ac:dyDescent="0.25">
      <c r="BI703" s="3">
        <v>0</v>
      </c>
      <c r="BJ703" s="3">
        <v>0</v>
      </c>
      <c r="BL703" s="3">
        <v>0</v>
      </c>
      <c r="BM703" s="3">
        <v>0</v>
      </c>
    </row>
    <row r="704" spans="61:65" x14ac:dyDescent="0.25">
      <c r="BI704" s="3">
        <v>0</v>
      </c>
      <c r="BJ704" s="3">
        <v>0</v>
      </c>
      <c r="BL704" s="3">
        <v>0</v>
      </c>
      <c r="BM704" s="3">
        <v>0</v>
      </c>
    </row>
    <row r="705" spans="61:65" x14ac:dyDescent="0.25">
      <c r="BI705" s="3">
        <v>0</v>
      </c>
      <c r="BJ705" s="3">
        <v>0</v>
      </c>
      <c r="BL705" s="3">
        <v>0</v>
      </c>
      <c r="BM705" s="3">
        <v>0</v>
      </c>
    </row>
    <row r="706" spans="61:65" x14ac:dyDescent="0.25">
      <c r="BI706" s="3">
        <v>0</v>
      </c>
      <c r="BJ706" s="3">
        <v>0</v>
      </c>
      <c r="BL706" s="3">
        <v>0</v>
      </c>
      <c r="BM706" s="3">
        <v>0</v>
      </c>
    </row>
    <row r="707" spans="61:65" x14ac:dyDescent="0.25">
      <c r="BI707" s="3">
        <v>0</v>
      </c>
      <c r="BJ707" s="3">
        <v>0</v>
      </c>
      <c r="BL707" s="3">
        <v>0</v>
      </c>
      <c r="BM707" s="3">
        <v>0</v>
      </c>
    </row>
    <row r="708" spans="61:65" x14ac:dyDescent="0.25">
      <c r="BI708" s="3">
        <v>0</v>
      </c>
      <c r="BJ708" s="3">
        <v>0</v>
      </c>
      <c r="BL708" s="3">
        <v>0</v>
      </c>
      <c r="BM708" s="3">
        <v>0</v>
      </c>
    </row>
    <row r="709" spans="61:65" x14ac:dyDescent="0.25">
      <c r="BI709" s="3">
        <v>0</v>
      </c>
      <c r="BJ709" s="3">
        <v>0</v>
      </c>
      <c r="BL709" s="3">
        <v>0</v>
      </c>
      <c r="BM709" s="3">
        <v>0</v>
      </c>
    </row>
    <row r="710" spans="61:65" x14ac:dyDescent="0.25">
      <c r="BI710" s="3">
        <v>0</v>
      </c>
      <c r="BJ710" s="3">
        <v>0</v>
      </c>
      <c r="BL710" s="3">
        <v>0</v>
      </c>
      <c r="BM710" s="3">
        <v>0</v>
      </c>
    </row>
    <row r="711" spans="61:65" x14ac:dyDescent="0.25">
      <c r="BI711" s="3">
        <v>0</v>
      </c>
      <c r="BJ711" s="3">
        <v>0</v>
      </c>
      <c r="BL711" s="3">
        <v>0</v>
      </c>
      <c r="BM711" s="3">
        <v>0</v>
      </c>
    </row>
    <row r="712" spans="61:65" x14ac:dyDescent="0.25">
      <c r="BI712" s="3">
        <v>0</v>
      </c>
      <c r="BJ712" s="3">
        <v>0</v>
      </c>
      <c r="BL712" s="3">
        <v>0</v>
      </c>
      <c r="BM712" s="3">
        <v>0</v>
      </c>
    </row>
    <row r="713" spans="61:65" x14ac:dyDescent="0.25">
      <c r="BI713" s="3">
        <v>0</v>
      </c>
      <c r="BJ713" s="3">
        <v>0</v>
      </c>
      <c r="BL713" s="3">
        <v>0</v>
      </c>
      <c r="BM713" s="3">
        <v>0</v>
      </c>
    </row>
    <row r="714" spans="61:65" x14ac:dyDescent="0.25">
      <c r="BI714" s="3">
        <v>0</v>
      </c>
      <c r="BJ714" s="3">
        <v>0</v>
      </c>
      <c r="BL714" s="3">
        <v>0</v>
      </c>
      <c r="BM714" s="3">
        <v>0</v>
      </c>
    </row>
    <row r="715" spans="61:65" x14ac:dyDescent="0.25">
      <c r="BI715" s="3">
        <v>0</v>
      </c>
      <c r="BJ715" s="3">
        <v>0</v>
      </c>
      <c r="BL715" s="3">
        <v>0</v>
      </c>
      <c r="BM715" s="3">
        <v>0</v>
      </c>
    </row>
    <row r="716" spans="61:65" x14ac:dyDescent="0.25">
      <c r="BI716" s="3">
        <v>0</v>
      </c>
      <c r="BJ716" s="3">
        <v>0</v>
      </c>
      <c r="BL716" s="3">
        <v>0</v>
      </c>
      <c r="BM716" s="3">
        <v>0</v>
      </c>
    </row>
    <row r="717" spans="61:65" x14ac:dyDescent="0.25">
      <c r="BI717" s="3">
        <v>0</v>
      </c>
      <c r="BJ717" s="3">
        <v>0</v>
      </c>
      <c r="BL717" s="3">
        <v>0</v>
      </c>
      <c r="BM717" s="3">
        <v>0</v>
      </c>
    </row>
    <row r="718" spans="61:65" x14ac:dyDescent="0.25">
      <c r="BI718" s="3">
        <v>0</v>
      </c>
      <c r="BJ718" s="3">
        <v>0</v>
      </c>
      <c r="BL718" s="3">
        <v>0</v>
      </c>
      <c r="BM718" s="3">
        <v>0</v>
      </c>
    </row>
    <row r="719" spans="61:65" x14ac:dyDescent="0.25">
      <c r="BI719" s="3">
        <v>0</v>
      </c>
      <c r="BJ719" s="3">
        <v>0</v>
      </c>
      <c r="BL719" s="3">
        <v>0</v>
      </c>
      <c r="BM719" s="3">
        <v>0</v>
      </c>
    </row>
    <row r="720" spans="61:65" x14ac:dyDescent="0.25">
      <c r="BI720" s="3">
        <v>0</v>
      </c>
      <c r="BJ720" s="3">
        <v>0</v>
      </c>
      <c r="BL720" s="3">
        <v>0</v>
      </c>
      <c r="BM720" s="3">
        <v>0</v>
      </c>
    </row>
    <row r="721" spans="61:65" x14ac:dyDescent="0.25">
      <c r="BI721" s="3">
        <v>0</v>
      </c>
      <c r="BJ721" s="3">
        <v>0</v>
      </c>
      <c r="BL721" s="3">
        <v>0</v>
      </c>
      <c r="BM721" s="3">
        <v>0</v>
      </c>
    </row>
    <row r="722" spans="61:65" x14ac:dyDescent="0.25">
      <c r="BI722" s="3">
        <v>0</v>
      </c>
      <c r="BJ722" s="3">
        <v>0</v>
      </c>
      <c r="BL722" s="3">
        <v>0</v>
      </c>
      <c r="BM722" s="3">
        <v>0</v>
      </c>
    </row>
    <row r="723" spans="61:65" x14ac:dyDescent="0.25">
      <c r="BI723" s="3">
        <v>0</v>
      </c>
      <c r="BJ723" s="3">
        <v>0</v>
      </c>
      <c r="BL723" s="3">
        <v>0</v>
      </c>
      <c r="BM723" s="3">
        <v>0</v>
      </c>
    </row>
    <row r="724" spans="61:65" x14ac:dyDescent="0.25">
      <c r="BI724" s="3">
        <v>0</v>
      </c>
      <c r="BJ724" s="3">
        <v>0</v>
      </c>
      <c r="BL724" s="3">
        <v>0</v>
      </c>
      <c r="BM724" s="3">
        <v>0</v>
      </c>
    </row>
    <row r="725" spans="61:65" x14ac:dyDescent="0.25">
      <c r="BI725" s="3">
        <v>0</v>
      </c>
      <c r="BJ725" s="3">
        <v>0</v>
      </c>
      <c r="BL725" s="3">
        <v>0</v>
      </c>
      <c r="BM725" s="3">
        <v>0</v>
      </c>
    </row>
    <row r="726" spans="61:65" x14ac:dyDescent="0.25">
      <c r="BI726" s="3">
        <v>0</v>
      </c>
      <c r="BJ726" s="3">
        <v>0</v>
      </c>
      <c r="BL726" s="3">
        <v>0</v>
      </c>
      <c r="BM726" s="3">
        <v>0</v>
      </c>
    </row>
    <row r="727" spans="61:65" x14ac:dyDescent="0.25">
      <c r="BI727" s="3">
        <v>0</v>
      </c>
      <c r="BJ727" s="3">
        <v>0</v>
      </c>
      <c r="BL727" s="3">
        <v>0</v>
      </c>
      <c r="BM727" s="3">
        <v>0</v>
      </c>
    </row>
    <row r="728" spans="61:65" x14ac:dyDescent="0.25">
      <c r="BI728" s="3">
        <v>0</v>
      </c>
      <c r="BJ728" s="3">
        <v>0</v>
      </c>
      <c r="BL728" s="3">
        <v>0</v>
      </c>
      <c r="BM728" s="3">
        <v>0</v>
      </c>
    </row>
    <row r="729" spans="61:65" x14ac:dyDescent="0.25">
      <c r="BI729" s="3">
        <v>0</v>
      </c>
      <c r="BJ729" s="3">
        <v>0</v>
      </c>
      <c r="BL729" s="3">
        <v>0</v>
      </c>
      <c r="BM729" s="3">
        <v>0</v>
      </c>
    </row>
    <row r="730" spans="61:65" x14ac:dyDescent="0.25">
      <c r="BI730" s="3">
        <v>0</v>
      </c>
      <c r="BJ730" s="3">
        <v>0</v>
      </c>
      <c r="BL730" s="3">
        <v>0</v>
      </c>
      <c r="BM730" s="3">
        <v>0</v>
      </c>
    </row>
    <row r="731" spans="61:65" x14ac:dyDescent="0.25">
      <c r="BI731" s="3">
        <v>0</v>
      </c>
      <c r="BJ731" s="3">
        <v>0</v>
      </c>
      <c r="BL731" s="3">
        <v>0</v>
      </c>
      <c r="BM731" s="3">
        <v>0</v>
      </c>
    </row>
    <row r="732" spans="61:65" x14ac:dyDescent="0.25">
      <c r="BI732" s="3">
        <v>0</v>
      </c>
      <c r="BJ732" s="3">
        <v>0</v>
      </c>
      <c r="BL732" s="3">
        <v>0</v>
      </c>
      <c r="BM732" s="3">
        <v>0</v>
      </c>
    </row>
    <row r="733" spans="61:65" x14ac:dyDescent="0.25">
      <c r="BI733" s="3">
        <v>0</v>
      </c>
      <c r="BJ733" s="3">
        <v>0</v>
      </c>
      <c r="BL733" s="3">
        <v>0</v>
      </c>
      <c r="BM733" s="3">
        <v>0</v>
      </c>
    </row>
    <row r="734" spans="61:65" x14ac:dyDescent="0.25">
      <c r="BI734" s="3">
        <v>0</v>
      </c>
      <c r="BJ734" s="3">
        <v>0</v>
      </c>
      <c r="BL734" s="3">
        <v>0</v>
      </c>
      <c r="BM734" s="3">
        <v>0</v>
      </c>
    </row>
    <row r="735" spans="61:65" x14ac:dyDescent="0.25">
      <c r="BI735" s="3">
        <v>0</v>
      </c>
      <c r="BJ735" s="3">
        <v>0</v>
      </c>
      <c r="BL735" s="3">
        <v>0</v>
      </c>
      <c r="BM735" s="3">
        <v>0</v>
      </c>
    </row>
    <row r="736" spans="61:65" x14ac:dyDescent="0.25">
      <c r="BI736" s="3">
        <v>0</v>
      </c>
      <c r="BJ736" s="3">
        <v>0</v>
      </c>
      <c r="BL736" s="3">
        <v>0</v>
      </c>
      <c r="BM736" s="3">
        <v>0</v>
      </c>
    </row>
    <row r="737" spans="61:65" x14ac:dyDescent="0.25">
      <c r="BI737" s="3">
        <v>0</v>
      </c>
      <c r="BJ737" s="3">
        <v>0</v>
      </c>
      <c r="BL737" s="3">
        <v>0</v>
      </c>
      <c r="BM737" s="3">
        <v>0</v>
      </c>
    </row>
    <row r="738" spans="61:65" x14ac:dyDescent="0.25">
      <c r="BI738" s="3">
        <v>0</v>
      </c>
      <c r="BJ738" s="3">
        <v>0</v>
      </c>
      <c r="BL738" s="3">
        <v>0</v>
      </c>
      <c r="BM738" s="3">
        <v>0</v>
      </c>
    </row>
    <row r="739" spans="61:65" x14ac:dyDescent="0.25">
      <c r="BI739" s="3">
        <v>0</v>
      </c>
      <c r="BJ739" s="3">
        <v>0</v>
      </c>
      <c r="BL739" s="3">
        <v>0</v>
      </c>
      <c r="BM739" s="3">
        <v>0</v>
      </c>
    </row>
    <row r="740" spans="61:65" x14ac:dyDescent="0.25">
      <c r="BI740" s="3">
        <v>0</v>
      </c>
      <c r="BJ740" s="3">
        <v>0</v>
      </c>
      <c r="BL740" s="3">
        <v>0</v>
      </c>
      <c r="BM740" s="3">
        <v>0</v>
      </c>
    </row>
    <row r="741" spans="61:65" x14ac:dyDescent="0.25">
      <c r="BI741" s="3">
        <v>0</v>
      </c>
      <c r="BJ741" s="3">
        <v>0</v>
      </c>
      <c r="BL741" s="3">
        <v>0</v>
      </c>
      <c r="BM741" s="3">
        <v>0</v>
      </c>
    </row>
    <row r="742" spans="61:65" x14ac:dyDescent="0.25">
      <c r="BI742" s="3">
        <v>0</v>
      </c>
      <c r="BJ742" s="3">
        <v>0</v>
      </c>
      <c r="BL742" s="3">
        <v>0</v>
      </c>
      <c r="BM742" s="3">
        <v>0</v>
      </c>
    </row>
    <row r="743" spans="61:65" x14ac:dyDescent="0.25">
      <c r="BI743" s="3">
        <v>0</v>
      </c>
      <c r="BJ743" s="3">
        <v>0</v>
      </c>
      <c r="BL743" s="3">
        <v>0</v>
      </c>
      <c r="BM743" s="3">
        <v>0</v>
      </c>
    </row>
    <row r="744" spans="61:65" x14ac:dyDescent="0.25">
      <c r="BI744" s="3">
        <v>0</v>
      </c>
      <c r="BJ744" s="3">
        <v>0</v>
      </c>
      <c r="BL744" s="3">
        <v>0</v>
      </c>
      <c r="BM744" s="3">
        <v>0</v>
      </c>
    </row>
    <row r="745" spans="61:65" x14ac:dyDescent="0.25">
      <c r="BI745" s="3">
        <v>0</v>
      </c>
      <c r="BJ745" s="3">
        <v>0</v>
      </c>
      <c r="BL745" s="3">
        <v>0</v>
      </c>
      <c r="BM745" s="3">
        <v>0</v>
      </c>
    </row>
    <row r="746" spans="61:65" x14ac:dyDescent="0.25">
      <c r="BI746" s="3">
        <v>0</v>
      </c>
      <c r="BJ746" s="3">
        <v>0</v>
      </c>
      <c r="BL746" s="3">
        <v>0</v>
      </c>
      <c r="BM746" s="3">
        <v>0</v>
      </c>
    </row>
    <row r="747" spans="61:65" x14ac:dyDescent="0.25">
      <c r="BI747" s="3">
        <v>0</v>
      </c>
      <c r="BJ747" s="3">
        <v>0</v>
      </c>
      <c r="BL747" s="3">
        <v>0</v>
      </c>
      <c r="BM747" s="3">
        <v>0</v>
      </c>
    </row>
    <row r="748" spans="61:65" x14ac:dyDescent="0.25">
      <c r="BI748" s="3">
        <v>0</v>
      </c>
      <c r="BJ748" s="3">
        <v>0</v>
      </c>
      <c r="BL748" s="3">
        <v>0</v>
      </c>
      <c r="BM748" s="3">
        <v>0</v>
      </c>
    </row>
    <row r="749" spans="61:65" x14ac:dyDescent="0.25">
      <c r="BI749" s="3">
        <v>0</v>
      </c>
      <c r="BJ749" s="3">
        <v>0</v>
      </c>
      <c r="BL749" s="3">
        <v>0</v>
      </c>
      <c r="BM749" s="3">
        <v>0</v>
      </c>
    </row>
    <row r="750" spans="61:65" x14ac:dyDescent="0.25">
      <c r="BI750" s="3">
        <v>0</v>
      </c>
      <c r="BJ750" s="3">
        <v>0</v>
      </c>
      <c r="BL750" s="3">
        <v>0</v>
      </c>
      <c r="BM750" s="3">
        <v>0</v>
      </c>
    </row>
    <row r="751" spans="61:65" x14ac:dyDescent="0.25">
      <c r="BI751" s="3">
        <v>0</v>
      </c>
      <c r="BJ751" s="3">
        <v>0</v>
      </c>
      <c r="BL751" s="3">
        <v>0</v>
      </c>
      <c r="BM751" s="3">
        <v>0</v>
      </c>
    </row>
    <row r="752" spans="61:65" x14ac:dyDescent="0.25">
      <c r="BI752" s="3">
        <v>0</v>
      </c>
      <c r="BJ752" s="3">
        <v>0</v>
      </c>
      <c r="BL752" s="3">
        <v>0</v>
      </c>
      <c r="BM752" s="3">
        <v>0</v>
      </c>
    </row>
    <row r="753" spans="61:65" x14ac:dyDescent="0.25">
      <c r="BI753" s="3">
        <v>0</v>
      </c>
      <c r="BJ753" s="3">
        <v>0</v>
      </c>
      <c r="BL753" s="3">
        <v>0</v>
      </c>
      <c r="BM753" s="3">
        <v>0</v>
      </c>
    </row>
    <row r="754" spans="61:65" x14ac:dyDescent="0.25">
      <c r="BI754" s="3">
        <v>0</v>
      </c>
      <c r="BJ754" s="3">
        <v>0</v>
      </c>
      <c r="BL754" s="3">
        <v>0</v>
      </c>
      <c r="BM754" s="3">
        <v>0</v>
      </c>
    </row>
    <row r="755" spans="61:65" x14ac:dyDescent="0.25">
      <c r="BI755" s="3">
        <v>0</v>
      </c>
      <c r="BJ755" s="3">
        <v>0</v>
      </c>
      <c r="BL755" s="3">
        <v>0</v>
      </c>
      <c r="BM755" s="3">
        <v>0</v>
      </c>
    </row>
    <row r="756" spans="61:65" x14ac:dyDescent="0.25">
      <c r="BI756" s="3">
        <v>0</v>
      </c>
      <c r="BJ756" s="3">
        <v>0</v>
      </c>
      <c r="BL756" s="3">
        <v>0</v>
      </c>
      <c r="BM756" s="3">
        <v>0</v>
      </c>
    </row>
    <row r="757" spans="61:65" x14ac:dyDescent="0.25">
      <c r="BI757" s="3">
        <v>0</v>
      </c>
      <c r="BJ757" s="3">
        <v>0</v>
      </c>
      <c r="BL757" s="3">
        <v>0</v>
      </c>
      <c r="BM757" s="3">
        <v>0</v>
      </c>
    </row>
    <row r="758" spans="61:65" x14ac:dyDescent="0.25">
      <c r="BI758" s="3">
        <v>0</v>
      </c>
      <c r="BJ758" s="3">
        <v>0</v>
      </c>
      <c r="BL758" s="3">
        <v>0</v>
      </c>
      <c r="BM758" s="3">
        <v>0</v>
      </c>
    </row>
    <row r="759" spans="61:65" x14ac:dyDescent="0.25">
      <c r="BI759" s="3">
        <v>0</v>
      </c>
      <c r="BJ759" s="3">
        <v>0</v>
      </c>
      <c r="BL759" s="3">
        <v>0</v>
      </c>
      <c r="BM759" s="3">
        <v>0</v>
      </c>
    </row>
    <row r="760" spans="61:65" x14ac:dyDescent="0.25">
      <c r="BI760" s="3">
        <v>0</v>
      </c>
      <c r="BJ760" s="3">
        <v>0</v>
      </c>
      <c r="BL760" s="3">
        <v>0</v>
      </c>
      <c r="BM760" s="3">
        <v>0</v>
      </c>
    </row>
    <row r="761" spans="61:65" x14ac:dyDescent="0.25">
      <c r="BI761" s="3">
        <v>0</v>
      </c>
      <c r="BJ761" s="3">
        <v>0</v>
      </c>
      <c r="BL761" s="3">
        <v>0</v>
      </c>
      <c r="BM761" s="3">
        <v>0</v>
      </c>
    </row>
    <row r="762" spans="61:65" x14ac:dyDescent="0.25">
      <c r="BI762" s="3">
        <v>0</v>
      </c>
      <c r="BJ762" s="3">
        <v>0</v>
      </c>
      <c r="BL762" s="3">
        <v>0</v>
      </c>
      <c r="BM762" s="3">
        <v>0</v>
      </c>
    </row>
    <row r="763" spans="61:65" x14ac:dyDescent="0.25">
      <c r="BI763" s="3">
        <v>0</v>
      </c>
      <c r="BJ763" s="3">
        <v>0</v>
      </c>
      <c r="BL763" s="3">
        <v>0</v>
      </c>
      <c r="BM763" s="3">
        <v>0</v>
      </c>
    </row>
    <row r="764" spans="61:65" x14ac:dyDescent="0.25">
      <c r="BI764" s="3">
        <v>0</v>
      </c>
      <c r="BJ764" s="3">
        <v>0</v>
      </c>
      <c r="BL764" s="3">
        <v>0</v>
      </c>
      <c r="BM764" s="3">
        <v>0</v>
      </c>
    </row>
    <row r="765" spans="61:65" x14ac:dyDescent="0.25">
      <c r="BI765" s="3">
        <v>0</v>
      </c>
      <c r="BJ765" s="3">
        <v>0</v>
      </c>
      <c r="BL765" s="3">
        <v>0</v>
      </c>
      <c r="BM765" s="3">
        <v>0</v>
      </c>
    </row>
    <row r="766" spans="61:65" x14ac:dyDescent="0.25">
      <c r="BI766" s="3">
        <v>0</v>
      </c>
      <c r="BJ766" s="3">
        <v>0</v>
      </c>
      <c r="BL766" s="3">
        <v>0</v>
      </c>
      <c r="BM766" s="3">
        <v>0</v>
      </c>
    </row>
    <row r="767" spans="61:65" x14ac:dyDescent="0.25">
      <c r="BI767" s="3">
        <v>0</v>
      </c>
      <c r="BJ767" s="3">
        <v>0</v>
      </c>
      <c r="BL767" s="3">
        <v>0</v>
      </c>
      <c r="BM767" s="3">
        <v>0</v>
      </c>
    </row>
    <row r="768" spans="61:65" x14ac:dyDescent="0.25">
      <c r="BI768" s="3">
        <v>0</v>
      </c>
      <c r="BJ768" s="3">
        <v>0</v>
      </c>
      <c r="BL768" s="3">
        <v>0</v>
      </c>
      <c r="BM768" s="3">
        <v>0</v>
      </c>
    </row>
    <row r="769" spans="61:65" x14ac:dyDescent="0.25">
      <c r="BI769" s="3">
        <v>0</v>
      </c>
      <c r="BJ769" s="3">
        <v>0</v>
      </c>
      <c r="BL769" s="3">
        <v>0</v>
      </c>
      <c r="BM769" s="3">
        <v>0</v>
      </c>
    </row>
    <row r="770" spans="61:65" x14ac:dyDescent="0.25">
      <c r="BI770" s="3">
        <v>0</v>
      </c>
      <c r="BJ770" s="3">
        <v>0</v>
      </c>
      <c r="BL770" s="3">
        <v>0</v>
      </c>
      <c r="BM770" s="3">
        <v>0</v>
      </c>
    </row>
    <row r="771" spans="61:65" x14ac:dyDescent="0.25">
      <c r="BI771" s="3">
        <v>0</v>
      </c>
      <c r="BJ771" s="3">
        <v>0</v>
      </c>
      <c r="BL771" s="3">
        <v>0</v>
      </c>
      <c r="BM771" s="3">
        <v>0</v>
      </c>
    </row>
    <row r="772" spans="61:65" x14ac:dyDescent="0.25">
      <c r="BI772" s="3">
        <v>0</v>
      </c>
      <c r="BJ772" s="3">
        <v>0</v>
      </c>
      <c r="BL772" s="3">
        <v>0</v>
      </c>
      <c r="BM772" s="3">
        <v>0</v>
      </c>
    </row>
    <row r="773" spans="61:65" x14ac:dyDescent="0.25">
      <c r="BI773" s="3">
        <v>0</v>
      </c>
      <c r="BJ773" s="3">
        <v>0</v>
      </c>
      <c r="BL773" s="3">
        <v>0</v>
      </c>
      <c r="BM773" s="3">
        <v>0</v>
      </c>
    </row>
    <row r="774" spans="61:65" x14ac:dyDescent="0.25">
      <c r="BI774" s="3">
        <v>0</v>
      </c>
      <c r="BJ774" s="3">
        <v>0</v>
      </c>
      <c r="BL774" s="3">
        <v>0</v>
      </c>
      <c r="BM774" s="3">
        <v>0</v>
      </c>
    </row>
    <row r="775" spans="61:65" x14ac:dyDescent="0.25">
      <c r="BI775" s="3">
        <v>0</v>
      </c>
      <c r="BJ775" s="3">
        <v>0</v>
      </c>
      <c r="BL775" s="3">
        <v>0</v>
      </c>
      <c r="BM775" s="3">
        <v>0</v>
      </c>
    </row>
    <row r="776" spans="61:65" x14ac:dyDescent="0.25">
      <c r="BI776" s="3">
        <v>0</v>
      </c>
      <c r="BJ776" s="3">
        <v>0</v>
      </c>
      <c r="BL776" s="3">
        <v>0</v>
      </c>
      <c r="BM776" s="3">
        <v>0</v>
      </c>
    </row>
    <row r="777" spans="61:65" x14ac:dyDescent="0.25">
      <c r="BI777" s="3">
        <v>0</v>
      </c>
      <c r="BJ777" s="3">
        <v>0</v>
      </c>
      <c r="BL777" s="3">
        <v>0</v>
      </c>
      <c r="BM777" s="3">
        <v>0</v>
      </c>
    </row>
    <row r="778" spans="61:65" x14ac:dyDescent="0.25">
      <c r="BI778" s="3">
        <v>0</v>
      </c>
      <c r="BJ778" s="3">
        <v>0</v>
      </c>
      <c r="BL778" s="3">
        <v>0</v>
      </c>
      <c r="BM778" s="3">
        <v>0</v>
      </c>
    </row>
    <row r="779" spans="61:65" x14ac:dyDescent="0.25">
      <c r="BI779" s="3">
        <v>0</v>
      </c>
      <c r="BJ779" s="3">
        <v>0</v>
      </c>
      <c r="BL779" s="3">
        <v>0</v>
      </c>
      <c r="BM779" s="3">
        <v>0</v>
      </c>
    </row>
    <row r="780" spans="61:65" x14ac:dyDescent="0.25">
      <c r="BI780" s="3">
        <v>0</v>
      </c>
      <c r="BJ780" s="3">
        <v>0</v>
      </c>
      <c r="BL780" s="3">
        <v>0</v>
      </c>
      <c r="BM780" s="3">
        <v>0</v>
      </c>
    </row>
    <row r="781" spans="61:65" x14ac:dyDescent="0.25">
      <c r="BI781" s="3">
        <v>0</v>
      </c>
      <c r="BJ781" s="3">
        <v>0</v>
      </c>
      <c r="BL781" s="3">
        <v>0</v>
      </c>
      <c r="BM781" s="3">
        <v>0</v>
      </c>
    </row>
    <row r="782" spans="61:65" x14ac:dyDescent="0.25">
      <c r="BI782" s="3">
        <v>0</v>
      </c>
      <c r="BJ782" s="3">
        <v>0</v>
      </c>
      <c r="BL782" s="3">
        <v>0</v>
      </c>
      <c r="BM782" s="3">
        <v>0</v>
      </c>
    </row>
    <row r="783" spans="61:65" x14ac:dyDescent="0.25">
      <c r="BI783" s="3">
        <v>0</v>
      </c>
      <c r="BJ783" s="3">
        <v>0</v>
      </c>
      <c r="BL783" s="3">
        <v>0</v>
      </c>
      <c r="BM783" s="3">
        <v>0</v>
      </c>
    </row>
    <row r="784" spans="61:65" x14ac:dyDescent="0.25">
      <c r="BI784" s="3">
        <v>0</v>
      </c>
      <c r="BJ784" s="3">
        <v>0</v>
      </c>
      <c r="BL784" s="3">
        <v>0</v>
      </c>
      <c r="BM784" s="3">
        <v>0</v>
      </c>
    </row>
    <row r="785" spans="61:65" x14ac:dyDescent="0.25">
      <c r="BI785" s="3">
        <v>0</v>
      </c>
      <c r="BJ785" s="3">
        <v>0</v>
      </c>
      <c r="BL785" s="3">
        <v>0</v>
      </c>
      <c r="BM785" s="3">
        <v>0</v>
      </c>
    </row>
    <row r="786" spans="61:65" x14ac:dyDescent="0.25">
      <c r="BI786" s="3">
        <v>0</v>
      </c>
      <c r="BJ786" s="3">
        <v>0</v>
      </c>
      <c r="BL786" s="3">
        <v>0</v>
      </c>
      <c r="BM786" s="3">
        <v>0</v>
      </c>
    </row>
    <row r="787" spans="61:65" x14ac:dyDescent="0.25">
      <c r="BI787" s="3">
        <v>0</v>
      </c>
      <c r="BJ787" s="3">
        <v>0</v>
      </c>
      <c r="BL787" s="3">
        <v>0</v>
      </c>
      <c r="BM787" s="3">
        <v>0</v>
      </c>
    </row>
    <row r="788" spans="61:65" x14ac:dyDescent="0.25">
      <c r="BI788" s="3">
        <v>0</v>
      </c>
      <c r="BJ788" s="3">
        <v>0</v>
      </c>
      <c r="BL788" s="3">
        <v>0</v>
      </c>
      <c r="BM788" s="3">
        <v>0</v>
      </c>
    </row>
    <row r="789" spans="61:65" x14ac:dyDescent="0.25">
      <c r="BI789" s="3">
        <v>0</v>
      </c>
      <c r="BJ789" s="3">
        <v>0</v>
      </c>
      <c r="BL789" s="3">
        <v>0</v>
      </c>
      <c r="BM789" s="3">
        <v>0</v>
      </c>
    </row>
    <row r="790" spans="61:65" x14ac:dyDescent="0.25">
      <c r="BI790" s="3">
        <v>0</v>
      </c>
      <c r="BJ790" s="3">
        <v>0</v>
      </c>
      <c r="BL790" s="3">
        <v>0</v>
      </c>
      <c r="BM790" s="3">
        <v>0</v>
      </c>
    </row>
    <row r="791" spans="61:65" x14ac:dyDescent="0.25">
      <c r="BI791" s="3">
        <v>0</v>
      </c>
      <c r="BJ791" s="3">
        <v>0</v>
      </c>
      <c r="BL791" s="3">
        <v>0</v>
      </c>
      <c r="BM791" s="3">
        <v>0</v>
      </c>
    </row>
    <row r="792" spans="61:65" x14ac:dyDescent="0.25">
      <c r="BI792" s="3">
        <v>0</v>
      </c>
      <c r="BJ792" s="3">
        <v>0</v>
      </c>
      <c r="BL792" s="3">
        <v>0</v>
      </c>
      <c r="BM792" s="3">
        <v>0</v>
      </c>
    </row>
    <row r="793" spans="61:65" x14ac:dyDescent="0.25">
      <c r="BI793" s="3">
        <v>0</v>
      </c>
      <c r="BJ793" s="3">
        <v>0</v>
      </c>
      <c r="BL793" s="3">
        <v>0</v>
      </c>
      <c r="BM793" s="3">
        <v>0</v>
      </c>
    </row>
    <row r="794" spans="61:65" x14ac:dyDescent="0.25">
      <c r="BI794" s="3">
        <v>0</v>
      </c>
      <c r="BJ794" s="3">
        <v>0</v>
      </c>
      <c r="BL794" s="3">
        <v>0</v>
      </c>
      <c r="BM794" s="3">
        <v>0</v>
      </c>
    </row>
    <row r="795" spans="61:65" x14ac:dyDescent="0.25">
      <c r="BI795" s="3">
        <v>0</v>
      </c>
      <c r="BJ795" s="3">
        <v>0</v>
      </c>
      <c r="BL795" s="3">
        <v>0</v>
      </c>
      <c r="BM795" s="3">
        <v>0</v>
      </c>
    </row>
    <row r="796" spans="61:65" x14ac:dyDescent="0.25">
      <c r="BI796" s="3">
        <v>0</v>
      </c>
      <c r="BJ796" s="3">
        <v>0</v>
      </c>
      <c r="BL796" s="3">
        <v>0</v>
      </c>
      <c r="BM796" s="3">
        <v>0</v>
      </c>
    </row>
    <row r="797" spans="61:65" x14ac:dyDescent="0.25">
      <c r="BI797" s="3">
        <v>0</v>
      </c>
      <c r="BJ797" s="3">
        <v>0</v>
      </c>
      <c r="BL797" s="3">
        <v>0</v>
      </c>
      <c r="BM797" s="3">
        <v>0</v>
      </c>
    </row>
    <row r="798" spans="61:65" x14ac:dyDescent="0.25">
      <c r="BI798" s="3">
        <v>0</v>
      </c>
      <c r="BJ798" s="3">
        <v>0</v>
      </c>
      <c r="BL798" s="3">
        <v>0</v>
      </c>
      <c r="BM798" s="3">
        <v>0</v>
      </c>
    </row>
    <row r="799" spans="61:65" x14ac:dyDescent="0.25">
      <c r="BI799" s="3">
        <v>0</v>
      </c>
      <c r="BJ799" s="3">
        <v>0</v>
      </c>
      <c r="BL799" s="3">
        <v>0</v>
      </c>
      <c r="BM799" s="3">
        <v>0</v>
      </c>
    </row>
    <row r="800" spans="61:65" x14ac:dyDescent="0.25">
      <c r="BI800" s="3">
        <v>0</v>
      </c>
      <c r="BJ800" s="3">
        <v>0</v>
      </c>
      <c r="BL800" s="3">
        <v>0</v>
      </c>
      <c r="BM800" s="3">
        <v>0</v>
      </c>
    </row>
    <row r="801" spans="61:65" x14ac:dyDescent="0.25">
      <c r="BI801" s="3">
        <v>0</v>
      </c>
      <c r="BJ801" s="3">
        <v>0</v>
      </c>
      <c r="BL801" s="3">
        <v>0</v>
      </c>
      <c r="BM801" s="3">
        <v>0</v>
      </c>
    </row>
    <row r="802" spans="61:65" x14ac:dyDescent="0.25">
      <c r="BI802" s="3">
        <v>0</v>
      </c>
      <c r="BJ802" s="3">
        <v>0</v>
      </c>
      <c r="BL802" s="3">
        <v>0</v>
      </c>
      <c r="BM802" s="3">
        <v>0</v>
      </c>
    </row>
    <row r="803" spans="61:65" x14ac:dyDescent="0.25">
      <c r="BI803" s="3">
        <v>0</v>
      </c>
      <c r="BJ803" s="3">
        <v>0</v>
      </c>
      <c r="BL803" s="3">
        <v>0</v>
      </c>
      <c r="BM803" s="3">
        <v>0</v>
      </c>
    </row>
    <row r="804" spans="61:65" x14ac:dyDescent="0.25">
      <c r="BI804" s="3">
        <v>0</v>
      </c>
      <c r="BJ804" s="3">
        <v>0</v>
      </c>
      <c r="BL804" s="3">
        <v>0</v>
      </c>
      <c r="BM804" s="3">
        <v>0</v>
      </c>
    </row>
    <row r="805" spans="61:65" x14ac:dyDescent="0.25">
      <c r="BI805" s="3">
        <v>0</v>
      </c>
      <c r="BJ805" s="3">
        <v>0</v>
      </c>
      <c r="BL805" s="3">
        <v>0</v>
      </c>
      <c r="BM805" s="3">
        <v>0</v>
      </c>
    </row>
    <row r="806" spans="61:65" x14ac:dyDescent="0.25">
      <c r="BI806" s="3">
        <v>0</v>
      </c>
      <c r="BJ806" s="3">
        <v>0</v>
      </c>
      <c r="BL806" s="3">
        <v>0</v>
      </c>
      <c r="BM806" s="3">
        <v>0</v>
      </c>
    </row>
    <row r="807" spans="61:65" x14ac:dyDescent="0.25">
      <c r="BI807" s="3">
        <v>0</v>
      </c>
      <c r="BJ807" s="3">
        <v>0</v>
      </c>
      <c r="BL807" s="3">
        <v>0</v>
      </c>
      <c r="BM807" s="3">
        <v>0</v>
      </c>
    </row>
    <row r="808" spans="61:65" x14ac:dyDescent="0.25">
      <c r="BI808" s="3">
        <v>0</v>
      </c>
      <c r="BJ808" s="3">
        <v>0</v>
      </c>
      <c r="BL808" s="3">
        <v>0</v>
      </c>
      <c r="BM808" s="3">
        <v>0</v>
      </c>
    </row>
    <row r="809" spans="61:65" x14ac:dyDescent="0.25">
      <c r="BI809" s="3">
        <v>0</v>
      </c>
      <c r="BJ809" s="3">
        <v>0</v>
      </c>
      <c r="BL809" s="3">
        <v>0</v>
      </c>
      <c r="BM809" s="3">
        <v>0</v>
      </c>
    </row>
    <row r="810" spans="61:65" x14ac:dyDescent="0.25">
      <c r="BI810" s="3">
        <v>0</v>
      </c>
      <c r="BJ810" s="3">
        <v>0</v>
      </c>
      <c r="BL810" s="3">
        <v>0</v>
      </c>
      <c r="BM810" s="3">
        <v>0</v>
      </c>
    </row>
    <row r="811" spans="61:65" x14ac:dyDescent="0.25">
      <c r="BI811" s="3">
        <v>0</v>
      </c>
      <c r="BJ811" s="3">
        <v>0</v>
      </c>
      <c r="BL811" s="3">
        <v>0</v>
      </c>
      <c r="BM811" s="3">
        <v>0</v>
      </c>
    </row>
    <row r="812" spans="61:65" x14ac:dyDescent="0.25">
      <c r="BI812" s="3">
        <v>0</v>
      </c>
      <c r="BJ812" s="3">
        <v>0</v>
      </c>
      <c r="BL812" s="3">
        <v>0</v>
      </c>
      <c r="BM812" s="3">
        <v>0</v>
      </c>
    </row>
    <row r="813" spans="61:65" x14ac:dyDescent="0.25">
      <c r="BI813" s="3">
        <v>0</v>
      </c>
      <c r="BJ813" s="3">
        <v>0</v>
      </c>
      <c r="BL813" s="3">
        <v>0</v>
      </c>
      <c r="BM813" s="3">
        <v>0</v>
      </c>
    </row>
    <row r="814" spans="61:65" x14ac:dyDescent="0.25">
      <c r="BI814" s="3">
        <v>0</v>
      </c>
      <c r="BJ814" s="3">
        <v>0</v>
      </c>
      <c r="BL814" s="3">
        <v>0</v>
      </c>
      <c r="BM814" s="3">
        <v>0</v>
      </c>
    </row>
    <row r="815" spans="61:65" x14ac:dyDescent="0.25">
      <c r="BI815" s="3">
        <v>0</v>
      </c>
      <c r="BJ815" s="3">
        <v>0</v>
      </c>
      <c r="BL815" s="3">
        <v>0</v>
      </c>
      <c r="BM815" s="3">
        <v>0</v>
      </c>
    </row>
    <row r="816" spans="61:65" x14ac:dyDescent="0.25">
      <c r="BI816" s="3">
        <v>0</v>
      </c>
      <c r="BJ816" s="3">
        <v>0</v>
      </c>
      <c r="BL816" s="3">
        <v>0</v>
      </c>
      <c r="BM816" s="3">
        <v>0</v>
      </c>
    </row>
    <row r="817" spans="61:65" x14ac:dyDescent="0.25">
      <c r="BI817" s="3">
        <v>0</v>
      </c>
      <c r="BJ817" s="3">
        <v>0</v>
      </c>
      <c r="BL817" s="3">
        <v>0</v>
      </c>
      <c r="BM817" s="3">
        <v>0</v>
      </c>
    </row>
    <row r="818" spans="61:65" x14ac:dyDescent="0.25">
      <c r="BI818" s="3">
        <v>0</v>
      </c>
      <c r="BJ818" s="3">
        <v>0</v>
      </c>
      <c r="BL818" s="3">
        <v>0</v>
      </c>
      <c r="BM818" s="3">
        <v>0</v>
      </c>
    </row>
    <row r="819" spans="61:65" x14ac:dyDescent="0.25">
      <c r="BI819" s="3">
        <v>0</v>
      </c>
      <c r="BJ819" s="3">
        <v>0</v>
      </c>
      <c r="BL819" s="3">
        <v>0</v>
      </c>
      <c r="BM819" s="3">
        <v>0</v>
      </c>
    </row>
    <row r="820" spans="61:65" x14ac:dyDescent="0.25">
      <c r="BI820" s="3">
        <v>0</v>
      </c>
      <c r="BJ820" s="3">
        <v>0</v>
      </c>
      <c r="BL820" s="3">
        <v>0</v>
      </c>
      <c r="BM820" s="3">
        <v>0</v>
      </c>
    </row>
    <row r="821" spans="61:65" x14ac:dyDescent="0.25">
      <c r="BI821" s="3">
        <v>0</v>
      </c>
      <c r="BJ821" s="3">
        <v>0</v>
      </c>
      <c r="BL821" s="3">
        <v>0</v>
      </c>
      <c r="BM821" s="3">
        <v>0</v>
      </c>
    </row>
    <row r="822" spans="61:65" x14ac:dyDescent="0.25">
      <c r="BI822" s="3">
        <v>0</v>
      </c>
      <c r="BJ822" s="3">
        <v>0</v>
      </c>
      <c r="BL822" s="3">
        <v>0</v>
      </c>
      <c r="BM822" s="3">
        <v>0</v>
      </c>
    </row>
    <row r="823" spans="61:65" x14ac:dyDescent="0.25">
      <c r="BI823" s="3">
        <v>0</v>
      </c>
      <c r="BJ823" s="3">
        <v>0</v>
      </c>
      <c r="BL823" s="3">
        <v>0</v>
      </c>
      <c r="BM823" s="3">
        <v>0</v>
      </c>
    </row>
    <row r="824" spans="61:65" x14ac:dyDescent="0.25">
      <c r="BI824" s="3">
        <v>0</v>
      </c>
      <c r="BJ824" s="3">
        <v>0</v>
      </c>
      <c r="BL824" s="3">
        <v>0</v>
      </c>
      <c r="BM824" s="3">
        <v>0</v>
      </c>
    </row>
    <row r="825" spans="61:65" x14ac:dyDescent="0.25">
      <c r="BI825" s="3">
        <v>0</v>
      </c>
      <c r="BJ825" s="3">
        <v>0</v>
      </c>
      <c r="BL825" s="3">
        <v>0</v>
      </c>
      <c r="BM825" s="3">
        <v>0</v>
      </c>
    </row>
    <row r="826" spans="61:65" x14ac:dyDescent="0.25">
      <c r="BI826" s="3">
        <v>0</v>
      </c>
      <c r="BJ826" s="3">
        <v>0</v>
      </c>
      <c r="BL826" s="3">
        <v>0</v>
      </c>
      <c r="BM826" s="3">
        <v>0</v>
      </c>
    </row>
    <row r="827" spans="61:65" x14ac:dyDescent="0.25">
      <c r="BI827" s="3">
        <v>0</v>
      </c>
      <c r="BJ827" s="3">
        <v>0</v>
      </c>
      <c r="BL827" s="3">
        <v>0</v>
      </c>
      <c r="BM827" s="3">
        <v>0</v>
      </c>
    </row>
    <row r="828" spans="61:65" x14ac:dyDescent="0.25">
      <c r="BI828" s="3">
        <v>0</v>
      </c>
      <c r="BJ828" s="3">
        <v>0</v>
      </c>
      <c r="BL828" s="3">
        <v>0</v>
      </c>
      <c r="BM828" s="3">
        <v>0</v>
      </c>
    </row>
    <row r="829" spans="61:65" x14ac:dyDescent="0.25">
      <c r="BI829" s="3">
        <v>0</v>
      </c>
      <c r="BJ829" s="3">
        <v>0</v>
      </c>
      <c r="BL829" s="3">
        <v>0</v>
      </c>
      <c r="BM829" s="3">
        <v>0</v>
      </c>
    </row>
    <row r="830" spans="61:65" x14ac:dyDescent="0.25">
      <c r="BI830" s="3">
        <v>0</v>
      </c>
      <c r="BJ830" s="3">
        <v>0</v>
      </c>
      <c r="BL830" s="3">
        <v>0</v>
      </c>
      <c r="BM830" s="3">
        <v>0</v>
      </c>
    </row>
    <row r="831" spans="61:65" x14ac:dyDescent="0.25">
      <c r="BI831" s="3">
        <v>0</v>
      </c>
      <c r="BJ831" s="3">
        <v>0</v>
      </c>
      <c r="BL831" s="3">
        <v>0</v>
      </c>
      <c r="BM831" s="3">
        <v>0</v>
      </c>
    </row>
    <row r="832" spans="61:65" x14ac:dyDescent="0.25">
      <c r="BI832" s="3">
        <v>0</v>
      </c>
      <c r="BJ832" s="3">
        <v>0</v>
      </c>
      <c r="BL832" s="3">
        <v>0</v>
      </c>
      <c r="BM832" s="3">
        <v>0</v>
      </c>
    </row>
    <row r="833" spans="61:65" x14ac:dyDescent="0.25">
      <c r="BI833" s="3">
        <v>0</v>
      </c>
      <c r="BJ833" s="3">
        <v>0</v>
      </c>
      <c r="BL833" s="3">
        <v>0</v>
      </c>
      <c r="BM833" s="3">
        <v>0</v>
      </c>
    </row>
    <row r="834" spans="61:65" x14ac:dyDescent="0.25">
      <c r="BI834" s="3">
        <v>0</v>
      </c>
      <c r="BJ834" s="3">
        <v>0</v>
      </c>
      <c r="BL834" s="3">
        <v>0</v>
      </c>
      <c r="BM834" s="3">
        <v>0</v>
      </c>
    </row>
    <row r="835" spans="61:65" x14ac:dyDescent="0.25">
      <c r="BI835" s="3">
        <v>0</v>
      </c>
      <c r="BJ835" s="3">
        <v>0</v>
      </c>
      <c r="BL835" s="3">
        <v>0</v>
      </c>
      <c r="BM835" s="3">
        <v>0</v>
      </c>
    </row>
    <row r="836" spans="61:65" x14ac:dyDescent="0.25">
      <c r="BI836" s="3">
        <v>0</v>
      </c>
      <c r="BJ836" s="3">
        <v>0</v>
      </c>
      <c r="BL836" s="3">
        <v>0</v>
      </c>
      <c r="BM836" s="3">
        <v>0</v>
      </c>
    </row>
    <row r="837" spans="61:65" x14ac:dyDescent="0.25">
      <c r="BI837" s="3">
        <v>0</v>
      </c>
      <c r="BJ837" s="3">
        <v>0</v>
      </c>
      <c r="BL837" s="3">
        <v>0</v>
      </c>
      <c r="BM837" s="3">
        <v>0</v>
      </c>
    </row>
    <row r="838" spans="61:65" x14ac:dyDescent="0.25">
      <c r="BI838" s="3">
        <v>0</v>
      </c>
      <c r="BJ838" s="3">
        <v>0</v>
      </c>
      <c r="BL838" s="3">
        <v>0</v>
      </c>
      <c r="BM838" s="3">
        <v>0</v>
      </c>
    </row>
    <row r="839" spans="61:65" x14ac:dyDescent="0.25">
      <c r="BI839" s="3">
        <v>0</v>
      </c>
      <c r="BJ839" s="3">
        <v>0</v>
      </c>
      <c r="BL839" s="3">
        <v>0</v>
      </c>
      <c r="BM839" s="3">
        <v>0</v>
      </c>
    </row>
    <row r="840" spans="61:65" x14ac:dyDescent="0.25">
      <c r="BI840" s="3">
        <v>0</v>
      </c>
      <c r="BJ840" s="3">
        <v>0</v>
      </c>
      <c r="BL840" s="3">
        <v>0</v>
      </c>
      <c r="BM840" s="3">
        <v>0</v>
      </c>
    </row>
    <row r="841" spans="61:65" x14ac:dyDescent="0.25">
      <c r="BI841" s="3">
        <v>0</v>
      </c>
      <c r="BJ841" s="3">
        <v>0</v>
      </c>
      <c r="BL841" s="3">
        <v>0</v>
      </c>
      <c r="BM841" s="3">
        <v>0</v>
      </c>
    </row>
    <row r="842" spans="61:65" x14ac:dyDescent="0.25">
      <c r="BI842" s="3">
        <v>0</v>
      </c>
      <c r="BJ842" s="3">
        <v>0</v>
      </c>
      <c r="BL842" s="3">
        <v>0</v>
      </c>
      <c r="BM842" s="3">
        <v>0</v>
      </c>
    </row>
    <row r="843" spans="61:65" x14ac:dyDescent="0.25">
      <c r="BI843" s="3">
        <v>0</v>
      </c>
      <c r="BJ843" s="3">
        <v>0</v>
      </c>
      <c r="BL843" s="3">
        <v>0</v>
      </c>
      <c r="BM843" s="3">
        <v>0</v>
      </c>
    </row>
    <row r="844" spans="61:65" x14ac:dyDescent="0.25">
      <c r="BI844" s="3">
        <v>0</v>
      </c>
      <c r="BJ844" s="3">
        <v>0</v>
      </c>
      <c r="BL844" s="3">
        <v>0</v>
      </c>
      <c r="BM844" s="3">
        <v>0</v>
      </c>
    </row>
    <row r="845" spans="61:65" x14ac:dyDescent="0.25">
      <c r="BI845" s="3">
        <v>0</v>
      </c>
      <c r="BJ845" s="3">
        <v>0</v>
      </c>
      <c r="BL845" s="3">
        <v>0</v>
      </c>
      <c r="BM845" s="3">
        <v>0</v>
      </c>
    </row>
    <row r="846" spans="61:65" x14ac:dyDescent="0.25">
      <c r="BI846" s="3">
        <v>0</v>
      </c>
      <c r="BJ846" s="3">
        <v>0</v>
      </c>
      <c r="BL846" s="3">
        <v>0</v>
      </c>
      <c r="BM846" s="3">
        <v>0</v>
      </c>
    </row>
    <row r="847" spans="61:65" x14ac:dyDescent="0.25">
      <c r="BI847" s="3">
        <v>0</v>
      </c>
      <c r="BJ847" s="3">
        <v>0</v>
      </c>
      <c r="BL847" s="3">
        <v>0</v>
      </c>
      <c r="BM847" s="3">
        <v>0</v>
      </c>
    </row>
    <row r="848" spans="61:65" x14ac:dyDescent="0.25">
      <c r="BI848" s="3">
        <v>0</v>
      </c>
      <c r="BJ848" s="3">
        <v>0</v>
      </c>
      <c r="BL848" s="3">
        <v>0</v>
      </c>
      <c r="BM848" s="3">
        <v>0</v>
      </c>
    </row>
    <row r="849" spans="61:65" x14ac:dyDescent="0.25">
      <c r="BI849" s="3">
        <v>0</v>
      </c>
      <c r="BJ849" s="3">
        <v>0</v>
      </c>
      <c r="BL849" s="3">
        <v>0</v>
      </c>
      <c r="BM849" s="3">
        <v>0</v>
      </c>
    </row>
    <row r="850" spans="61:65" x14ac:dyDescent="0.25">
      <c r="BI850" s="3">
        <v>0</v>
      </c>
      <c r="BJ850" s="3">
        <v>0</v>
      </c>
      <c r="BL850" s="3">
        <v>0</v>
      </c>
      <c r="BM850" s="3">
        <v>0</v>
      </c>
    </row>
    <row r="851" spans="61:65" x14ac:dyDescent="0.25">
      <c r="BI851" s="3">
        <v>0</v>
      </c>
      <c r="BJ851" s="3">
        <v>0</v>
      </c>
      <c r="BL851" s="3">
        <v>0</v>
      </c>
      <c r="BM851" s="3">
        <v>0</v>
      </c>
    </row>
    <row r="852" spans="61:65" x14ac:dyDescent="0.25">
      <c r="BI852" s="3">
        <v>0</v>
      </c>
      <c r="BJ852" s="3">
        <v>0</v>
      </c>
      <c r="BL852" s="3">
        <v>0</v>
      </c>
      <c r="BM852" s="3">
        <v>0</v>
      </c>
    </row>
    <row r="853" spans="61:65" x14ac:dyDescent="0.25">
      <c r="BI853" s="3">
        <v>0</v>
      </c>
      <c r="BJ853" s="3">
        <v>0</v>
      </c>
      <c r="BL853" s="3">
        <v>0</v>
      </c>
      <c r="BM853" s="3">
        <v>0</v>
      </c>
    </row>
    <row r="854" spans="61:65" x14ac:dyDescent="0.25">
      <c r="BI854" s="3">
        <v>0</v>
      </c>
      <c r="BJ854" s="3">
        <v>0</v>
      </c>
      <c r="BL854" s="3">
        <v>0</v>
      </c>
      <c r="BM854" s="3">
        <v>0</v>
      </c>
    </row>
    <row r="855" spans="61:65" x14ac:dyDescent="0.25">
      <c r="BI855" s="3">
        <v>0</v>
      </c>
      <c r="BJ855" s="3">
        <v>0</v>
      </c>
      <c r="BL855" s="3">
        <v>0</v>
      </c>
      <c r="BM855" s="3">
        <v>0</v>
      </c>
    </row>
    <row r="856" spans="61:65" x14ac:dyDescent="0.25">
      <c r="BI856" s="3">
        <v>0</v>
      </c>
      <c r="BJ856" s="3">
        <v>0</v>
      </c>
      <c r="BL856" s="3">
        <v>0</v>
      </c>
      <c r="BM856" s="3">
        <v>0</v>
      </c>
    </row>
    <row r="857" spans="61:65" x14ac:dyDescent="0.25">
      <c r="BI857" s="3">
        <v>0</v>
      </c>
      <c r="BJ857" s="3">
        <v>0</v>
      </c>
      <c r="BL857" s="3">
        <v>0</v>
      </c>
      <c r="BM857" s="3">
        <v>0</v>
      </c>
    </row>
    <row r="858" spans="61:65" x14ac:dyDescent="0.25">
      <c r="BI858" s="3">
        <v>0</v>
      </c>
      <c r="BJ858" s="3">
        <v>0</v>
      </c>
      <c r="BL858" s="3">
        <v>0</v>
      </c>
      <c r="BM858" s="3">
        <v>0</v>
      </c>
    </row>
    <row r="859" spans="61:65" x14ac:dyDescent="0.25">
      <c r="BI859" s="3">
        <v>0</v>
      </c>
      <c r="BJ859" s="3">
        <v>0</v>
      </c>
      <c r="BL859" s="3">
        <v>0</v>
      </c>
      <c r="BM859" s="3">
        <v>0</v>
      </c>
    </row>
    <row r="860" spans="61:65" x14ac:dyDescent="0.25">
      <c r="BI860" s="3">
        <v>0</v>
      </c>
      <c r="BJ860" s="3">
        <v>0</v>
      </c>
      <c r="BL860" s="3">
        <v>0</v>
      </c>
      <c r="BM860" s="3">
        <v>0</v>
      </c>
    </row>
    <row r="861" spans="61:65" x14ac:dyDescent="0.25">
      <c r="BI861" s="3">
        <v>0</v>
      </c>
      <c r="BJ861" s="3">
        <v>0</v>
      </c>
      <c r="BL861" s="3">
        <v>0</v>
      </c>
      <c r="BM861" s="3">
        <v>0</v>
      </c>
    </row>
    <row r="862" spans="61:65" x14ac:dyDescent="0.25">
      <c r="BI862" s="3">
        <v>0</v>
      </c>
      <c r="BJ862" s="3">
        <v>0</v>
      </c>
      <c r="BL862" s="3">
        <v>0</v>
      </c>
      <c r="BM862" s="3">
        <v>0</v>
      </c>
    </row>
    <row r="863" spans="61:65" x14ac:dyDescent="0.25">
      <c r="BI863" s="3">
        <v>0</v>
      </c>
      <c r="BJ863" s="3">
        <v>0</v>
      </c>
      <c r="BL863" s="3">
        <v>0</v>
      </c>
      <c r="BM863" s="3">
        <v>0</v>
      </c>
    </row>
    <row r="864" spans="61:65" x14ac:dyDescent="0.25">
      <c r="BI864" s="3">
        <v>0</v>
      </c>
      <c r="BJ864" s="3">
        <v>0</v>
      </c>
      <c r="BL864" s="3">
        <v>0</v>
      </c>
      <c r="BM864" s="3">
        <v>0</v>
      </c>
    </row>
    <row r="865" spans="61:65" x14ac:dyDescent="0.25">
      <c r="BI865" s="3">
        <v>0</v>
      </c>
      <c r="BJ865" s="3">
        <v>0</v>
      </c>
      <c r="BL865" s="3">
        <v>0</v>
      </c>
      <c r="BM865" s="3">
        <v>0</v>
      </c>
    </row>
    <row r="866" spans="61:65" x14ac:dyDescent="0.25">
      <c r="BI866" s="3">
        <v>0</v>
      </c>
      <c r="BJ866" s="3">
        <v>0</v>
      </c>
      <c r="BL866" s="3">
        <v>0</v>
      </c>
      <c r="BM866" s="3">
        <v>0</v>
      </c>
    </row>
    <row r="867" spans="61:65" x14ac:dyDescent="0.25">
      <c r="BI867" s="3">
        <v>0</v>
      </c>
      <c r="BJ867" s="3">
        <v>0</v>
      </c>
      <c r="BL867" s="3">
        <v>0</v>
      </c>
      <c r="BM867" s="3">
        <v>0</v>
      </c>
    </row>
    <row r="868" spans="61:65" x14ac:dyDescent="0.25">
      <c r="BI868" s="3">
        <v>0</v>
      </c>
      <c r="BJ868" s="3">
        <v>0</v>
      </c>
      <c r="BL868" s="3">
        <v>0</v>
      </c>
      <c r="BM868" s="3">
        <v>0</v>
      </c>
    </row>
    <row r="869" spans="61:65" x14ac:dyDescent="0.25">
      <c r="BI869" s="3">
        <v>0</v>
      </c>
      <c r="BJ869" s="3">
        <v>0</v>
      </c>
      <c r="BL869" s="3">
        <v>0</v>
      </c>
      <c r="BM869" s="3">
        <v>0</v>
      </c>
    </row>
    <row r="870" spans="61:65" x14ac:dyDescent="0.25">
      <c r="BI870" s="3">
        <v>0</v>
      </c>
      <c r="BJ870" s="3">
        <v>0</v>
      </c>
      <c r="BL870" s="3">
        <v>0</v>
      </c>
      <c r="BM870" s="3">
        <v>0</v>
      </c>
    </row>
    <row r="871" spans="61:65" x14ac:dyDescent="0.25">
      <c r="BI871" s="3">
        <v>0</v>
      </c>
      <c r="BJ871" s="3">
        <v>0</v>
      </c>
      <c r="BL871" s="3">
        <v>0</v>
      </c>
      <c r="BM871" s="3">
        <v>0</v>
      </c>
    </row>
    <row r="872" spans="61:65" x14ac:dyDescent="0.25">
      <c r="BI872" s="3">
        <v>0</v>
      </c>
      <c r="BJ872" s="3">
        <v>0</v>
      </c>
      <c r="BL872" s="3">
        <v>0</v>
      </c>
      <c r="BM872" s="3">
        <v>0</v>
      </c>
    </row>
    <row r="873" spans="61:65" x14ac:dyDescent="0.25">
      <c r="BI873" s="3">
        <v>0</v>
      </c>
      <c r="BJ873" s="3">
        <v>0</v>
      </c>
      <c r="BL873" s="3">
        <v>0</v>
      </c>
      <c r="BM873" s="3">
        <v>0</v>
      </c>
    </row>
    <row r="874" spans="61:65" x14ac:dyDescent="0.25">
      <c r="BI874" s="3">
        <v>0</v>
      </c>
      <c r="BJ874" s="3">
        <v>0</v>
      </c>
      <c r="BL874" s="3">
        <v>0</v>
      </c>
      <c r="BM874" s="3">
        <v>0</v>
      </c>
    </row>
    <row r="875" spans="61:65" x14ac:dyDescent="0.25">
      <c r="BI875" s="3">
        <v>0</v>
      </c>
      <c r="BJ875" s="3">
        <v>0</v>
      </c>
      <c r="BL875" s="3">
        <v>0</v>
      </c>
      <c r="BM875" s="3">
        <v>0</v>
      </c>
    </row>
    <row r="876" spans="61:65" x14ac:dyDescent="0.25">
      <c r="BI876" s="3">
        <v>0</v>
      </c>
      <c r="BJ876" s="3">
        <v>0</v>
      </c>
      <c r="BL876" s="3">
        <v>0</v>
      </c>
      <c r="BM876" s="3">
        <v>0</v>
      </c>
    </row>
    <row r="877" spans="61:65" x14ac:dyDescent="0.25">
      <c r="BI877" s="3">
        <v>0</v>
      </c>
      <c r="BJ877" s="3">
        <v>0</v>
      </c>
      <c r="BL877" s="3">
        <v>0</v>
      </c>
      <c r="BM877" s="3">
        <v>0</v>
      </c>
    </row>
    <row r="878" spans="61:65" x14ac:dyDescent="0.25">
      <c r="BI878" s="3">
        <v>0</v>
      </c>
      <c r="BJ878" s="3">
        <v>0</v>
      </c>
      <c r="BL878" s="3">
        <v>0</v>
      </c>
      <c r="BM878" s="3">
        <v>0</v>
      </c>
    </row>
    <row r="879" spans="61:65" x14ac:dyDescent="0.25">
      <c r="BI879" s="3">
        <v>0</v>
      </c>
      <c r="BJ879" s="3">
        <v>0</v>
      </c>
      <c r="BL879" s="3">
        <v>0</v>
      </c>
      <c r="BM879" s="3">
        <v>0</v>
      </c>
    </row>
    <row r="880" spans="61:65" x14ac:dyDescent="0.25">
      <c r="BI880" s="3">
        <v>0</v>
      </c>
      <c r="BJ880" s="3">
        <v>0</v>
      </c>
      <c r="BL880" s="3">
        <v>0</v>
      </c>
      <c r="BM880" s="3">
        <v>0</v>
      </c>
    </row>
    <row r="881" spans="61:65" x14ac:dyDescent="0.25">
      <c r="BI881" s="3">
        <v>0</v>
      </c>
      <c r="BJ881" s="3">
        <v>0</v>
      </c>
      <c r="BL881" s="3">
        <v>0</v>
      </c>
      <c r="BM881" s="3">
        <v>0</v>
      </c>
    </row>
    <row r="882" spans="61:65" x14ac:dyDescent="0.25">
      <c r="BI882" s="3">
        <v>0</v>
      </c>
      <c r="BJ882" s="3">
        <v>0</v>
      </c>
      <c r="BL882" s="3">
        <v>0</v>
      </c>
      <c r="BM882" s="3">
        <v>0</v>
      </c>
    </row>
    <row r="883" spans="61:65" x14ac:dyDescent="0.25">
      <c r="BI883" s="3">
        <v>0</v>
      </c>
      <c r="BJ883" s="3">
        <v>0</v>
      </c>
      <c r="BL883" s="3">
        <v>0</v>
      </c>
      <c r="BM883" s="3">
        <v>0</v>
      </c>
    </row>
    <row r="884" spans="61:65" x14ac:dyDescent="0.25">
      <c r="BI884" s="3">
        <v>0</v>
      </c>
      <c r="BJ884" s="3">
        <v>0</v>
      </c>
      <c r="BL884" s="3">
        <v>0</v>
      </c>
      <c r="BM884" s="3">
        <v>0</v>
      </c>
    </row>
    <row r="885" spans="61:65" x14ac:dyDescent="0.25">
      <c r="BI885" s="3">
        <v>0</v>
      </c>
      <c r="BJ885" s="3">
        <v>0</v>
      </c>
      <c r="BL885" s="3">
        <v>0</v>
      </c>
      <c r="BM885" s="3">
        <v>0</v>
      </c>
    </row>
    <row r="886" spans="61:65" x14ac:dyDescent="0.25">
      <c r="BI886" s="3">
        <v>0</v>
      </c>
      <c r="BJ886" s="3">
        <v>0</v>
      </c>
      <c r="BL886" s="3">
        <v>0</v>
      </c>
      <c r="BM886" s="3">
        <v>0</v>
      </c>
    </row>
    <row r="887" spans="61:65" x14ac:dyDescent="0.25">
      <c r="BI887" s="3">
        <v>0</v>
      </c>
      <c r="BJ887" s="3">
        <v>0</v>
      </c>
      <c r="BL887" s="3">
        <v>0</v>
      </c>
      <c r="BM887" s="3">
        <v>0</v>
      </c>
    </row>
    <row r="888" spans="61:65" x14ac:dyDescent="0.25">
      <c r="BI888" s="3">
        <v>0</v>
      </c>
      <c r="BJ888" s="3">
        <v>0</v>
      </c>
      <c r="BL888" s="3">
        <v>0</v>
      </c>
      <c r="BM888" s="3">
        <v>0</v>
      </c>
    </row>
    <row r="889" spans="61:65" x14ac:dyDescent="0.25">
      <c r="BI889" s="3">
        <v>0</v>
      </c>
      <c r="BJ889" s="3">
        <v>0</v>
      </c>
      <c r="BL889" s="3">
        <v>0</v>
      </c>
      <c r="BM889" s="3">
        <v>0</v>
      </c>
    </row>
    <row r="890" spans="61:65" x14ac:dyDescent="0.25">
      <c r="BI890" s="3">
        <v>0</v>
      </c>
      <c r="BJ890" s="3">
        <v>0</v>
      </c>
      <c r="BL890" s="3">
        <v>0</v>
      </c>
      <c r="BM890" s="3">
        <v>0</v>
      </c>
    </row>
    <row r="891" spans="61:65" x14ac:dyDescent="0.25">
      <c r="BI891" s="3">
        <v>0</v>
      </c>
      <c r="BJ891" s="3">
        <v>0</v>
      </c>
      <c r="BL891" s="3">
        <v>0</v>
      </c>
      <c r="BM891" s="3">
        <v>0</v>
      </c>
    </row>
    <row r="892" spans="61:65" x14ac:dyDescent="0.25">
      <c r="BI892" s="3">
        <v>0</v>
      </c>
      <c r="BJ892" s="3">
        <v>0</v>
      </c>
      <c r="BL892" s="3">
        <v>0</v>
      </c>
      <c r="BM892" s="3">
        <v>0</v>
      </c>
    </row>
    <row r="893" spans="61:65" x14ac:dyDescent="0.25">
      <c r="BI893" s="3">
        <v>0</v>
      </c>
      <c r="BJ893" s="3">
        <v>0</v>
      </c>
      <c r="BL893" s="3">
        <v>0</v>
      </c>
      <c r="BM893" s="3">
        <v>0</v>
      </c>
    </row>
    <row r="894" spans="61:65" x14ac:dyDescent="0.25">
      <c r="BI894" s="3">
        <v>0</v>
      </c>
      <c r="BJ894" s="3">
        <v>0</v>
      </c>
      <c r="BL894" s="3">
        <v>0</v>
      </c>
      <c r="BM894" s="3">
        <v>0</v>
      </c>
    </row>
    <row r="895" spans="61:65" x14ac:dyDescent="0.25">
      <c r="BI895" s="3">
        <v>0</v>
      </c>
      <c r="BJ895" s="3">
        <v>0</v>
      </c>
      <c r="BL895" s="3">
        <v>0</v>
      </c>
      <c r="BM895" s="3">
        <v>0</v>
      </c>
    </row>
    <row r="896" spans="61:65" x14ac:dyDescent="0.25">
      <c r="BI896" s="3">
        <v>0</v>
      </c>
      <c r="BJ896" s="3">
        <v>0</v>
      </c>
      <c r="BL896" s="3">
        <v>0</v>
      </c>
      <c r="BM896" s="3">
        <v>0</v>
      </c>
    </row>
    <row r="897" spans="61:65" x14ac:dyDescent="0.25">
      <c r="BI897" s="3">
        <v>0</v>
      </c>
      <c r="BJ897" s="3">
        <v>0</v>
      </c>
      <c r="BL897" s="3">
        <v>0</v>
      </c>
      <c r="BM897" s="3">
        <v>0</v>
      </c>
    </row>
    <row r="898" spans="61:65" x14ac:dyDescent="0.25">
      <c r="BI898" s="3">
        <v>0</v>
      </c>
      <c r="BJ898" s="3">
        <v>0</v>
      </c>
      <c r="BL898" s="3">
        <v>0</v>
      </c>
      <c r="BM898" s="3">
        <v>0</v>
      </c>
    </row>
    <row r="899" spans="61:65" x14ac:dyDescent="0.25">
      <c r="BI899" s="3">
        <v>0</v>
      </c>
      <c r="BJ899" s="3">
        <v>0</v>
      </c>
      <c r="BL899" s="3">
        <v>0</v>
      </c>
      <c r="BM899" s="3">
        <v>0</v>
      </c>
    </row>
    <row r="900" spans="61:65" x14ac:dyDescent="0.25">
      <c r="BI900" s="3">
        <v>0</v>
      </c>
      <c r="BJ900" s="3">
        <v>0</v>
      </c>
      <c r="BL900" s="3">
        <v>0</v>
      </c>
      <c r="BM900" s="3">
        <v>0</v>
      </c>
    </row>
    <row r="901" spans="61:65" x14ac:dyDescent="0.25">
      <c r="BI901" s="3">
        <v>0</v>
      </c>
      <c r="BJ901" s="3">
        <v>0</v>
      </c>
      <c r="BL901" s="3">
        <v>0</v>
      </c>
      <c r="BM901" s="3">
        <v>0</v>
      </c>
    </row>
    <row r="902" spans="61:65" x14ac:dyDescent="0.25">
      <c r="BI902" s="3">
        <v>0</v>
      </c>
      <c r="BJ902" s="3">
        <v>0</v>
      </c>
      <c r="BL902" s="3">
        <v>0</v>
      </c>
      <c r="BM902" s="3">
        <v>0</v>
      </c>
    </row>
    <row r="903" spans="61:65" x14ac:dyDescent="0.25">
      <c r="BI903" s="3">
        <v>0</v>
      </c>
      <c r="BJ903" s="3">
        <v>0</v>
      </c>
      <c r="BL903" s="3">
        <v>0</v>
      </c>
      <c r="BM903" s="3">
        <v>0</v>
      </c>
    </row>
    <row r="904" spans="61:65" x14ac:dyDescent="0.25">
      <c r="BI904" s="3">
        <v>0</v>
      </c>
      <c r="BJ904" s="3">
        <v>0</v>
      </c>
      <c r="BL904" s="3">
        <v>0</v>
      </c>
      <c r="BM904" s="3">
        <v>0</v>
      </c>
    </row>
    <row r="905" spans="61:65" x14ac:dyDescent="0.25">
      <c r="BI905" s="3">
        <v>0</v>
      </c>
      <c r="BJ905" s="3">
        <v>0</v>
      </c>
      <c r="BL905" s="3">
        <v>0</v>
      </c>
      <c r="BM905" s="3">
        <v>0</v>
      </c>
    </row>
    <row r="906" spans="61:65" x14ac:dyDescent="0.25">
      <c r="BI906" s="3">
        <v>0</v>
      </c>
      <c r="BJ906" s="3">
        <v>0</v>
      </c>
      <c r="BL906" s="3">
        <v>0</v>
      </c>
      <c r="BM906" s="3">
        <v>0</v>
      </c>
    </row>
    <row r="907" spans="61:65" x14ac:dyDescent="0.25">
      <c r="BI907" s="3">
        <v>0</v>
      </c>
      <c r="BJ907" s="3">
        <v>0</v>
      </c>
      <c r="BL907" s="3">
        <v>0</v>
      </c>
      <c r="BM907" s="3">
        <v>0</v>
      </c>
    </row>
    <row r="908" spans="61:65" x14ac:dyDescent="0.25">
      <c r="BI908" s="3">
        <v>0</v>
      </c>
      <c r="BJ908" s="3">
        <v>0</v>
      </c>
      <c r="BL908" s="3">
        <v>0</v>
      </c>
      <c r="BM908" s="3">
        <v>0</v>
      </c>
    </row>
    <row r="909" spans="61:65" x14ac:dyDescent="0.25">
      <c r="BI909" s="3">
        <v>0</v>
      </c>
      <c r="BJ909" s="3">
        <v>0</v>
      </c>
      <c r="BL909" s="3">
        <v>0</v>
      </c>
      <c r="BM909" s="3">
        <v>0</v>
      </c>
    </row>
    <row r="910" spans="61:65" x14ac:dyDescent="0.25">
      <c r="BI910" s="3">
        <v>0</v>
      </c>
      <c r="BJ910" s="3">
        <v>0</v>
      </c>
      <c r="BL910" s="3">
        <v>0</v>
      </c>
      <c r="BM910" s="3">
        <v>0</v>
      </c>
    </row>
    <row r="911" spans="61:65" x14ac:dyDescent="0.25">
      <c r="BI911" s="3">
        <v>0</v>
      </c>
      <c r="BJ911" s="3">
        <v>0</v>
      </c>
      <c r="BL911" s="3">
        <v>0</v>
      </c>
      <c r="BM911" s="3">
        <v>0</v>
      </c>
    </row>
    <row r="912" spans="61:65" x14ac:dyDescent="0.25">
      <c r="BI912" s="3">
        <v>0</v>
      </c>
      <c r="BJ912" s="3">
        <v>0</v>
      </c>
      <c r="BL912" s="3">
        <v>0</v>
      </c>
      <c r="BM912" s="3">
        <v>0</v>
      </c>
    </row>
    <row r="913" spans="61:65" x14ac:dyDescent="0.25">
      <c r="BI913" s="3">
        <v>0</v>
      </c>
      <c r="BJ913" s="3">
        <v>0</v>
      </c>
      <c r="BL913" s="3">
        <v>0</v>
      </c>
      <c r="BM913" s="3">
        <v>0</v>
      </c>
    </row>
    <row r="914" spans="61:65" x14ac:dyDescent="0.25">
      <c r="BI914" s="3">
        <v>0</v>
      </c>
      <c r="BJ914" s="3">
        <v>0</v>
      </c>
      <c r="BL914" s="3">
        <v>0</v>
      </c>
      <c r="BM914" s="3">
        <v>0</v>
      </c>
    </row>
    <row r="915" spans="61:65" x14ac:dyDescent="0.25">
      <c r="BI915" s="3">
        <v>0</v>
      </c>
      <c r="BJ915" s="3">
        <v>0</v>
      </c>
      <c r="BL915" s="3">
        <v>0</v>
      </c>
      <c r="BM915" s="3">
        <v>0</v>
      </c>
    </row>
    <row r="916" spans="61:65" x14ac:dyDescent="0.25">
      <c r="BI916" s="3">
        <v>0</v>
      </c>
      <c r="BJ916" s="3">
        <v>0</v>
      </c>
      <c r="BL916" s="3">
        <v>0</v>
      </c>
      <c r="BM916" s="3">
        <v>0</v>
      </c>
    </row>
    <row r="917" spans="61:65" x14ac:dyDescent="0.25">
      <c r="BI917" s="3">
        <v>0</v>
      </c>
      <c r="BJ917" s="3">
        <v>0</v>
      </c>
      <c r="BL917" s="3">
        <v>0</v>
      </c>
      <c r="BM917" s="3">
        <v>0</v>
      </c>
    </row>
    <row r="918" spans="61:65" x14ac:dyDescent="0.25">
      <c r="BI918" s="3">
        <v>0</v>
      </c>
      <c r="BJ918" s="3">
        <v>0</v>
      </c>
      <c r="BL918" s="3">
        <v>0</v>
      </c>
      <c r="BM918" s="3">
        <v>0</v>
      </c>
    </row>
    <row r="919" spans="61:65" x14ac:dyDescent="0.25">
      <c r="BI919" s="3">
        <v>0</v>
      </c>
      <c r="BJ919" s="3">
        <v>0</v>
      </c>
      <c r="BL919" s="3">
        <v>0</v>
      </c>
      <c r="BM919" s="3">
        <v>0</v>
      </c>
    </row>
    <row r="920" spans="61:65" x14ac:dyDescent="0.25">
      <c r="BI920" s="3">
        <v>0</v>
      </c>
      <c r="BJ920" s="3">
        <v>0</v>
      </c>
      <c r="BL920" s="3">
        <v>0</v>
      </c>
      <c r="BM920" s="3">
        <v>0</v>
      </c>
    </row>
    <row r="921" spans="61:65" x14ac:dyDescent="0.25">
      <c r="BI921" s="3">
        <v>0</v>
      </c>
      <c r="BJ921" s="3">
        <v>0</v>
      </c>
      <c r="BL921" s="3">
        <v>0</v>
      </c>
      <c r="BM921" s="3">
        <v>0</v>
      </c>
    </row>
    <row r="922" spans="61:65" x14ac:dyDescent="0.25">
      <c r="BI922" s="3">
        <v>0</v>
      </c>
      <c r="BJ922" s="3">
        <v>0</v>
      </c>
      <c r="BL922" s="3">
        <v>0</v>
      </c>
      <c r="BM922" s="3">
        <v>0</v>
      </c>
    </row>
    <row r="923" spans="61:65" x14ac:dyDescent="0.25">
      <c r="BI923" s="3">
        <v>0</v>
      </c>
      <c r="BJ923" s="3">
        <v>0</v>
      </c>
      <c r="BL923" s="3">
        <v>0</v>
      </c>
      <c r="BM923" s="3">
        <v>0</v>
      </c>
    </row>
    <row r="924" spans="61:65" x14ac:dyDescent="0.25">
      <c r="BI924" s="3">
        <v>0</v>
      </c>
      <c r="BJ924" s="3">
        <v>0</v>
      </c>
      <c r="BL924" s="3">
        <v>0</v>
      </c>
      <c r="BM924" s="3">
        <v>0</v>
      </c>
    </row>
    <row r="925" spans="61:65" x14ac:dyDescent="0.25">
      <c r="BI925" s="3">
        <v>0</v>
      </c>
      <c r="BJ925" s="3">
        <v>0</v>
      </c>
      <c r="BL925" s="3">
        <v>0</v>
      </c>
      <c r="BM925" s="3">
        <v>0</v>
      </c>
    </row>
    <row r="926" spans="61:65" x14ac:dyDescent="0.25">
      <c r="BI926" s="3">
        <v>0</v>
      </c>
      <c r="BJ926" s="3">
        <v>0</v>
      </c>
      <c r="BL926" s="3">
        <v>0</v>
      </c>
      <c r="BM926" s="3">
        <v>0</v>
      </c>
    </row>
    <row r="927" spans="61:65" x14ac:dyDescent="0.25">
      <c r="BI927" s="3">
        <v>0</v>
      </c>
      <c r="BJ927" s="3">
        <v>0</v>
      </c>
      <c r="BL927" s="3">
        <v>0</v>
      </c>
      <c r="BM927" s="3">
        <v>0</v>
      </c>
    </row>
    <row r="928" spans="61:65" x14ac:dyDescent="0.25">
      <c r="BI928" s="3">
        <v>0</v>
      </c>
      <c r="BJ928" s="3">
        <v>0</v>
      </c>
      <c r="BL928" s="3">
        <v>0</v>
      </c>
      <c r="BM928" s="3">
        <v>0</v>
      </c>
    </row>
    <row r="929" spans="61:65" x14ac:dyDescent="0.25">
      <c r="BI929" s="3">
        <v>0</v>
      </c>
      <c r="BJ929" s="3">
        <v>0</v>
      </c>
      <c r="BL929" s="3">
        <v>0</v>
      </c>
      <c r="BM929" s="3">
        <v>0</v>
      </c>
    </row>
    <row r="930" spans="61:65" x14ac:dyDescent="0.25">
      <c r="BI930" s="3">
        <v>0</v>
      </c>
      <c r="BJ930" s="3">
        <v>0</v>
      </c>
      <c r="BL930" s="3">
        <v>0</v>
      </c>
      <c r="BM930" s="3">
        <v>0</v>
      </c>
    </row>
    <row r="931" spans="61:65" x14ac:dyDescent="0.25">
      <c r="BI931" s="3">
        <v>0</v>
      </c>
      <c r="BJ931" s="3">
        <v>0</v>
      </c>
      <c r="BL931" s="3">
        <v>0</v>
      </c>
      <c r="BM931" s="3">
        <v>0</v>
      </c>
    </row>
    <row r="932" spans="61:65" x14ac:dyDescent="0.25">
      <c r="BI932" s="3">
        <v>0</v>
      </c>
      <c r="BJ932" s="3">
        <v>0</v>
      </c>
      <c r="BL932" s="3">
        <v>0</v>
      </c>
      <c r="BM932" s="3">
        <v>0</v>
      </c>
    </row>
    <row r="933" spans="61:65" x14ac:dyDescent="0.25">
      <c r="BI933" s="3">
        <v>0</v>
      </c>
      <c r="BJ933" s="3">
        <v>0</v>
      </c>
      <c r="BL933" s="3">
        <v>0</v>
      </c>
      <c r="BM933" s="3">
        <v>0</v>
      </c>
    </row>
    <row r="934" spans="61:65" x14ac:dyDescent="0.25">
      <c r="BI934" s="3">
        <v>0</v>
      </c>
      <c r="BJ934" s="3">
        <v>0</v>
      </c>
      <c r="BL934" s="3">
        <v>0</v>
      </c>
      <c r="BM934" s="3">
        <v>0</v>
      </c>
    </row>
    <row r="935" spans="61:65" x14ac:dyDescent="0.25">
      <c r="BI935" s="3">
        <v>0</v>
      </c>
      <c r="BJ935" s="3">
        <v>0</v>
      </c>
      <c r="BL935" s="3">
        <v>0</v>
      </c>
      <c r="BM935" s="3">
        <v>0</v>
      </c>
    </row>
    <row r="936" spans="61:65" x14ac:dyDescent="0.25">
      <c r="BI936" s="3">
        <v>0</v>
      </c>
      <c r="BJ936" s="3">
        <v>0</v>
      </c>
      <c r="BL936" s="3">
        <v>0</v>
      </c>
      <c r="BM936" s="3">
        <v>0</v>
      </c>
    </row>
    <row r="937" spans="61:65" x14ac:dyDescent="0.25">
      <c r="BI937" s="3">
        <v>0</v>
      </c>
      <c r="BJ937" s="3">
        <v>0</v>
      </c>
      <c r="BL937" s="3">
        <v>0</v>
      </c>
      <c r="BM937" s="3">
        <v>0</v>
      </c>
    </row>
    <row r="938" spans="61:65" x14ac:dyDescent="0.25">
      <c r="BI938" s="3">
        <v>0</v>
      </c>
      <c r="BJ938" s="3">
        <v>0</v>
      </c>
      <c r="BL938" s="3">
        <v>0</v>
      </c>
      <c r="BM938" s="3">
        <v>0</v>
      </c>
    </row>
    <row r="939" spans="61:65" x14ac:dyDescent="0.25">
      <c r="BI939" s="3">
        <v>0</v>
      </c>
      <c r="BJ939" s="3">
        <v>0</v>
      </c>
      <c r="BL939" s="3">
        <v>0</v>
      </c>
      <c r="BM939" s="3">
        <v>0</v>
      </c>
    </row>
    <row r="940" spans="61:65" x14ac:dyDescent="0.25">
      <c r="BI940" s="3">
        <v>0</v>
      </c>
      <c r="BJ940" s="3">
        <v>0</v>
      </c>
      <c r="BL940" s="3">
        <v>0</v>
      </c>
      <c r="BM940" s="3">
        <v>0</v>
      </c>
    </row>
    <row r="941" spans="61:65" x14ac:dyDescent="0.25">
      <c r="BI941" s="3">
        <v>0</v>
      </c>
      <c r="BJ941" s="3">
        <v>0</v>
      </c>
      <c r="BL941" s="3">
        <v>0</v>
      </c>
      <c r="BM941" s="3">
        <v>0</v>
      </c>
    </row>
    <row r="942" spans="61:65" x14ac:dyDescent="0.25">
      <c r="BI942" s="3">
        <v>0</v>
      </c>
      <c r="BJ942" s="3">
        <v>0</v>
      </c>
      <c r="BL942" s="3">
        <v>0</v>
      </c>
      <c r="BM942" s="3">
        <v>0</v>
      </c>
    </row>
    <row r="943" spans="61:65" x14ac:dyDescent="0.25">
      <c r="BI943" s="3">
        <v>0</v>
      </c>
      <c r="BJ943" s="3">
        <v>0</v>
      </c>
      <c r="BL943" s="3">
        <v>0</v>
      </c>
      <c r="BM943" s="3">
        <v>0</v>
      </c>
    </row>
    <row r="944" spans="61:65" x14ac:dyDescent="0.25">
      <c r="BI944" s="3">
        <v>0</v>
      </c>
      <c r="BJ944" s="3">
        <v>0</v>
      </c>
      <c r="BL944" s="3">
        <v>0</v>
      </c>
      <c r="BM944" s="3">
        <v>0</v>
      </c>
    </row>
    <row r="945" spans="61:65" x14ac:dyDescent="0.25">
      <c r="BI945" s="3">
        <v>0</v>
      </c>
      <c r="BJ945" s="3">
        <v>0</v>
      </c>
      <c r="BL945" s="3">
        <v>0</v>
      </c>
      <c r="BM945" s="3">
        <v>0</v>
      </c>
    </row>
    <row r="946" spans="61:65" x14ac:dyDescent="0.25">
      <c r="BI946" s="3">
        <v>0</v>
      </c>
      <c r="BJ946" s="3">
        <v>0</v>
      </c>
      <c r="BL946" s="3">
        <v>0</v>
      </c>
      <c r="BM946" s="3">
        <v>0</v>
      </c>
    </row>
    <row r="947" spans="61:65" x14ac:dyDescent="0.25">
      <c r="BI947" s="3">
        <v>0</v>
      </c>
      <c r="BJ947" s="3">
        <v>0</v>
      </c>
      <c r="BL947" s="3">
        <v>0</v>
      </c>
      <c r="BM947" s="3">
        <v>0</v>
      </c>
    </row>
    <row r="948" spans="61:65" x14ac:dyDescent="0.25">
      <c r="BI948" s="3">
        <v>0</v>
      </c>
      <c r="BJ948" s="3">
        <v>0</v>
      </c>
      <c r="BL948" s="3">
        <v>0</v>
      </c>
      <c r="BM948" s="3">
        <v>0</v>
      </c>
    </row>
    <row r="949" spans="61:65" x14ac:dyDescent="0.25">
      <c r="BI949" s="3">
        <v>0</v>
      </c>
      <c r="BJ949" s="3">
        <v>0</v>
      </c>
      <c r="BL949" s="3">
        <v>0</v>
      </c>
      <c r="BM949" s="3">
        <v>0</v>
      </c>
    </row>
    <row r="950" spans="61:65" x14ac:dyDescent="0.25">
      <c r="BI950" s="3">
        <v>0</v>
      </c>
      <c r="BJ950" s="3">
        <v>0</v>
      </c>
      <c r="BL950" s="3">
        <v>0</v>
      </c>
      <c r="BM950" s="3">
        <v>0</v>
      </c>
    </row>
    <row r="951" spans="61:65" x14ac:dyDescent="0.25">
      <c r="BI951" s="3">
        <v>0</v>
      </c>
      <c r="BJ951" s="3">
        <v>0</v>
      </c>
      <c r="BL951" s="3">
        <v>0</v>
      </c>
      <c r="BM951" s="3">
        <v>0</v>
      </c>
    </row>
    <row r="952" spans="61:65" x14ac:dyDescent="0.25">
      <c r="BI952" s="3">
        <v>0</v>
      </c>
      <c r="BJ952" s="3">
        <v>0</v>
      </c>
      <c r="BL952" s="3">
        <v>0</v>
      </c>
      <c r="BM952" s="3">
        <v>0</v>
      </c>
    </row>
    <row r="953" spans="61:65" x14ac:dyDescent="0.25">
      <c r="BI953" s="3">
        <v>0</v>
      </c>
      <c r="BJ953" s="3">
        <v>0</v>
      </c>
      <c r="BL953" s="3">
        <v>0</v>
      </c>
      <c r="BM953" s="3">
        <v>0</v>
      </c>
    </row>
    <row r="954" spans="61:65" x14ac:dyDescent="0.25">
      <c r="BI954" s="3">
        <v>0</v>
      </c>
      <c r="BJ954" s="3">
        <v>0</v>
      </c>
      <c r="BL954" s="3">
        <v>0</v>
      </c>
      <c r="BM954" s="3">
        <v>0</v>
      </c>
    </row>
    <row r="955" spans="61:65" x14ac:dyDescent="0.25">
      <c r="BI955" s="3">
        <v>0</v>
      </c>
      <c r="BJ955" s="3">
        <v>0</v>
      </c>
      <c r="BL955" s="3">
        <v>0</v>
      </c>
      <c r="BM955" s="3">
        <v>0</v>
      </c>
    </row>
    <row r="956" spans="61:65" x14ac:dyDescent="0.25">
      <c r="BI956" s="3">
        <v>0</v>
      </c>
      <c r="BJ956" s="3">
        <v>0</v>
      </c>
      <c r="BL956" s="3">
        <v>0</v>
      </c>
      <c r="BM956" s="3">
        <v>0</v>
      </c>
    </row>
    <row r="957" spans="61:65" x14ac:dyDescent="0.25">
      <c r="BI957" s="3">
        <v>0</v>
      </c>
      <c r="BJ957" s="3">
        <v>0</v>
      </c>
      <c r="BL957" s="3">
        <v>0</v>
      </c>
      <c r="BM957" s="3">
        <v>0</v>
      </c>
    </row>
    <row r="958" spans="61:65" x14ac:dyDescent="0.25">
      <c r="BI958" s="3">
        <v>0</v>
      </c>
      <c r="BJ958" s="3">
        <v>0</v>
      </c>
      <c r="BL958" s="3">
        <v>0</v>
      </c>
      <c r="BM958" s="3">
        <v>0</v>
      </c>
    </row>
    <row r="959" spans="61:65" x14ac:dyDescent="0.25">
      <c r="BI959" s="3">
        <v>0</v>
      </c>
      <c r="BJ959" s="3">
        <v>0</v>
      </c>
      <c r="BL959" s="3">
        <v>0</v>
      </c>
      <c r="BM959" s="3">
        <v>0</v>
      </c>
    </row>
    <row r="960" spans="61:65" x14ac:dyDescent="0.25">
      <c r="BI960" s="3">
        <v>0</v>
      </c>
      <c r="BJ960" s="3">
        <v>0</v>
      </c>
      <c r="BL960" s="3">
        <v>0</v>
      </c>
      <c r="BM960" s="3">
        <v>0</v>
      </c>
    </row>
    <row r="961" spans="61:65" x14ac:dyDescent="0.25">
      <c r="BI961" s="3">
        <v>0</v>
      </c>
      <c r="BJ961" s="3">
        <v>0</v>
      </c>
      <c r="BL961" s="3">
        <v>0</v>
      </c>
      <c r="BM961" s="3">
        <v>0</v>
      </c>
    </row>
    <row r="962" spans="61:65" x14ac:dyDescent="0.25">
      <c r="BI962" s="3">
        <v>0</v>
      </c>
      <c r="BJ962" s="3">
        <v>0</v>
      </c>
      <c r="BL962" s="3">
        <v>0</v>
      </c>
      <c r="BM962" s="3">
        <v>0</v>
      </c>
    </row>
    <row r="963" spans="61:65" x14ac:dyDescent="0.25">
      <c r="BI963" s="3">
        <v>0</v>
      </c>
      <c r="BJ963" s="3">
        <v>0</v>
      </c>
      <c r="BL963" s="3">
        <v>0</v>
      </c>
      <c r="BM963" s="3">
        <v>0</v>
      </c>
    </row>
    <row r="964" spans="61:65" x14ac:dyDescent="0.25">
      <c r="BI964" s="3">
        <v>0</v>
      </c>
      <c r="BJ964" s="3">
        <v>0</v>
      </c>
      <c r="BL964" s="3">
        <v>0</v>
      </c>
      <c r="BM964" s="3">
        <v>0</v>
      </c>
    </row>
    <row r="965" spans="61:65" x14ac:dyDescent="0.25">
      <c r="BI965" s="3">
        <v>0</v>
      </c>
      <c r="BJ965" s="3">
        <v>0</v>
      </c>
      <c r="BL965" s="3">
        <v>0</v>
      </c>
      <c r="BM965" s="3">
        <v>0</v>
      </c>
    </row>
    <row r="966" spans="61:65" x14ac:dyDescent="0.25">
      <c r="BI966" s="3">
        <v>0</v>
      </c>
      <c r="BJ966" s="3">
        <v>0</v>
      </c>
      <c r="BL966" s="3">
        <v>0</v>
      </c>
      <c r="BM966" s="3">
        <v>0</v>
      </c>
    </row>
    <row r="967" spans="61:65" x14ac:dyDescent="0.25">
      <c r="BI967" s="3">
        <v>0</v>
      </c>
      <c r="BJ967" s="3">
        <v>0</v>
      </c>
      <c r="BL967" s="3">
        <v>0</v>
      </c>
      <c r="BM967" s="3">
        <v>0</v>
      </c>
    </row>
    <row r="968" spans="61:65" x14ac:dyDescent="0.25">
      <c r="BI968" s="3">
        <v>0</v>
      </c>
      <c r="BJ968" s="3">
        <v>0</v>
      </c>
      <c r="BL968" s="3">
        <v>0</v>
      </c>
      <c r="BM968" s="3">
        <v>0</v>
      </c>
    </row>
    <row r="969" spans="61:65" x14ac:dyDescent="0.25">
      <c r="BI969" s="3">
        <v>0</v>
      </c>
      <c r="BJ969" s="3">
        <v>0</v>
      </c>
      <c r="BL969" s="3">
        <v>0</v>
      </c>
      <c r="BM969" s="3">
        <v>0</v>
      </c>
    </row>
    <row r="970" spans="61:65" x14ac:dyDescent="0.25">
      <c r="BI970" s="3">
        <v>0</v>
      </c>
      <c r="BJ970" s="3">
        <v>0</v>
      </c>
      <c r="BL970" s="3">
        <v>0</v>
      </c>
      <c r="BM970" s="3">
        <v>0</v>
      </c>
    </row>
    <row r="971" spans="61:65" x14ac:dyDescent="0.25">
      <c r="BI971" s="3">
        <v>0</v>
      </c>
      <c r="BJ971" s="3">
        <v>0</v>
      </c>
      <c r="BL971" s="3">
        <v>0</v>
      </c>
      <c r="BM971" s="3">
        <v>0</v>
      </c>
    </row>
    <row r="972" spans="61:65" x14ac:dyDescent="0.25">
      <c r="BI972" s="3">
        <v>0</v>
      </c>
      <c r="BJ972" s="3">
        <v>0</v>
      </c>
      <c r="BL972" s="3">
        <v>0</v>
      </c>
      <c r="BM972" s="3">
        <v>0</v>
      </c>
    </row>
    <row r="973" spans="61:65" x14ac:dyDescent="0.25">
      <c r="BI973" s="3">
        <v>0</v>
      </c>
      <c r="BJ973" s="3">
        <v>0</v>
      </c>
      <c r="BL973" s="3">
        <v>0</v>
      </c>
      <c r="BM973" s="3">
        <v>0</v>
      </c>
    </row>
    <row r="974" spans="61:65" x14ac:dyDescent="0.25">
      <c r="BI974" s="3">
        <v>0</v>
      </c>
      <c r="BJ974" s="3">
        <v>0</v>
      </c>
      <c r="BL974" s="3">
        <v>0</v>
      </c>
      <c r="BM974" s="3">
        <v>0</v>
      </c>
    </row>
    <row r="975" spans="61:65" x14ac:dyDescent="0.25">
      <c r="BI975" s="3">
        <v>0</v>
      </c>
      <c r="BJ975" s="3">
        <v>0</v>
      </c>
      <c r="BL975" s="3">
        <v>0</v>
      </c>
      <c r="BM975" s="3">
        <v>0</v>
      </c>
    </row>
    <row r="976" spans="61:65" x14ac:dyDescent="0.25">
      <c r="BI976" s="3">
        <v>0</v>
      </c>
      <c r="BJ976" s="3">
        <v>0</v>
      </c>
      <c r="BL976" s="3">
        <v>0</v>
      </c>
      <c r="BM976" s="3">
        <v>0</v>
      </c>
    </row>
    <row r="977" spans="61:65" x14ac:dyDescent="0.25">
      <c r="BI977" s="3">
        <v>0</v>
      </c>
      <c r="BJ977" s="3">
        <v>0</v>
      </c>
      <c r="BL977" s="3">
        <v>0</v>
      </c>
      <c r="BM977" s="3">
        <v>0</v>
      </c>
    </row>
    <row r="978" spans="61:65" x14ac:dyDescent="0.25">
      <c r="BI978" s="3">
        <v>0</v>
      </c>
      <c r="BJ978" s="3">
        <v>0</v>
      </c>
      <c r="BL978" s="3">
        <v>0</v>
      </c>
      <c r="BM978" s="3">
        <v>0</v>
      </c>
    </row>
    <row r="979" spans="61:65" x14ac:dyDescent="0.25">
      <c r="BI979" s="3">
        <v>0</v>
      </c>
      <c r="BJ979" s="3">
        <v>0</v>
      </c>
      <c r="BL979" s="3">
        <v>0</v>
      </c>
      <c r="BM979" s="3">
        <v>0</v>
      </c>
    </row>
    <row r="980" spans="61:65" x14ac:dyDescent="0.25">
      <c r="BI980" s="3">
        <v>0</v>
      </c>
      <c r="BJ980" s="3">
        <v>0</v>
      </c>
      <c r="BL980" s="3">
        <v>0</v>
      </c>
      <c r="BM980" s="3">
        <v>0</v>
      </c>
    </row>
    <row r="981" spans="61:65" x14ac:dyDescent="0.25">
      <c r="BI981" s="3">
        <v>0</v>
      </c>
      <c r="BJ981" s="3">
        <v>0</v>
      </c>
      <c r="BL981" s="3">
        <v>0</v>
      </c>
      <c r="BM981" s="3">
        <v>0</v>
      </c>
    </row>
    <row r="982" spans="61:65" x14ac:dyDescent="0.25">
      <c r="BI982" s="3">
        <v>0</v>
      </c>
      <c r="BJ982" s="3">
        <v>0</v>
      </c>
      <c r="BL982" s="3">
        <v>0</v>
      </c>
      <c r="BM982" s="3">
        <v>0</v>
      </c>
    </row>
    <row r="983" spans="61:65" x14ac:dyDescent="0.25">
      <c r="BI983" s="3">
        <v>0</v>
      </c>
      <c r="BJ983" s="3">
        <v>0</v>
      </c>
      <c r="BL983" s="3">
        <v>0</v>
      </c>
      <c r="BM983" s="3">
        <v>0</v>
      </c>
    </row>
    <row r="984" spans="61:65" x14ac:dyDescent="0.25">
      <c r="BI984" s="3">
        <v>0</v>
      </c>
      <c r="BJ984" s="3">
        <v>0</v>
      </c>
      <c r="BL984" s="3">
        <v>0</v>
      </c>
      <c r="BM984" s="3">
        <v>0</v>
      </c>
    </row>
    <row r="985" spans="61:65" x14ac:dyDescent="0.25">
      <c r="BI985" s="3">
        <v>0</v>
      </c>
      <c r="BJ985" s="3">
        <v>0</v>
      </c>
      <c r="BL985" s="3">
        <v>0</v>
      </c>
      <c r="BM985" s="3">
        <v>0</v>
      </c>
    </row>
    <row r="986" spans="61:65" x14ac:dyDescent="0.25">
      <c r="BI986" s="3">
        <v>0</v>
      </c>
      <c r="BJ986" s="3">
        <v>0</v>
      </c>
      <c r="BL986" s="3">
        <v>0</v>
      </c>
      <c r="BM986" s="3">
        <v>0</v>
      </c>
    </row>
    <row r="987" spans="61:65" x14ac:dyDescent="0.25">
      <c r="BI987" s="3">
        <v>0</v>
      </c>
      <c r="BJ987" s="3">
        <v>0</v>
      </c>
      <c r="BL987" s="3">
        <v>0</v>
      </c>
      <c r="BM987" s="3">
        <v>0</v>
      </c>
    </row>
    <row r="988" spans="61:65" x14ac:dyDescent="0.25">
      <c r="BI988" s="3">
        <v>0</v>
      </c>
      <c r="BJ988" s="3">
        <v>0</v>
      </c>
      <c r="BL988" s="3">
        <v>0</v>
      </c>
      <c r="BM988" s="3">
        <v>0</v>
      </c>
    </row>
    <row r="989" spans="61:65" x14ac:dyDescent="0.25">
      <c r="BI989" s="3">
        <v>0</v>
      </c>
      <c r="BJ989" s="3">
        <v>0</v>
      </c>
      <c r="BL989" s="3">
        <v>0</v>
      </c>
      <c r="BM989" s="3">
        <v>0</v>
      </c>
    </row>
    <row r="990" spans="61:65" x14ac:dyDescent="0.25">
      <c r="BI990" s="3">
        <v>0</v>
      </c>
      <c r="BJ990" s="3">
        <v>0</v>
      </c>
      <c r="BL990" s="3">
        <v>0</v>
      </c>
      <c r="BM990" s="3">
        <v>0</v>
      </c>
    </row>
    <row r="991" spans="61:65" x14ac:dyDescent="0.25">
      <c r="BI991" s="3">
        <v>0</v>
      </c>
      <c r="BJ991" s="3">
        <v>0</v>
      </c>
      <c r="BL991" s="3">
        <v>0</v>
      </c>
      <c r="BM991" s="3">
        <v>0</v>
      </c>
    </row>
    <row r="992" spans="61:65" x14ac:dyDescent="0.25">
      <c r="BI992" s="3">
        <v>0</v>
      </c>
      <c r="BJ992" s="3">
        <v>0</v>
      </c>
      <c r="BL992" s="3">
        <v>0</v>
      </c>
      <c r="BM992" s="3">
        <v>0</v>
      </c>
    </row>
    <row r="993" spans="61:65" x14ac:dyDescent="0.25">
      <c r="BI993" s="3">
        <v>0</v>
      </c>
      <c r="BJ993" s="3">
        <v>0</v>
      </c>
      <c r="BL993" s="3">
        <v>0</v>
      </c>
      <c r="BM993" s="3">
        <v>0</v>
      </c>
    </row>
    <row r="994" spans="61:65" x14ac:dyDescent="0.25">
      <c r="BI994" s="3">
        <v>0</v>
      </c>
      <c r="BJ994" s="3">
        <v>0</v>
      </c>
      <c r="BL994" s="3">
        <v>0</v>
      </c>
      <c r="BM994" s="3">
        <v>0</v>
      </c>
    </row>
    <row r="995" spans="61:65" x14ac:dyDescent="0.25">
      <c r="BI995" s="3">
        <v>0</v>
      </c>
      <c r="BJ995" s="3">
        <v>0</v>
      </c>
      <c r="BL995" s="3">
        <v>0</v>
      </c>
      <c r="BM995" s="3">
        <v>0</v>
      </c>
    </row>
    <row r="996" spans="61:65" x14ac:dyDescent="0.25">
      <c r="BI996" s="3">
        <v>0</v>
      </c>
      <c r="BJ996" s="3">
        <v>0</v>
      </c>
      <c r="BL996" s="3">
        <v>0</v>
      </c>
      <c r="BM996" s="3">
        <v>0</v>
      </c>
    </row>
    <row r="997" spans="61:65" x14ac:dyDescent="0.25">
      <c r="BI997" s="3">
        <v>0</v>
      </c>
      <c r="BJ997" s="3">
        <v>0</v>
      </c>
      <c r="BL997" s="3">
        <v>0</v>
      </c>
      <c r="BM997" s="3">
        <v>0</v>
      </c>
    </row>
    <row r="998" spans="61:65" x14ac:dyDescent="0.25">
      <c r="BI998" s="3">
        <v>0</v>
      </c>
      <c r="BJ998" s="3">
        <v>0</v>
      </c>
      <c r="BL998" s="3">
        <v>0</v>
      </c>
      <c r="BM998" s="3">
        <v>0</v>
      </c>
    </row>
    <row r="999" spans="61:65" x14ac:dyDescent="0.25">
      <c r="BI999" s="3">
        <v>0</v>
      </c>
      <c r="BJ999" s="3">
        <v>0</v>
      </c>
      <c r="BL999" s="3">
        <v>0</v>
      </c>
      <c r="BM999" s="3">
        <v>0</v>
      </c>
    </row>
    <row r="1000" spans="61:65" x14ac:dyDescent="0.25">
      <c r="BI1000" s="3">
        <v>0</v>
      </c>
      <c r="BJ1000" s="3">
        <v>0</v>
      </c>
      <c r="BL1000" s="3">
        <v>0</v>
      </c>
      <c r="BM1000" s="3">
        <v>0</v>
      </c>
    </row>
    <row r="1001" spans="61:65" x14ac:dyDescent="0.25">
      <c r="BI1001" s="3">
        <v>0</v>
      </c>
      <c r="BJ1001" s="3">
        <v>0</v>
      </c>
      <c r="BL1001" s="3">
        <v>0</v>
      </c>
      <c r="BM1001" s="3">
        <v>0</v>
      </c>
    </row>
    <row r="1002" spans="61:65" x14ac:dyDescent="0.25">
      <c r="BI1002" s="3">
        <v>0</v>
      </c>
      <c r="BJ1002" s="3">
        <v>0</v>
      </c>
      <c r="BL1002" s="3">
        <v>0</v>
      </c>
      <c r="BM1002" s="3">
        <v>0</v>
      </c>
    </row>
    <row r="1003" spans="61:65" x14ac:dyDescent="0.25">
      <c r="BI1003" s="3">
        <v>0</v>
      </c>
      <c r="BJ1003" s="3">
        <v>0</v>
      </c>
      <c r="BL1003" s="3">
        <v>0</v>
      </c>
      <c r="BM1003" s="3">
        <v>0</v>
      </c>
    </row>
    <row r="1004" spans="61:65" x14ac:dyDescent="0.25">
      <c r="BI1004" s="3">
        <v>0</v>
      </c>
      <c r="BJ1004" s="3">
        <v>0</v>
      </c>
      <c r="BL1004" s="3">
        <v>0</v>
      </c>
      <c r="BM1004" s="3">
        <v>0</v>
      </c>
    </row>
    <row r="1005" spans="61:65" x14ac:dyDescent="0.25">
      <c r="BI1005" s="3">
        <v>0</v>
      </c>
      <c r="BJ1005" s="3">
        <v>0</v>
      </c>
      <c r="BL1005" s="3">
        <v>0</v>
      </c>
      <c r="BM1005" s="3">
        <v>0</v>
      </c>
    </row>
    <row r="1006" spans="61:65" x14ac:dyDescent="0.25">
      <c r="BI1006" s="3">
        <v>0</v>
      </c>
      <c r="BJ1006" s="3">
        <v>0</v>
      </c>
      <c r="BL1006" s="3">
        <v>0</v>
      </c>
      <c r="BM1006" s="3">
        <v>0</v>
      </c>
    </row>
    <row r="1007" spans="61:65" x14ac:dyDescent="0.25">
      <c r="BI1007" s="3">
        <v>0</v>
      </c>
      <c r="BJ1007" s="3">
        <v>0</v>
      </c>
      <c r="BL1007" s="3">
        <v>0</v>
      </c>
      <c r="BM1007" s="3">
        <v>0</v>
      </c>
    </row>
    <row r="1008" spans="61:65" x14ac:dyDescent="0.25">
      <c r="BI1008" s="3">
        <v>0</v>
      </c>
      <c r="BJ1008" s="3">
        <v>0</v>
      </c>
      <c r="BL1008" s="3">
        <v>0</v>
      </c>
      <c r="BM1008" s="3">
        <v>0</v>
      </c>
    </row>
    <row r="1009" spans="61:65" x14ac:dyDescent="0.25">
      <c r="BI1009" s="3">
        <v>0</v>
      </c>
      <c r="BJ1009" s="3">
        <v>0</v>
      </c>
      <c r="BL1009" s="3">
        <v>0</v>
      </c>
      <c r="BM1009" s="3">
        <v>0</v>
      </c>
    </row>
    <row r="1010" spans="61:65" x14ac:dyDescent="0.25">
      <c r="BI1010" s="3">
        <v>0</v>
      </c>
      <c r="BJ1010" s="3">
        <v>0</v>
      </c>
      <c r="BL1010" s="3">
        <v>0</v>
      </c>
      <c r="BM1010" s="3">
        <v>0</v>
      </c>
    </row>
    <row r="1011" spans="61:65" x14ac:dyDescent="0.25">
      <c r="BI1011" s="3">
        <v>0</v>
      </c>
      <c r="BJ1011" s="3">
        <v>0</v>
      </c>
      <c r="BL1011" s="3">
        <v>0</v>
      </c>
      <c r="BM1011" s="3">
        <v>0</v>
      </c>
    </row>
    <row r="1012" spans="61:65" x14ac:dyDescent="0.25">
      <c r="BI1012" s="3">
        <v>0</v>
      </c>
      <c r="BJ1012" s="3">
        <v>0</v>
      </c>
      <c r="BL1012" s="3">
        <v>0</v>
      </c>
      <c r="BM1012" s="3">
        <v>0</v>
      </c>
    </row>
    <row r="1013" spans="61:65" x14ac:dyDescent="0.25">
      <c r="BI1013" s="3">
        <v>0</v>
      </c>
      <c r="BJ1013" s="3">
        <v>0</v>
      </c>
      <c r="BL1013" s="3">
        <v>0</v>
      </c>
      <c r="BM1013" s="3">
        <v>0</v>
      </c>
    </row>
    <row r="1014" spans="61:65" x14ac:dyDescent="0.25">
      <c r="BI1014" s="3">
        <v>0</v>
      </c>
      <c r="BJ1014" s="3">
        <v>0</v>
      </c>
      <c r="BL1014" s="3">
        <v>0</v>
      </c>
      <c r="BM1014" s="3">
        <v>0</v>
      </c>
    </row>
    <row r="1015" spans="61:65" x14ac:dyDescent="0.25">
      <c r="BI1015" s="3">
        <v>0</v>
      </c>
      <c r="BJ1015" s="3">
        <v>0</v>
      </c>
      <c r="BL1015" s="3">
        <v>0</v>
      </c>
      <c r="BM1015" s="3">
        <v>0</v>
      </c>
    </row>
    <row r="1016" spans="61:65" x14ac:dyDescent="0.25">
      <c r="BI1016" s="3">
        <v>0</v>
      </c>
      <c r="BJ1016" s="3">
        <v>0</v>
      </c>
      <c r="BL1016" s="3">
        <v>0</v>
      </c>
      <c r="BM1016" s="3">
        <v>0</v>
      </c>
    </row>
    <row r="1017" spans="61:65" x14ac:dyDescent="0.25">
      <c r="BI1017" s="3">
        <v>0</v>
      </c>
      <c r="BJ1017" s="3">
        <v>0</v>
      </c>
      <c r="BL1017" s="3">
        <v>0</v>
      </c>
      <c r="BM1017" s="3">
        <v>0</v>
      </c>
    </row>
    <row r="1018" spans="61:65" x14ac:dyDescent="0.25">
      <c r="BI1018" s="3">
        <v>0</v>
      </c>
      <c r="BJ1018" s="3">
        <v>0</v>
      </c>
      <c r="BL1018" s="3">
        <v>0</v>
      </c>
      <c r="BM1018" s="3">
        <v>0</v>
      </c>
    </row>
    <row r="1019" spans="61:65" x14ac:dyDescent="0.25">
      <c r="BI1019" s="3">
        <v>0</v>
      </c>
      <c r="BJ1019" s="3">
        <v>0</v>
      </c>
      <c r="BL1019" s="3">
        <v>0</v>
      </c>
      <c r="BM1019" s="3">
        <v>0</v>
      </c>
    </row>
    <row r="1020" spans="61:65" x14ac:dyDescent="0.25">
      <c r="BI1020" s="3">
        <v>0</v>
      </c>
      <c r="BJ1020" s="3">
        <v>0</v>
      </c>
      <c r="BL1020" s="3">
        <v>0</v>
      </c>
      <c r="BM1020" s="3">
        <v>0</v>
      </c>
    </row>
    <row r="1021" spans="61:65" x14ac:dyDescent="0.25">
      <c r="BI1021" s="3">
        <v>0</v>
      </c>
      <c r="BJ1021" s="3">
        <v>0</v>
      </c>
      <c r="BL1021" s="3">
        <v>0</v>
      </c>
      <c r="BM1021" s="3">
        <v>0</v>
      </c>
    </row>
    <row r="1022" spans="61:65" x14ac:dyDescent="0.25">
      <c r="BI1022" s="3">
        <v>0</v>
      </c>
      <c r="BJ1022" s="3">
        <v>0</v>
      </c>
      <c r="BL1022" s="3">
        <v>0</v>
      </c>
      <c r="BM1022" s="3">
        <v>0</v>
      </c>
    </row>
    <row r="1023" spans="61:65" x14ac:dyDescent="0.25">
      <c r="BI1023" s="3">
        <v>0</v>
      </c>
      <c r="BJ1023" s="3">
        <v>0</v>
      </c>
      <c r="BL1023" s="3">
        <v>0</v>
      </c>
      <c r="BM1023" s="3">
        <v>0</v>
      </c>
    </row>
    <row r="1024" spans="61:65" x14ac:dyDescent="0.25">
      <c r="BI1024" s="3">
        <v>0</v>
      </c>
      <c r="BJ1024" s="3">
        <v>0</v>
      </c>
      <c r="BL1024" s="3">
        <v>0</v>
      </c>
      <c r="BM1024" s="3">
        <v>0</v>
      </c>
    </row>
    <row r="1025" spans="61:65" x14ac:dyDescent="0.25">
      <c r="BI1025" s="3">
        <v>0</v>
      </c>
      <c r="BJ1025" s="3">
        <v>0</v>
      </c>
      <c r="BL1025" s="3">
        <v>0</v>
      </c>
      <c r="BM1025" s="3">
        <v>0</v>
      </c>
    </row>
    <row r="1026" spans="61:65" x14ac:dyDescent="0.25">
      <c r="BI1026" s="3">
        <v>0</v>
      </c>
      <c r="BJ1026" s="3">
        <v>0</v>
      </c>
      <c r="BL1026" s="3">
        <v>0</v>
      </c>
      <c r="BM1026" s="3">
        <v>0</v>
      </c>
    </row>
    <row r="1027" spans="61:65" x14ac:dyDescent="0.25">
      <c r="BI1027" s="3">
        <v>0</v>
      </c>
      <c r="BJ1027" s="3">
        <v>0</v>
      </c>
      <c r="BL1027" s="3">
        <v>0</v>
      </c>
      <c r="BM1027" s="3">
        <v>0</v>
      </c>
    </row>
    <row r="1028" spans="61:65" x14ac:dyDescent="0.25">
      <c r="BI1028" s="3">
        <v>0</v>
      </c>
      <c r="BJ1028" s="3">
        <v>0</v>
      </c>
      <c r="BL1028" s="3">
        <v>0</v>
      </c>
      <c r="BM1028" s="3">
        <v>0</v>
      </c>
    </row>
    <row r="1029" spans="61:65" x14ac:dyDescent="0.25">
      <c r="BI1029" s="3">
        <v>0</v>
      </c>
      <c r="BJ1029" s="3">
        <v>0</v>
      </c>
      <c r="BL1029" s="3">
        <v>0</v>
      </c>
      <c r="BM1029" s="3">
        <v>0</v>
      </c>
    </row>
    <row r="1030" spans="61:65" x14ac:dyDescent="0.25">
      <c r="BI1030" s="3">
        <v>0</v>
      </c>
      <c r="BJ1030" s="3">
        <v>0</v>
      </c>
      <c r="BL1030" s="3">
        <v>0</v>
      </c>
      <c r="BM1030" s="3">
        <v>0</v>
      </c>
    </row>
    <row r="1031" spans="61:65" x14ac:dyDescent="0.25">
      <c r="BI1031" s="3">
        <v>0</v>
      </c>
      <c r="BJ1031" s="3">
        <v>0</v>
      </c>
      <c r="BL1031" s="3">
        <v>0</v>
      </c>
      <c r="BM1031" s="3">
        <v>0</v>
      </c>
    </row>
    <row r="1032" spans="61:65" x14ac:dyDescent="0.25">
      <c r="BI1032" s="3">
        <v>0</v>
      </c>
      <c r="BJ1032" s="3">
        <v>0</v>
      </c>
      <c r="BL1032" s="3">
        <v>0</v>
      </c>
      <c r="BM1032" s="3">
        <v>0</v>
      </c>
    </row>
    <row r="1033" spans="61:65" x14ac:dyDescent="0.25">
      <c r="BI1033" s="3">
        <v>0</v>
      </c>
      <c r="BJ1033" s="3">
        <v>0</v>
      </c>
      <c r="BL1033" s="3">
        <v>0</v>
      </c>
      <c r="BM1033" s="3">
        <v>0</v>
      </c>
    </row>
    <row r="1034" spans="61:65" x14ac:dyDescent="0.25">
      <c r="BI1034" s="3">
        <v>0</v>
      </c>
      <c r="BJ1034" s="3">
        <v>0</v>
      </c>
      <c r="BL1034" s="3">
        <v>0</v>
      </c>
      <c r="BM1034" s="3">
        <v>0</v>
      </c>
    </row>
    <row r="1035" spans="61:65" x14ac:dyDescent="0.25">
      <c r="BI1035" s="3">
        <v>0</v>
      </c>
      <c r="BJ1035" s="3">
        <v>0</v>
      </c>
      <c r="BL1035" s="3">
        <v>0</v>
      </c>
      <c r="BM1035" s="3">
        <v>0</v>
      </c>
    </row>
    <row r="1036" spans="61:65" x14ac:dyDescent="0.25">
      <c r="BI1036" s="3">
        <v>0</v>
      </c>
      <c r="BJ1036" s="3">
        <v>0</v>
      </c>
      <c r="BL1036" s="3">
        <v>0</v>
      </c>
      <c r="BM1036" s="3">
        <v>0</v>
      </c>
    </row>
    <row r="1037" spans="61:65" x14ac:dyDescent="0.25">
      <c r="BI1037" s="3">
        <v>0</v>
      </c>
      <c r="BJ1037" s="3">
        <v>0</v>
      </c>
      <c r="BL1037" s="3">
        <v>0</v>
      </c>
      <c r="BM1037" s="3">
        <v>0</v>
      </c>
    </row>
    <row r="1038" spans="61:65" x14ac:dyDescent="0.25">
      <c r="BI1038" s="3">
        <v>0</v>
      </c>
      <c r="BJ1038" s="3">
        <v>0</v>
      </c>
      <c r="BL1038" s="3">
        <v>0</v>
      </c>
      <c r="BM1038" s="3">
        <v>0</v>
      </c>
    </row>
    <row r="1039" spans="61:65" x14ac:dyDescent="0.25">
      <c r="BI1039" s="3">
        <v>0</v>
      </c>
      <c r="BJ1039" s="3">
        <v>0</v>
      </c>
      <c r="BL1039" s="3">
        <v>0</v>
      </c>
      <c r="BM1039" s="3">
        <v>0</v>
      </c>
    </row>
    <row r="1040" spans="61:65" x14ac:dyDescent="0.25">
      <c r="BI1040" s="3">
        <v>0</v>
      </c>
      <c r="BJ1040" s="3">
        <v>0</v>
      </c>
      <c r="BL1040" s="3">
        <v>0</v>
      </c>
      <c r="BM1040" s="3">
        <v>0</v>
      </c>
    </row>
    <row r="1041" spans="61:65" x14ac:dyDescent="0.25">
      <c r="BI1041" s="3">
        <v>0</v>
      </c>
      <c r="BJ1041" s="3">
        <v>0</v>
      </c>
      <c r="BL1041" s="3">
        <v>0</v>
      </c>
      <c r="BM1041" s="3">
        <v>0</v>
      </c>
    </row>
    <row r="1042" spans="61:65" x14ac:dyDescent="0.25">
      <c r="BI1042" s="3">
        <v>0</v>
      </c>
      <c r="BJ1042" s="3">
        <v>0</v>
      </c>
      <c r="BL1042" s="3">
        <v>0</v>
      </c>
      <c r="BM1042" s="3">
        <v>0</v>
      </c>
    </row>
    <row r="1043" spans="61:65" x14ac:dyDescent="0.25">
      <c r="BI1043" s="3">
        <v>0</v>
      </c>
      <c r="BJ1043" s="3">
        <v>0</v>
      </c>
      <c r="BL1043" s="3">
        <v>0</v>
      </c>
      <c r="BM1043" s="3">
        <v>0</v>
      </c>
    </row>
    <row r="1044" spans="61:65" x14ac:dyDescent="0.25">
      <c r="BI1044" s="3">
        <v>0</v>
      </c>
      <c r="BJ1044" s="3">
        <v>0</v>
      </c>
      <c r="BL1044" s="3">
        <v>0</v>
      </c>
      <c r="BM1044" s="3">
        <v>0</v>
      </c>
    </row>
    <row r="1045" spans="61:65" x14ac:dyDescent="0.25">
      <c r="BI1045" s="3">
        <v>0</v>
      </c>
      <c r="BJ1045" s="3">
        <v>0</v>
      </c>
      <c r="BL1045" s="3">
        <v>0</v>
      </c>
      <c r="BM1045" s="3">
        <v>0</v>
      </c>
    </row>
    <row r="1046" spans="61:65" x14ac:dyDescent="0.25">
      <c r="BI1046" s="3">
        <v>0</v>
      </c>
      <c r="BJ1046" s="3">
        <v>0</v>
      </c>
      <c r="BL1046" s="3">
        <v>0</v>
      </c>
      <c r="BM1046" s="3">
        <v>0</v>
      </c>
    </row>
    <row r="1047" spans="61:65" x14ac:dyDescent="0.25">
      <c r="BI1047" s="3">
        <v>0</v>
      </c>
      <c r="BJ1047" s="3">
        <v>0</v>
      </c>
      <c r="BL1047" s="3">
        <v>0</v>
      </c>
      <c r="BM1047" s="3">
        <v>0</v>
      </c>
    </row>
    <row r="1048" spans="61:65" x14ac:dyDescent="0.25">
      <c r="BI1048" s="3">
        <v>0</v>
      </c>
      <c r="BJ1048" s="3">
        <v>0</v>
      </c>
      <c r="BL1048" s="3">
        <v>0</v>
      </c>
      <c r="BM1048" s="3">
        <v>0</v>
      </c>
    </row>
    <row r="1049" spans="61:65" x14ac:dyDescent="0.25">
      <c r="BI1049" s="3">
        <v>0</v>
      </c>
      <c r="BJ1049" s="3">
        <v>0</v>
      </c>
      <c r="BL1049" s="3">
        <v>0</v>
      </c>
      <c r="BM1049" s="3">
        <v>0</v>
      </c>
    </row>
    <row r="1050" spans="61:65" x14ac:dyDescent="0.25">
      <c r="BI1050" s="3">
        <v>0</v>
      </c>
      <c r="BJ1050" s="3">
        <v>0</v>
      </c>
      <c r="BL1050" s="3">
        <v>0</v>
      </c>
      <c r="BM1050" s="3">
        <v>0</v>
      </c>
    </row>
    <row r="1051" spans="61:65" x14ac:dyDescent="0.25">
      <c r="BI1051" s="3">
        <v>0</v>
      </c>
      <c r="BJ1051" s="3">
        <v>0</v>
      </c>
      <c r="BL1051" s="3">
        <v>0</v>
      </c>
      <c r="BM1051" s="3">
        <v>0</v>
      </c>
    </row>
    <row r="1052" spans="61:65" x14ac:dyDescent="0.25">
      <c r="BI1052" s="3">
        <v>0</v>
      </c>
      <c r="BJ1052" s="3">
        <v>0</v>
      </c>
      <c r="BL1052" s="3">
        <v>0</v>
      </c>
      <c r="BM1052" s="3">
        <v>0</v>
      </c>
    </row>
    <row r="1053" spans="61:65" x14ac:dyDescent="0.25">
      <c r="BI1053" s="3">
        <v>0</v>
      </c>
      <c r="BJ1053" s="3">
        <v>0</v>
      </c>
      <c r="BL1053" s="3">
        <v>0</v>
      </c>
      <c r="BM1053" s="3">
        <v>0</v>
      </c>
    </row>
    <row r="1054" spans="61:65" x14ac:dyDescent="0.25">
      <c r="BI1054" s="3">
        <v>0</v>
      </c>
      <c r="BJ1054" s="3">
        <v>0</v>
      </c>
      <c r="BL1054" s="3">
        <v>0</v>
      </c>
      <c r="BM1054" s="3">
        <v>0</v>
      </c>
    </row>
    <row r="1055" spans="61:65" x14ac:dyDescent="0.25">
      <c r="BI1055" s="3">
        <v>0</v>
      </c>
      <c r="BJ1055" s="3">
        <v>0</v>
      </c>
      <c r="BL1055" s="3">
        <v>0</v>
      </c>
      <c r="BM1055" s="3">
        <v>0</v>
      </c>
    </row>
    <row r="1056" spans="61:65" x14ac:dyDescent="0.25">
      <c r="BI1056" s="3">
        <v>0</v>
      </c>
      <c r="BJ1056" s="3">
        <v>0</v>
      </c>
      <c r="BL1056" s="3">
        <v>0</v>
      </c>
      <c r="BM1056" s="3">
        <v>0</v>
      </c>
    </row>
    <row r="1057" spans="61:65" x14ac:dyDescent="0.25">
      <c r="BI1057" s="3">
        <v>0</v>
      </c>
      <c r="BJ1057" s="3">
        <v>0</v>
      </c>
      <c r="BL1057" s="3">
        <v>0</v>
      </c>
      <c r="BM1057" s="3">
        <v>0</v>
      </c>
    </row>
    <row r="1058" spans="61:65" x14ac:dyDescent="0.25">
      <c r="BI1058" s="3">
        <v>0</v>
      </c>
      <c r="BJ1058" s="3">
        <v>0</v>
      </c>
      <c r="BL1058" s="3">
        <v>0</v>
      </c>
      <c r="BM1058" s="3">
        <v>0</v>
      </c>
    </row>
    <row r="1059" spans="61:65" x14ac:dyDescent="0.25">
      <c r="BI1059" s="3">
        <v>0</v>
      </c>
      <c r="BJ1059" s="3">
        <v>0</v>
      </c>
      <c r="BL1059" s="3">
        <v>0</v>
      </c>
      <c r="BM1059" s="3">
        <v>0</v>
      </c>
    </row>
    <row r="1060" spans="61:65" x14ac:dyDescent="0.25">
      <c r="BI1060" s="3">
        <v>0</v>
      </c>
      <c r="BJ1060" s="3">
        <v>0</v>
      </c>
      <c r="BL1060" s="3">
        <v>0</v>
      </c>
      <c r="BM1060" s="3">
        <v>0</v>
      </c>
    </row>
    <row r="1061" spans="61:65" x14ac:dyDescent="0.25">
      <c r="BI1061" s="3">
        <v>0</v>
      </c>
      <c r="BJ1061" s="3">
        <v>0</v>
      </c>
      <c r="BL1061" s="3">
        <v>0</v>
      </c>
      <c r="BM1061" s="3">
        <v>0</v>
      </c>
    </row>
    <row r="1062" spans="61:65" x14ac:dyDescent="0.25">
      <c r="BI1062" s="3">
        <v>0</v>
      </c>
      <c r="BJ1062" s="3">
        <v>0</v>
      </c>
      <c r="BL1062" s="3">
        <v>0</v>
      </c>
      <c r="BM1062" s="3">
        <v>0</v>
      </c>
    </row>
    <row r="1063" spans="61:65" x14ac:dyDescent="0.25">
      <c r="BI1063" s="3">
        <v>0</v>
      </c>
      <c r="BJ1063" s="3">
        <v>0</v>
      </c>
      <c r="BL1063" s="3">
        <v>0</v>
      </c>
      <c r="BM1063" s="3">
        <v>0</v>
      </c>
    </row>
    <row r="1064" spans="61:65" x14ac:dyDescent="0.25">
      <c r="BI1064" s="3">
        <v>0</v>
      </c>
      <c r="BJ1064" s="3">
        <v>0</v>
      </c>
      <c r="BL1064" s="3">
        <v>0</v>
      </c>
      <c r="BM1064" s="3">
        <v>0</v>
      </c>
    </row>
    <row r="1065" spans="61:65" x14ac:dyDescent="0.25">
      <c r="BI1065" s="3">
        <v>0</v>
      </c>
      <c r="BJ1065" s="3">
        <v>0</v>
      </c>
      <c r="BL1065" s="3">
        <v>0</v>
      </c>
      <c r="BM1065" s="3">
        <v>0</v>
      </c>
    </row>
    <row r="1066" spans="61:65" x14ac:dyDescent="0.25">
      <c r="BI1066" s="3">
        <v>0</v>
      </c>
      <c r="BJ1066" s="3">
        <v>0</v>
      </c>
      <c r="BL1066" s="3">
        <v>0</v>
      </c>
      <c r="BM1066" s="3">
        <v>0</v>
      </c>
    </row>
    <row r="1067" spans="61:65" x14ac:dyDescent="0.25">
      <c r="BI1067" s="3">
        <v>0</v>
      </c>
      <c r="BJ1067" s="3">
        <v>0</v>
      </c>
      <c r="BL1067" s="3">
        <v>0</v>
      </c>
      <c r="BM1067" s="3">
        <v>0</v>
      </c>
    </row>
    <row r="1068" spans="61:65" x14ac:dyDescent="0.25">
      <c r="BI1068" s="3">
        <v>0</v>
      </c>
      <c r="BJ1068" s="3">
        <v>0</v>
      </c>
      <c r="BL1068" s="3">
        <v>0</v>
      </c>
      <c r="BM1068" s="3">
        <v>0</v>
      </c>
    </row>
    <row r="1069" spans="61:65" x14ac:dyDescent="0.25">
      <c r="BI1069" s="3">
        <v>0</v>
      </c>
      <c r="BJ1069" s="3">
        <v>0</v>
      </c>
      <c r="BL1069" s="3">
        <v>0</v>
      </c>
      <c r="BM1069" s="3">
        <v>0</v>
      </c>
    </row>
    <row r="1070" spans="61:65" x14ac:dyDescent="0.25">
      <c r="BI1070" s="3">
        <v>0</v>
      </c>
      <c r="BJ1070" s="3">
        <v>0</v>
      </c>
      <c r="BL1070" s="3">
        <v>0</v>
      </c>
      <c r="BM1070" s="3">
        <v>0</v>
      </c>
    </row>
    <row r="1071" spans="61:65" x14ac:dyDescent="0.25">
      <c r="BI1071" s="3">
        <v>0</v>
      </c>
      <c r="BJ1071" s="3">
        <v>0</v>
      </c>
      <c r="BL1071" s="3">
        <v>0</v>
      </c>
      <c r="BM1071" s="3">
        <v>0</v>
      </c>
    </row>
    <row r="1072" spans="61:65" x14ac:dyDescent="0.25">
      <c r="BI1072" s="3">
        <v>0</v>
      </c>
      <c r="BJ1072" s="3">
        <v>0</v>
      </c>
      <c r="BL1072" s="3">
        <v>0</v>
      </c>
      <c r="BM1072" s="3">
        <v>0</v>
      </c>
    </row>
    <row r="1073" spans="61:65" x14ac:dyDescent="0.25">
      <c r="BI1073" s="3">
        <v>0</v>
      </c>
      <c r="BJ1073" s="3">
        <v>0</v>
      </c>
      <c r="BL1073" s="3">
        <v>0</v>
      </c>
      <c r="BM1073" s="3">
        <v>0</v>
      </c>
    </row>
    <row r="1074" spans="61:65" x14ac:dyDescent="0.25">
      <c r="BI1074" s="3">
        <v>0</v>
      </c>
      <c r="BJ1074" s="3">
        <v>0</v>
      </c>
      <c r="BL1074" s="3">
        <v>0</v>
      </c>
      <c r="BM1074" s="3">
        <v>0</v>
      </c>
    </row>
    <row r="1075" spans="61:65" x14ac:dyDescent="0.25">
      <c r="BI1075" s="3">
        <v>0</v>
      </c>
      <c r="BJ1075" s="3">
        <v>0</v>
      </c>
      <c r="BL1075" s="3">
        <v>0</v>
      </c>
      <c r="BM1075" s="3">
        <v>0</v>
      </c>
    </row>
    <row r="1076" spans="61:65" x14ac:dyDescent="0.25">
      <c r="BI1076" s="3">
        <v>0</v>
      </c>
      <c r="BJ1076" s="3">
        <v>0</v>
      </c>
      <c r="BL1076" s="3">
        <v>0</v>
      </c>
      <c r="BM1076" s="3">
        <v>0</v>
      </c>
    </row>
    <row r="1077" spans="61:65" x14ac:dyDescent="0.25">
      <c r="BI1077" s="3">
        <v>0</v>
      </c>
      <c r="BJ1077" s="3">
        <v>0</v>
      </c>
      <c r="BL1077" s="3">
        <v>0</v>
      </c>
      <c r="BM1077" s="3">
        <v>0</v>
      </c>
    </row>
    <row r="1078" spans="61:65" x14ac:dyDescent="0.25">
      <c r="BI1078" s="3">
        <v>0</v>
      </c>
      <c r="BJ1078" s="3">
        <v>0</v>
      </c>
      <c r="BL1078" s="3">
        <v>0</v>
      </c>
      <c r="BM1078" s="3">
        <v>0</v>
      </c>
    </row>
    <row r="1079" spans="61:65" x14ac:dyDescent="0.25">
      <c r="BI1079" s="3">
        <v>0</v>
      </c>
      <c r="BJ1079" s="3">
        <v>0</v>
      </c>
      <c r="BL1079" s="3">
        <v>0</v>
      </c>
      <c r="BM1079" s="3">
        <v>0</v>
      </c>
    </row>
    <row r="1080" spans="61:65" x14ac:dyDescent="0.25">
      <c r="BI1080" s="3">
        <v>0</v>
      </c>
      <c r="BJ1080" s="3">
        <v>0</v>
      </c>
      <c r="BL1080" s="3">
        <v>0</v>
      </c>
      <c r="BM1080" s="3">
        <v>0</v>
      </c>
    </row>
    <row r="1081" spans="61:65" x14ac:dyDescent="0.25">
      <c r="BI1081" s="3">
        <v>0</v>
      </c>
      <c r="BJ1081" s="3">
        <v>0</v>
      </c>
      <c r="BL1081" s="3">
        <v>0</v>
      </c>
      <c r="BM1081" s="3">
        <v>0</v>
      </c>
    </row>
    <row r="1082" spans="61:65" x14ac:dyDescent="0.25">
      <c r="BI1082" s="3">
        <v>0</v>
      </c>
      <c r="BJ1082" s="3">
        <v>0</v>
      </c>
      <c r="BL1082" s="3">
        <v>0</v>
      </c>
      <c r="BM1082" s="3">
        <v>0</v>
      </c>
    </row>
    <row r="1083" spans="61:65" x14ac:dyDescent="0.25">
      <c r="BI1083" s="3">
        <v>0</v>
      </c>
      <c r="BJ1083" s="3">
        <v>0</v>
      </c>
      <c r="BL1083" s="3">
        <v>0</v>
      </c>
      <c r="BM1083" s="3">
        <v>0</v>
      </c>
    </row>
  </sheetData>
  <mergeCells count="35">
    <mergeCell ref="C17:H17"/>
    <mergeCell ref="BV22:BY22"/>
    <mergeCell ref="BW23:BW24"/>
    <mergeCell ref="BS22:BT22"/>
    <mergeCell ref="BO22:BP22"/>
    <mergeCell ref="AY21:AZ21"/>
    <mergeCell ref="BK21:BL23"/>
    <mergeCell ref="BM21:BN23"/>
    <mergeCell ref="BI21:BJ23"/>
    <mergeCell ref="AY22:AZ22"/>
    <mergeCell ref="BE22:BF22"/>
    <mergeCell ref="BG22:BH22"/>
    <mergeCell ref="BO23:BP23"/>
    <mergeCell ref="AM24:AP24"/>
    <mergeCell ref="AM23:AQ23"/>
    <mergeCell ref="AM21:AQ21"/>
    <mergeCell ref="AE4:AF4"/>
    <mergeCell ref="AE6:AF6"/>
    <mergeCell ref="AE7:AF7"/>
    <mergeCell ref="C15:F15"/>
    <mergeCell ref="C16:F16"/>
    <mergeCell ref="C14:F14"/>
    <mergeCell ref="B22:B23"/>
    <mergeCell ref="C22:C23"/>
    <mergeCell ref="Z21:AK21"/>
    <mergeCell ref="J21:Y21"/>
    <mergeCell ref="AR22:AS22"/>
    <mergeCell ref="D22:E22"/>
    <mergeCell ref="Z22:AC22"/>
    <mergeCell ref="S22:Y22"/>
    <mergeCell ref="F21:H21"/>
    <mergeCell ref="AM22:AQ22"/>
    <mergeCell ref="J22:R22"/>
    <mergeCell ref="AE22:AF22"/>
    <mergeCell ref="AE23:AF23"/>
  </mergeCells>
  <phoneticPr fontId="0" type="noConversion"/>
  <conditionalFormatting sqref="F26:F9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{04FD88CC-69A3-4FAD-81ED-3F846A6C5543}</x14:id>
        </ext>
      </extLst>
    </cfRule>
  </conditionalFormatting>
  <conditionalFormatting sqref="AD26:AD9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{05D59A66-4C3E-4175-99D7-D4AE20EAF03F}</x14:id>
        </ext>
      </extLst>
    </cfRule>
  </conditionalFormatting>
  <printOptions horizontalCentered="1"/>
  <pageMargins left="0" right="0" top="0.51181102362204722" bottom="0.23622047244094491" header="0" footer="0"/>
  <pageSetup paperSize="8" scale="40" pageOrder="overThenDown" orientation="landscape" horizontalDpi="300" verticalDpi="300" r:id="rId1"/>
  <headerFooter alignWithMargins="0">
    <oddFooter>&amp;L&amp;F&amp;RSheet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NodesAndLength">
                <anchor moveWithCells="1" sizeWithCells="1">
                  <from>
                    <xdr:col>46</xdr:col>
                    <xdr:colOff>624840</xdr:colOff>
                    <xdr:row>15</xdr:row>
                    <xdr:rowOff>30480</xdr:rowOff>
                  </from>
                  <to>
                    <xdr:col>47</xdr:col>
                    <xdr:colOff>381000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Shear">
                <anchor moveWithCells="1" sizeWithCells="1">
                  <from>
                    <xdr:col>52</xdr:col>
                    <xdr:colOff>129540</xdr:colOff>
                    <xdr:row>15</xdr:row>
                    <xdr:rowOff>22860</xdr:rowOff>
                  </from>
                  <to>
                    <xdr:col>53</xdr:col>
                    <xdr:colOff>182880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odifyLCs">
                <anchor moveWithCells="1" sizeWithCells="1">
                  <from>
                    <xdr:col>54</xdr:col>
                    <xdr:colOff>243840</xdr:colOff>
                    <xdr:row>15</xdr:row>
                    <xdr:rowOff>22860</xdr:rowOff>
                  </from>
                  <to>
                    <xdr:col>56</xdr:col>
                    <xdr:colOff>243840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GetRatio">
                <anchor moveWithCells="1" sizeWithCells="1">
                  <from>
                    <xdr:col>49</xdr:col>
                    <xdr:colOff>137160</xdr:colOff>
                    <xdr:row>15</xdr:row>
                    <xdr:rowOff>22860</xdr:rowOff>
                  </from>
                  <to>
                    <xdr:col>50</xdr:col>
                    <xdr:colOff>152400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GetNodesAndLength">
                <anchor moveWithCells="1" sizeWithCells="1">
                  <from>
                    <xdr:col>46</xdr:col>
                    <xdr:colOff>624840</xdr:colOff>
                    <xdr:row>15</xdr:row>
                    <xdr:rowOff>30480</xdr:rowOff>
                  </from>
                  <to>
                    <xdr:col>47</xdr:col>
                    <xdr:colOff>381000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GetShear">
                <anchor moveWithCells="1" sizeWithCells="1">
                  <from>
                    <xdr:col>52</xdr:col>
                    <xdr:colOff>129540</xdr:colOff>
                    <xdr:row>15</xdr:row>
                    <xdr:rowOff>22860</xdr:rowOff>
                  </from>
                  <to>
                    <xdr:col>53</xdr:col>
                    <xdr:colOff>182880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modifyLCs">
                <anchor moveWithCells="1" sizeWithCells="1">
                  <from>
                    <xdr:col>54</xdr:col>
                    <xdr:colOff>243840</xdr:colOff>
                    <xdr:row>15</xdr:row>
                    <xdr:rowOff>22860</xdr:rowOff>
                  </from>
                  <to>
                    <xdr:col>56</xdr:col>
                    <xdr:colOff>243840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GetRatio">
                <anchor moveWithCells="1" sizeWithCells="1">
                  <from>
                    <xdr:col>49</xdr:col>
                    <xdr:colOff>137160</xdr:colOff>
                    <xdr:row>15</xdr:row>
                    <xdr:rowOff>22860</xdr:rowOff>
                  </from>
                  <to>
                    <xdr:col>50</xdr:col>
                    <xdr:colOff>152400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 macro="[0]!Get_Ved">
                <anchor moveWithCells="1" sizeWithCells="1">
                  <from>
                    <xdr:col>52</xdr:col>
                    <xdr:colOff>129540</xdr:colOff>
                    <xdr:row>15</xdr:row>
                    <xdr:rowOff>22860</xdr:rowOff>
                  </from>
                  <to>
                    <xdr:col>53</xdr:col>
                    <xdr:colOff>182880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D88CC-69A3-4FAD-81ED-3F846A6C55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F26:F90</xm:sqref>
        </x14:conditionalFormatting>
        <x14:conditionalFormatting xmlns:xm="http://schemas.microsoft.com/office/excel/2006/main">
          <x14:cfRule type="dataBar" id="{05D59A66-4C3E-4175-99D7-D4AE20EAF0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AD26:AD90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Summary-input</vt:lpstr>
      <vt:lpstr>Summary-output-SLS</vt:lpstr>
      <vt:lpstr>Summary-output-ULS</vt:lpstr>
      <vt:lpstr>Section-All</vt:lpstr>
      <vt:lpstr>'Section-All'!Print_Area</vt:lpstr>
      <vt:lpstr>'Section-All'!Print_Titles</vt:lpstr>
    </vt:vector>
  </TitlesOfParts>
  <Company>Maunsell Consultants (Singapore) Pte.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 Jianhong</dc:creator>
  <cp:lastModifiedBy>Kevin LOW Yi Liang</cp:lastModifiedBy>
  <cp:lastPrinted>2020-05-25T03:33:00Z</cp:lastPrinted>
  <dcterms:created xsi:type="dcterms:W3CDTF">1998-06-16T06:53:55Z</dcterms:created>
  <dcterms:modified xsi:type="dcterms:W3CDTF">2023-09-13T08:01:26Z</dcterms:modified>
</cp:coreProperties>
</file>